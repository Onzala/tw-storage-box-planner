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總表" sheetId="1" state="visible" r:id="rId1"/>
    <sheet xmlns:r="http://schemas.openxmlformats.org/officeDocument/2006/relationships" name="品牌摘要" sheetId="2" state="visible" r:id="rId2"/>
    <sheet xmlns:r="http://schemas.openxmlformats.org/officeDocument/2006/relationships" name="欄位說明" sheetId="3" state="visible" r:id="rId3"/>
  </sheets>
  <definedNames>
    <definedName name="_xlnm._FilterDatabase" localSheetId="0" hidden="1">'商品總表'!$A$1:$V$372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F6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muji.tw/SalePage/Index/11704064" TargetMode="External" Id="rId1"/><Relationship Type="http://schemas.openxmlformats.org/officeDocument/2006/relationships/hyperlink" Target="https://shop.muji.tw/SalePage/Index/11704065" TargetMode="External" Id="rId2"/><Relationship Type="http://schemas.openxmlformats.org/officeDocument/2006/relationships/hyperlink" Target="https://shop.muji.tw/SalePage/Index/11704066" TargetMode="External" Id="rId3"/><Relationship Type="http://schemas.openxmlformats.org/officeDocument/2006/relationships/hyperlink" Target="https://shop.muji.tw/SalePage/Index/11704067" TargetMode="External" Id="rId4"/><Relationship Type="http://schemas.openxmlformats.org/officeDocument/2006/relationships/hyperlink" Target="https://shop.muji.tw/SalePage/Index/8917015" TargetMode="External" Id="rId5"/><Relationship Type="http://schemas.openxmlformats.org/officeDocument/2006/relationships/hyperlink" Target="https://shop.muji.tw/SalePage/Index/8916946" TargetMode="External" Id="rId6"/><Relationship Type="http://schemas.openxmlformats.org/officeDocument/2006/relationships/hyperlink" Target="https://shop.muji.tw/SalePage/Index/8916945" TargetMode="External" Id="rId7"/><Relationship Type="http://schemas.openxmlformats.org/officeDocument/2006/relationships/hyperlink" Target="https://shop.muji.tw/SalePage/Index/8916928" TargetMode="External" Id="rId8"/><Relationship Type="http://schemas.openxmlformats.org/officeDocument/2006/relationships/hyperlink" Target="https://shop.muji.tw/SalePage/Index/8920882" TargetMode="External" Id="rId9"/><Relationship Type="http://schemas.openxmlformats.org/officeDocument/2006/relationships/hyperlink" Target="https://shop.muji.tw/SalePage/Index/8920941" TargetMode="External" Id="rId10"/><Relationship Type="http://schemas.openxmlformats.org/officeDocument/2006/relationships/hyperlink" Target="https://shop.muji.tw/SalePage/Index/8920948" TargetMode="External" Id="rId11"/><Relationship Type="http://schemas.openxmlformats.org/officeDocument/2006/relationships/hyperlink" Target="https://shop.muji.tw/SalePage/Index/8920918" TargetMode="External" Id="rId12"/><Relationship Type="http://schemas.openxmlformats.org/officeDocument/2006/relationships/hyperlink" Target="https://shop.muji.tw/SalePage/Index/8920903" TargetMode="External" Id="rId13"/><Relationship Type="http://schemas.openxmlformats.org/officeDocument/2006/relationships/hyperlink" Target="https://shop.muji.tw/SalePage/Index/8920967" TargetMode="External" Id="rId14"/><Relationship Type="http://schemas.openxmlformats.org/officeDocument/2006/relationships/hyperlink" Target="https://shop.muji.tw/SalePage/Index/8920920" TargetMode="External" Id="rId15"/><Relationship Type="http://schemas.openxmlformats.org/officeDocument/2006/relationships/hyperlink" Target="https://shop.muji.tw/SalePage/Index/8920949" TargetMode="External" Id="rId16"/><Relationship Type="http://schemas.openxmlformats.org/officeDocument/2006/relationships/hyperlink" Target="https://shop.muji.tw/SalePage/Index/8920959" TargetMode="External" Id="rId17"/><Relationship Type="http://schemas.openxmlformats.org/officeDocument/2006/relationships/hyperlink" Target="https://shop.muji.tw/SalePage/Index/8920954" TargetMode="External" Id="rId18"/><Relationship Type="http://schemas.openxmlformats.org/officeDocument/2006/relationships/hyperlink" Target="https://shop.muji.tw/SalePage/Index/8920896" TargetMode="External" Id="rId19"/><Relationship Type="http://schemas.openxmlformats.org/officeDocument/2006/relationships/hyperlink" Target="https://shop.muji.tw/SalePage/Index/8920919" TargetMode="External" Id="rId20"/><Relationship Type="http://schemas.openxmlformats.org/officeDocument/2006/relationships/hyperlink" Target="https://shop.muji.tw/SalePage/Index/8920953" TargetMode="External" Id="rId21"/><Relationship Type="http://schemas.openxmlformats.org/officeDocument/2006/relationships/hyperlink" Target="https://shop.muji.tw/SalePage/Index/8920937" TargetMode="External" Id="rId22"/><Relationship Type="http://schemas.openxmlformats.org/officeDocument/2006/relationships/hyperlink" Target="https://shop.muji.tw/SalePage/Index/8920914" TargetMode="External" Id="rId23"/><Relationship Type="http://schemas.openxmlformats.org/officeDocument/2006/relationships/hyperlink" Target="https://shop.muji.tw/SalePage/Index/8920930" TargetMode="External" Id="rId24"/><Relationship Type="http://schemas.openxmlformats.org/officeDocument/2006/relationships/hyperlink" Target="https://shop.muji.tw/SalePage/Index/8920973" TargetMode="External" Id="rId25"/><Relationship Type="http://schemas.openxmlformats.org/officeDocument/2006/relationships/hyperlink" Target="https://shop.muji.tw/SalePage/Index/8920957" TargetMode="External" Id="rId26"/><Relationship Type="http://schemas.openxmlformats.org/officeDocument/2006/relationships/hyperlink" Target="https://shop.muji.tw/SalePage/Index/8920932" TargetMode="External" Id="rId27"/><Relationship Type="http://schemas.openxmlformats.org/officeDocument/2006/relationships/hyperlink" Target="https://shop.muji.tw/SalePage/Index/8920956" TargetMode="External" Id="rId28"/><Relationship Type="http://schemas.openxmlformats.org/officeDocument/2006/relationships/hyperlink" Target="https://shop.muji.tw/SalePage/Index/8919740" TargetMode="External" Id="rId29"/><Relationship Type="http://schemas.openxmlformats.org/officeDocument/2006/relationships/hyperlink" Target="https://shop.muji.tw/SalePage/Index/8919420" TargetMode="External" Id="rId30"/><Relationship Type="http://schemas.openxmlformats.org/officeDocument/2006/relationships/hyperlink" Target="https://shop.muji.tw/muji-journal/pdf/pdf/25AW-storage.pdf" TargetMode="External" Id="rId31"/><Relationship Type="http://schemas.openxmlformats.org/officeDocument/2006/relationships/hyperlink" Target="https://shop.muji.tw/SalePage/Index/8919406" TargetMode="External" Id="rId32"/><Relationship Type="http://schemas.openxmlformats.org/officeDocument/2006/relationships/hyperlink" Target="https://shop.muji.tw/SalePage/Index/8919401" TargetMode="External" Id="rId33"/><Relationship Type="http://schemas.openxmlformats.org/officeDocument/2006/relationships/hyperlink" Target="https://shop.muji.tw/SalePage/Index/8919735" TargetMode="External" Id="rId34"/><Relationship Type="http://schemas.openxmlformats.org/officeDocument/2006/relationships/hyperlink" Target="https://shop.muji.tw/SalePage/Index/8919737" TargetMode="External" Id="rId35"/><Relationship Type="http://schemas.openxmlformats.org/officeDocument/2006/relationships/hyperlink" Target="https://shop.muji.tw/SalePage/Index/11050118" TargetMode="External" Id="rId36"/><Relationship Type="http://schemas.openxmlformats.org/officeDocument/2006/relationships/hyperlink" Target="https://shop.muji.tw/SalePage/Index/11050116" TargetMode="External" Id="rId37"/><Relationship Type="http://schemas.openxmlformats.org/officeDocument/2006/relationships/hyperlink" Target="https://shop.muji.tw/SalePage/Index/11050114" TargetMode="External" Id="rId38"/><Relationship Type="http://schemas.openxmlformats.org/officeDocument/2006/relationships/hyperlink" Target="https://shop.muji.tw/SalePage/Index/11050102" TargetMode="External" Id="rId39"/><Relationship Type="http://schemas.openxmlformats.org/officeDocument/2006/relationships/hyperlink" Target="https://shop.muji.tw/SalePage/Index/11050100" TargetMode="External" Id="rId40"/><Relationship Type="http://schemas.openxmlformats.org/officeDocument/2006/relationships/hyperlink" Target="https://shop.muji.tw/SalePage/Index/11781929" TargetMode="External" Id="rId41"/><Relationship Type="http://schemas.openxmlformats.org/officeDocument/2006/relationships/hyperlink" Target="https://shop.muji.tw/SalePage/Index/11147558" TargetMode="External" Id="rId42"/><Relationship Type="http://schemas.openxmlformats.org/officeDocument/2006/relationships/hyperlink" Target="https://shop.muji.tw/SalePage/Index/11781928" TargetMode="External" Id="rId43"/><Relationship Type="http://schemas.openxmlformats.org/officeDocument/2006/relationships/hyperlink" Target="https://shop.muji.tw/SalePage/Index/10190122" TargetMode="External" Id="rId44"/><Relationship Type="http://schemas.openxmlformats.org/officeDocument/2006/relationships/hyperlink" Target="https://shop.muji.tw/SalePage/Index/10190123" TargetMode="External" Id="rId45"/><Relationship Type="http://schemas.openxmlformats.org/officeDocument/2006/relationships/hyperlink" Target="https://shop.muji.tw/SalePage/Index/10190120" TargetMode="External" Id="rId46"/><Relationship Type="http://schemas.openxmlformats.org/officeDocument/2006/relationships/hyperlink" Target="https://shop.muji.tw/SalePage/Index/10190121" TargetMode="External" Id="rId47"/><Relationship Type="http://schemas.openxmlformats.org/officeDocument/2006/relationships/hyperlink" Target="https://shop.muji.tw/SalePage/Index/10190124" TargetMode="External" Id="rId48"/><Relationship Type="http://schemas.openxmlformats.org/officeDocument/2006/relationships/hyperlink" Target="https://shop.muji.tw/SalePage/Index/8920741" TargetMode="External" Id="rId49"/><Relationship Type="http://schemas.openxmlformats.org/officeDocument/2006/relationships/hyperlink" Target="https://shop.muji.tw/SalePage/Index/8920733" TargetMode="External" Id="rId50"/><Relationship Type="http://schemas.openxmlformats.org/officeDocument/2006/relationships/hyperlink" Target="https://shop.muji.tw/SalePage/Index/8920711" TargetMode="External" Id="rId51"/><Relationship Type="http://schemas.openxmlformats.org/officeDocument/2006/relationships/hyperlink" Target="https://shop.muji.tw/SalePage/Index/8920677" TargetMode="External" Id="rId52"/><Relationship Type="http://schemas.openxmlformats.org/officeDocument/2006/relationships/hyperlink" Target="https://shop.muji.tw/SalePage/Index/8920668" TargetMode="External" Id="rId53"/><Relationship Type="http://schemas.openxmlformats.org/officeDocument/2006/relationships/hyperlink" Target="https://shop.muji.tw/SalePage/Index/8920727" TargetMode="External" Id="rId54"/><Relationship Type="http://schemas.openxmlformats.org/officeDocument/2006/relationships/hyperlink" Target="https://shop.muji.tw/SalePage/Index/8916844" TargetMode="External" Id="rId55"/><Relationship Type="http://schemas.openxmlformats.org/officeDocument/2006/relationships/hyperlink" Target="https://shop.muji.tw/SalePage/Index/8916855" TargetMode="External" Id="rId56"/><Relationship Type="http://schemas.openxmlformats.org/officeDocument/2006/relationships/hyperlink" Target="https://shop.muji.tw/SalePage/Index/8916856" TargetMode="External" Id="rId57"/><Relationship Type="http://schemas.openxmlformats.org/officeDocument/2006/relationships/hyperlink" Target="https://shop.muji.tw/SalePage/Index/8916862" TargetMode="External" Id="rId58"/><Relationship Type="http://schemas.openxmlformats.org/officeDocument/2006/relationships/hyperlink" Target="https://shop.muji.tw/SalePage/Index/8916860" TargetMode="External" Id="rId59"/><Relationship Type="http://schemas.openxmlformats.org/officeDocument/2006/relationships/hyperlink" Target="https://shop.muji.tw/SalePage/Index/8916943" TargetMode="External" Id="rId60"/><Relationship Type="http://schemas.openxmlformats.org/officeDocument/2006/relationships/hyperlink" Target="https://shop.muji.tw/SalePage/Index/8916851" TargetMode="External" Id="rId61"/><Relationship Type="http://schemas.openxmlformats.org/officeDocument/2006/relationships/hyperlink" Target="https://shop.muji.tw/SalePage/Index/8916847" TargetMode="External" Id="rId62"/><Relationship Type="http://schemas.openxmlformats.org/officeDocument/2006/relationships/hyperlink" Target="https://shop.muji.tw/SalePage/Index/8916846" TargetMode="External" Id="rId63"/><Relationship Type="http://schemas.openxmlformats.org/officeDocument/2006/relationships/hyperlink" Target="https://shop.muji.tw/SalePage/Index/8916854" TargetMode="External" Id="rId64"/><Relationship Type="http://schemas.openxmlformats.org/officeDocument/2006/relationships/hyperlink" Target="https://shop.muji.tw/SalePage/Index/8916857" TargetMode="External" Id="rId65"/><Relationship Type="http://schemas.openxmlformats.org/officeDocument/2006/relationships/hyperlink" Target="https://shop.muji.tw/SalePage/Index/10258364" TargetMode="External" Id="rId66"/><Relationship Type="http://schemas.openxmlformats.org/officeDocument/2006/relationships/hyperlink" Target="https://shop.muji.tw/SalePage/Index/12006151" TargetMode="External" Id="rId67"/><Relationship Type="http://schemas.openxmlformats.org/officeDocument/2006/relationships/hyperlink" Target="https://shop.muji.tw/SalePage/Index/12006153" TargetMode="External" Id="rId68"/><Relationship Type="http://schemas.openxmlformats.org/officeDocument/2006/relationships/hyperlink" Target="https://shop.muji.tw/SalePage/Index/8916850" TargetMode="External" Id="rId69"/><Relationship Type="http://schemas.openxmlformats.org/officeDocument/2006/relationships/hyperlink" Target="https://shop.muji.tw/SalePage/Index/8916872" TargetMode="External" Id="rId70"/><Relationship Type="http://schemas.openxmlformats.org/officeDocument/2006/relationships/hyperlink" Target="https://shop.muji.tw/SalePage/Index/8916905" TargetMode="External" Id="rId71"/><Relationship Type="http://schemas.openxmlformats.org/officeDocument/2006/relationships/hyperlink" Target="https://shop.muji.tw/SalePage/Index/8916972" TargetMode="External" Id="rId72"/><Relationship Type="http://schemas.openxmlformats.org/officeDocument/2006/relationships/hyperlink" Target="https://shop.muji.tw/SalePage/Index/8916884" TargetMode="External" Id="rId73"/><Relationship Type="http://schemas.openxmlformats.org/officeDocument/2006/relationships/hyperlink" Target="https://shop.muji.tw/SalePage/Index/8917043" TargetMode="External" Id="rId74"/><Relationship Type="http://schemas.openxmlformats.org/officeDocument/2006/relationships/hyperlink" Target="https://shop.muji.tw/SalePage/Index/8916984" TargetMode="External" Id="rId75"/><Relationship Type="http://schemas.openxmlformats.org/officeDocument/2006/relationships/hyperlink" Target="https://shop.muji.tw/SalePage/Index/8917062" TargetMode="External" Id="rId76"/><Relationship Type="http://schemas.openxmlformats.org/officeDocument/2006/relationships/hyperlink" Target="https://shop.muji.tw/SalePage/Index/8920900" TargetMode="External" Id="rId77"/><Relationship Type="http://schemas.openxmlformats.org/officeDocument/2006/relationships/hyperlink" Target="https://shop.muji.tw/SalePage/Index/8920890" TargetMode="External" Id="rId78"/><Relationship Type="http://schemas.openxmlformats.org/officeDocument/2006/relationships/hyperlink" Target="https://shop.muji.tw/SalePage/Index/8920870" TargetMode="External" Id="rId79"/><Relationship Type="http://schemas.openxmlformats.org/officeDocument/2006/relationships/hyperlink" Target="https://shop.muji.tw/SalePage/Index/8920892" TargetMode="External" Id="rId80"/><Relationship Type="http://schemas.openxmlformats.org/officeDocument/2006/relationships/hyperlink" Target="https://shop.muji.tw/SalePage/Index/8921121" TargetMode="External" Id="rId81"/><Relationship Type="http://schemas.openxmlformats.org/officeDocument/2006/relationships/hyperlink" Target="https://shop.muji.tw/SalePage/Index/8920873" TargetMode="External" Id="rId82"/><Relationship Type="http://schemas.openxmlformats.org/officeDocument/2006/relationships/hyperlink" Target="https://shop.muji.tw/SalePage/Index/8920943" TargetMode="External" Id="rId83"/><Relationship Type="http://schemas.openxmlformats.org/officeDocument/2006/relationships/hyperlink" Target="https://shop.muji.tw/SalePage/Index/8920880" TargetMode="External" Id="rId84"/><Relationship Type="http://schemas.openxmlformats.org/officeDocument/2006/relationships/hyperlink" Target="https://shop.muji.tw/SalePage/Index/8920884" TargetMode="External" Id="rId85"/><Relationship Type="http://schemas.openxmlformats.org/officeDocument/2006/relationships/hyperlink" Target="https://shop.muji.tw/SalePage/Index/8920893" TargetMode="External" Id="rId86"/><Relationship Type="http://schemas.openxmlformats.org/officeDocument/2006/relationships/hyperlink" Target="https://shop.muji.tw/SalePage/Index/8920897" TargetMode="External" Id="rId87"/><Relationship Type="http://schemas.openxmlformats.org/officeDocument/2006/relationships/hyperlink" Target="https://shop.muji.tw/SalePage/Index/8920910" TargetMode="External" Id="rId88"/><Relationship Type="http://schemas.openxmlformats.org/officeDocument/2006/relationships/hyperlink" Target="https://shop.muji.tw/SalePage/Index/8920911" TargetMode="External" Id="rId89"/><Relationship Type="http://schemas.openxmlformats.org/officeDocument/2006/relationships/hyperlink" Target="https://shop.muji.tw/SalePage/Index/8920898" TargetMode="External" Id="rId90"/><Relationship Type="http://schemas.openxmlformats.org/officeDocument/2006/relationships/hyperlink" Target="https://shop.muji.tw/SalePage/Index/8920883" TargetMode="External" Id="rId91"/><Relationship Type="http://schemas.openxmlformats.org/officeDocument/2006/relationships/hyperlink" Target="https://shop.muji.tw/SalePage/Index/8920895" TargetMode="External" Id="rId92"/><Relationship Type="http://schemas.openxmlformats.org/officeDocument/2006/relationships/hyperlink" Target="https://shop.muji.tw/SalePage/Index/8920938" TargetMode="External" Id="rId93"/><Relationship Type="http://schemas.openxmlformats.org/officeDocument/2006/relationships/hyperlink" Target="https://shop.muji.tw/SalePage/Index/8920950" TargetMode="External" Id="rId94"/><Relationship Type="http://schemas.openxmlformats.org/officeDocument/2006/relationships/hyperlink" Target="https://shop.muji.tw/SalePage/Index/8920906" TargetMode="External" Id="rId95"/><Relationship Type="http://schemas.openxmlformats.org/officeDocument/2006/relationships/hyperlink" Target="https://shop.muji.tw/muji-journal/pdf/pdf/25AW-storage.pdf" TargetMode="External" Id="rId96"/><Relationship Type="http://schemas.openxmlformats.org/officeDocument/2006/relationships/hyperlink" Target="https://shop.muji.tw/muji-journal/pdf/pdf/25AW-storage.pdf" TargetMode="External" Id="rId97"/><Relationship Type="http://schemas.openxmlformats.org/officeDocument/2006/relationships/hyperlink" Target="https://shop.muji.tw/muji-journal/pdf/pdf/25AW-storage.pdf" TargetMode="External" Id="rId98"/><Relationship Type="http://schemas.openxmlformats.org/officeDocument/2006/relationships/hyperlink" Target="https://shop.muji.tw/SalePage/Index/11781913" TargetMode="External" Id="rId99"/><Relationship Type="http://schemas.openxmlformats.org/officeDocument/2006/relationships/hyperlink" Target="https://shop.muji.tw/SalePage/Index/11781914" TargetMode="External" Id="rId100"/><Relationship Type="http://schemas.openxmlformats.org/officeDocument/2006/relationships/hyperlink" Target="https://shop.muji.tw/SalePage/Index/11781915" TargetMode="External" Id="rId101"/><Relationship Type="http://schemas.openxmlformats.org/officeDocument/2006/relationships/hyperlink" Target="https://shop.muji.tw/SalePage/Index/11781909" TargetMode="External" Id="rId102"/><Relationship Type="http://schemas.openxmlformats.org/officeDocument/2006/relationships/hyperlink" Target="https://shop.muji.tw/SalePage/Index/11781910" TargetMode="External" Id="rId103"/><Relationship Type="http://schemas.openxmlformats.org/officeDocument/2006/relationships/hyperlink" Target="https://shop.muji.tw/SalePage/Index/12052439" TargetMode="External" Id="rId104"/><Relationship Type="http://schemas.openxmlformats.org/officeDocument/2006/relationships/hyperlink" Target="https://shop.muji.tw/SalePage/Index/12052443" TargetMode="External" Id="rId105"/><Relationship Type="http://schemas.openxmlformats.org/officeDocument/2006/relationships/hyperlink" Target="https://shop.muji.tw/SalePage/Index/12052438" TargetMode="External" Id="rId106"/><Relationship Type="http://schemas.openxmlformats.org/officeDocument/2006/relationships/hyperlink" Target="https://shop.muji.tw/SalePage/Index/12052442" TargetMode="External" Id="rId107"/><Relationship Type="http://schemas.openxmlformats.org/officeDocument/2006/relationships/hyperlink" Target="https://shop.muji.tw/SalePage/Index/8920981" TargetMode="External" Id="rId108"/><Relationship Type="http://schemas.openxmlformats.org/officeDocument/2006/relationships/hyperlink" Target="https://shop.muji.tw/SalePage/Index/8920964" TargetMode="External" Id="rId109"/><Relationship Type="http://schemas.openxmlformats.org/officeDocument/2006/relationships/hyperlink" Target="https://shop.muji.tw/SalePage/Index/8920940" TargetMode="External" Id="rId110"/><Relationship Type="http://schemas.openxmlformats.org/officeDocument/2006/relationships/hyperlink" Target="https://shop.muji.tw/SalePage/Index/8920946" TargetMode="External" Id="rId111"/><Relationship Type="http://schemas.openxmlformats.org/officeDocument/2006/relationships/hyperlink" Target="https://shop.muji.tw/SalePage/Index/8920939" TargetMode="External" Id="rId112"/><Relationship Type="http://schemas.openxmlformats.org/officeDocument/2006/relationships/hyperlink" Target="https://shop.muji.tw/SalePage/Index/11851158" TargetMode="External" Id="rId113"/><Relationship Type="http://schemas.openxmlformats.org/officeDocument/2006/relationships/hyperlink" Target="https://shop.muji.tw/SalePage/Index/11341048" TargetMode="External" Id="rId114"/><Relationship Type="http://schemas.openxmlformats.org/officeDocument/2006/relationships/hyperlink" Target="https://shop.muji.tw/muji-journal/pdf/pdf/25AW-storage.pdf" TargetMode="External" Id="rId115"/><Relationship Type="http://schemas.openxmlformats.org/officeDocument/2006/relationships/hyperlink" Target="https://www.nitori-net.tw/product/8422231" TargetMode="External" Id="rId116"/><Relationship Type="http://schemas.openxmlformats.org/officeDocument/2006/relationships/hyperlink" Target="https://www.nitori-net.tw/product/8422262" TargetMode="External" Id="rId117"/><Relationship Type="http://schemas.openxmlformats.org/officeDocument/2006/relationships/hyperlink" Target="https://www.nitori-net.tw/product/8422233" TargetMode="External" Id="rId118"/><Relationship Type="http://schemas.openxmlformats.org/officeDocument/2006/relationships/hyperlink" Target="https://www.nitori-net.tw/product/8422264" TargetMode="External" Id="rId119"/><Relationship Type="http://schemas.openxmlformats.org/officeDocument/2006/relationships/hyperlink" Target="https://www.nitori-net.tw/product/8422233-8422236" TargetMode="External" Id="rId120"/><Relationship Type="http://schemas.openxmlformats.org/officeDocument/2006/relationships/hyperlink" Target="https://www.nitori-net.tw/product/8732701" TargetMode="External" Id="rId121"/><Relationship Type="http://schemas.openxmlformats.org/officeDocument/2006/relationships/hyperlink" Target="https://www.nitori-net.tw/product/8732702" TargetMode="External" Id="rId122"/><Relationship Type="http://schemas.openxmlformats.org/officeDocument/2006/relationships/hyperlink" Target="https://www.nitori-net.tw/product/8732703" TargetMode="External" Id="rId123"/><Relationship Type="http://schemas.openxmlformats.org/officeDocument/2006/relationships/hyperlink" Target="https://www.nitori-net.tw/product/8732704" TargetMode="External" Id="rId124"/><Relationship Type="http://schemas.openxmlformats.org/officeDocument/2006/relationships/hyperlink" Target="https://www.nitori-net.tw/product/8732705" TargetMode="External" Id="rId125"/><Relationship Type="http://schemas.openxmlformats.org/officeDocument/2006/relationships/hyperlink" Target="https://www.nitori-net.tw/product/8732706" TargetMode="External" Id="rId126"/><Relationship Type="http://schemas.openxmlformats.org/officeDocument/2006/relationships/hyperlink" Target="https://www.nitori-net.tw/product/2113200005459" TargetMode="External" Id="rId127"/><Relationship Type="http://schemas.openxmlformats.org/officeDocument/2006/relationships/hyperlink" Target="https://www.nitori-net.tw/product/8734041" TargetMode="External" Id="rId128"/><Relationship Type="http://schemas.openxmlformats.org/officeDocument/2006/relationships/hyperlink" Target="https://www.nitori-net.tw/product/2113200000294" TargetMode="External" Id="rId129"/><Relationship Type="http://schemas.openxmlformats.org/officeDocument/2006/relationships/hyperlink" Target="https://www.nitori-net.tw/product/8421411" TargetMode="External" Id="rId130"/><Relationship Type="http://schemas.openxmlformats.org/officeDocument/2006/relationships/hyperlink" Target="https://www.nitori-net.tw/product/8421413" TargetMode="External" Id="rId131"/><Relationship Type="http://schemas.openxmlformats.org/officeDocument/2006/relationships/hyperlink" Target="https://www.nitori-net.tw/product/8421412" TargetMode="External" Id="rId132"/><Relationship Type="http://schemas.openxmlformats.org/officeDocument/2006/relationships/hyperlink" Target="https://www.nitori-net.tw/product/8421414" TargetMode="External" Id="rId133"/><Relationship Type="http://schemas.openxmlformats.org/officeDocument/2006/relationships/hyperlink" Target="https://www.nitori-net.tw/product/2113200002892" TargetMode="External" Id="rId134"/><Relationship Type="http://schemas.openxmlformats.org/officeDocument/2006/relationships/hyperlink" Target="https://www.nitori-net.tw/product/2113200002915" TargetMode="External" Id="rId135"/><Relationship Type="http://schemas.openxmlformats.org/officeDocument/2006/relationships/hyperlink" Target="https://www.nitori-net.tw/product/2113200002908" TargetMode="External" Id="rId136"/><Relationship Type="http://schemas.openxmlformats.org/officeDocument/2006/relationships/hyperlink" Target="https://www.nitori-net.tw/product/2113200002922" TargetMode="External" Id="rId137"/><Relationship Type="http://schemas.openxmlformats.org/officeDocument/2006/relationships/hyperlink" Target="https://www.nitori-net.tw/product/5842257" TargetMode="External" Id="rId138"/><Relationship Type="http://schemas.openxmlformats.org/officeDocument/2006/relationships/hyperlink" Target="https://www.nitori-net.tw/product/5842258" TargetMode="External" Id="rId139"/><Relationship Type="http://schemas.openxmlformats.org/officeDocument/2006/relationships/hyperlink" Target="https://www.nitori-net.tw/product/2113200010408" TargetMode="External" Id="rId140"/><Relationship Type="http://schemas.openxmlformats.org/officeDocument/2006/relationships/hyperlink" Target="https://www.nitori-net.tw/product/2113200010392" TargetMode="External" Id="rId141"/><Relationship Type="http://schemas.openxmlformats.org/officeDocument/2006/relationships/hyperlink" Target="https://www.nitori-net.tw/product/8732215" TargetMode="External" Id="rId142"/><Relationship Type="http://schemas.openxmlformats.org/officeDocument/2006/relationships/hyperlink" Target="https://www.nitori-net.tw/product/8732216" TargetMode="External" Id="rId143"/><Relationship Type="http://schemas.openxmlformats.org/officeDocument/2006/relationships/hyperlink" Target="https://www.nitori-net.tw/product/8732217" TargetMode="External" Id="rId144"/><Relationship Type="http://schemas.openxmlformats.org/officeDocument/2006/relationships/hyperlink" Target="https://www.nitori-net.tw/product/8732218" TargetMode="External" Id="rId145"/><Relationship Type="http://schemas.openxmlformats.org/officeDocument/2006/relationships/hyperlink" Target="https://www.nitori-net.tw/product/8732219" TargetMode="External" Id="rId146"/><Relationship Type="http://schemas.openxmlformats.org/officeDocument/2006/relationships/hyperlink" Target="https://www.nitori-net.tw/product/8732221" TargetMode="External" Id="rId147"/><Relationship Type="http://schemas.openxmlformats.org/officeDocument/2006/relationships/hyperlink" Target="https://www.nitori-net.tw/product/8732683" TargetMode="External" Id="rId148"/><Relationship Type="http://schemas.openxmlformats.org/officeDocument/2006/relationships/hyperlink" Target="https://www.nitori-net.tw/product/8732684" TargetMode="External" Id="rId149"/><Relationship Type="http://schemas.openxmlformats.org/officeDocument/2006/relationships/hyperlink" Target="https://www.nitori-net.tw/product/8732681" TargetMode="External" Id="rId150"/><Relationship Type="http://schemas.openxmlformats.org/officeDocument/2006/relationships/hyperlink" Target="https://www.nitori-net.tw/product/8732685" TargetMode="External" Id="rId151"/><Relationship Type="http://schemas.openxmlformats.org/officeDocument/2006/relationships/hyperlink" Target="https://www.nitori-net.tw/product/8732682" TargetMode="External" Id="rId152"/><Relationship Type="http://schemas.openxmlformats.org/officeDocument/2006/relationships/hyperlink" Target="https://www.nitori-net.tw/product/8732686" TargetMode="External" Id="rId153"/><Relationship Type="http://schemas.openxmlformats.org/officeDocument/2006/relationships/hyperlink" Target="https://www.nitori-net.tw/product/8732687" TargetMode="External" Id="rId154"/><Relationship Type="http://schemas.openxmlformats.org/officeDocument/2006/relationships/hyperlink" Target="https://www.nitori-net.tw/product/8490226" TargetMode="External" Id="rId155"/><Relationship Type="http://schemas.openxmlformats.org/officeDocument/2006/relationships/hyperlink" Target="https://www.nitori-net.tw/product/8490227" TargetMode="External" Id="rId156"/><Relationship Type="http://schemas.openxmlformats.org/officeDocument/2006/relationships/hyperlink" Target="https://www.nitori-net.tw/product/8490228" TargetMode="External" Id="rId157"/><Relationship Type="http://schemas.openxmlformats.org/officeDocument/2006/relationships/hyperlink" Target="https://www.nitori-net.tw/product/8511532" TargetMode="External" Id="rId158"/><Relationship Type="http://schemas.openxmlformats.org/officeDocument/2006/relationships/hyperlink" Target="https://www.nitori-net.tw/product/8511533" TargetMode="External" Id="rId159"/><Relationship Type="http://schemas.openxmlformats.org/officeDocument/2006/relationships/hyperlink" Target="https://www.nitori-net.tw/product/8511534" TargetMode="External" Id="rId160"/><Relationship Type="http://schemas.openxmlformats.org/officeDocument/2006/relationships/hyperlink" Target="https://www.nitori-net.tw/product/8511624" TargetMode="External" Id="rId161"/><Relationship Type="http://schemas.openxmlformats.org/officeDocument/2006/relationships/hyperlink" Target="https://www.nitori-net.tw/product/8511625" TargetMode="External" Id="rId162"/><Relationship Type="http://schemas.openxmlformats.org/officeDocument/2006/relationships/hyperlink" Target="https://www.nitori-net.tw/product/8511626" TargetMode="External" Id="rId163"/><Relationship Type="http://schemas.openxmlformats.org/officeDocument/2006/relationships/hyperlink" Target="https://www.nitori-net.tw/product/8161531" TargetMode="External" Id="rId164"/><Relationship Type="http://schemas.openxmlformats.org/officeDocument/2006/relationships/hyperlink" Target="https://www.nitori-net.tw/product/8161532" TargetMode="External" Id="rId165"/><Relationship Type="http://schemas.openxmlformats.org/officeDocument/2006/relationships/hyperlink" Target="https://www.nitori-net.tw/product/8161533" TargetMode="External" Id="rId166"/><Relationship Type="http://schemas.openxmlformats.org/officeDocument/2006/relationships/hyperlink" Target="https://www.nitori-net.tw/product/8161534" TargetMode="External" Id="rId167"/><Relationship Type="http://schemas.openxmlformats.org/officeDocument/2006/relationships/hyperlink" Target="https://www.nitori-net.tw/product/8161537" TargetMode="External" Id="rId168"/><Relationship Type="http://schemas.openxmlformats.org/officeDocument/2006/relationships/hyperlink" Target="https://www.nitori-net.tw/product/8422111" TargetMode="External" Id="rId169"/><Relationship Type="http://schemas.openxmlformats.org/officeDocument/2006/relationships/hyperlink" Target="https://www.nitori-net.tw/product/8422112" TargetMode="External" Id="rId170"/><Relationship Type="http://schemas.openxmlformats.org/officeDocument/2006/relationships/hyperlink" Target="https://www.nitori-net.tw/product/8422113" TargetMode="External" Id="rId171"/><Relationship Type="http://schemas.openxmlformats.org/officeDocument/2006/relationships/hyperlink" Target="https://www.nitori-net.tw/product/8422114" TargetMode="External" Id="rId172"/><Relationship Type="http://schemas.openxmlformats.org/officeDocument/2006/relationships/hyperlink" Target="https://www.nitori-net.tw/product/8421081" TargetMode="External" Id="rId173"/><Relationship Type="http://schemas.openxmlformats.org/officeDocument/2006/relationships/hyperlink" Target="https://www.nitori-net.tw/product/8421085" TargetMode="External" Id="rId174"/><Relationship Type="http://schemas.openxmlformats.org/officeDocument/2006/relationships/hyperlink" Target="https://www.nitori-net.tw/product/8421219" TargetMode="External" Id="rId175"/><Relationship Type="http://schemas.openxmlformats.org/officeDocument/2006/relationships/hyperlink" Target="https://www.nitori-net.tw/product/5840105" TargetMode="External" Id="rId176"/><Relationship Type="http://schemas.openxmlformats.org/officeDocument/2006/relationships/hyperlink" Target="https://www.nitori-net.tw/product/5840104" TargetMode="External" Id="rId177"/><Relationship Type="http://schemas.openxmlformats.org/officeDocument/2006/relationships/hyperlink" Target="https://www.nitori-net.tw/product/5840293" TargetMode="External" Id="rId178"/><Relationship Type="http://schemas.openxmlformats.org/officeDocument/2006/relationships/hyperlink" Target="https://www.nitori-net.tw/product/5840057" TargetMode="External" Id="rId179"/><Relationship Type="http://schemas.openxmlformats.org/officeDocument/2006/relationships/hyperlink" Target="https://www.nitori-net.tw/product/2113200003783" TargetMode="External" Id="rId180"/><Relationship Type="http://schemas.openxmlformats.org/officeDocument/2006/relationships/hyperlink" Target="https://www.nitori-net.tw/product/2113200003790" TargetMode="External" Id="rId181"/><Relationship Type="http://schemas.openxmlformats.org/officeDocument/2006/relationships/hyperlink" Target="https://www.nitori-net.tw/product/2113200003806" TargetMode="External" Id="rId182"/><Relationship Type="http://schemas.openxmlformats.org/officeDocument/2006/relationships/hyperlink" Target="https://www.nitori-net.tw/product/2113200003837" TargetMode="External" Id="rId183"/><Relationship Type="http://schemas.openxmlformats.org/officeDocument/2006/relationships/hyperlink" Target="https://www.nitori-net.tw/product/8420811" TargetMode="External" Id="rId184"/><Relationship Type="http://schemas.openxmlformats.org/officeDocument/2006/relationships/hyperlink" Target="https://www.nitori-net.tw/product/8420812" TargetMode="External" Id="rId185"/><Relationship Type="http://schemas.openxmlformats.org/officeDocument/2006/relationships/hyperlink" Target="https://www.nitori-net.tw/product/8420813" TargetMode="External" Id="rId186"/><Relationship Type="http://schemas.openxmlformats.org/officeDocument/2006/relationships/hyperlink" Target="https://www.nitori-net.tw/product/8420814" TargetMode="External" Id="rId187"/><Relationship Type="http://schemas.openxmlformats.org/officeDocument/2006/relationships/hyperlink" Target="https://www.nitori-net.tw/product/2113200010194" TargetMode="External" Id="rId188"/><Relationship Type="http://schemas.openxmlformats.org/officeDocument/2006/relationships/hyperlink" Target="https://www.nitori-net.tw/product/2113200010200" TargetMode="External" Id="rId189"/><Relationship Type="http://schemas.openxmlformats.org/officeDocument/2006/relationships/hyperlink" Target="https://www.nitori-net.tw/product/2113200010217" TargetMode="External" Id="rId190"/><Relationship Type="http://schemas.openxmlformats.org/officeDocument/2006/relationships/hyperlink" Target="https://www.nitori-net.tw/product/2113200010224" TargetMode="External" Id="rId191"/><Relationship Type="http://schemas.openxmlformats.org/officeDocument/2006/relationships/hyperlink" Target="https://www.nitori-net.tw/product/8161063" TargetMode="External" Id="rId192"/><Relationship Type="http://schemas.openxmlformats.org/officeDocument/2006/relationships/hyperlink" Target="https://www.nitori-net.tw/product/8161064" TargetMode="External" Id="rId193"/><Relationship Type="http://schemas.openxmlformats.org/officeDocument/2006/relationships/hyperlink" Target="https://www.nitori-net.tw/product/8161065" TargetMode="External" Id="rId194"/><Relationship Type="http://schemas.openxmlformats.org/officeDocument/2006/relationships/hyperlink" Target="https://www.nitori-net.tw/product/8161066" TargetMode="External" Id="rId195"/><Relationship Type="http://schemas.openxmlformats.org/officeDocument/2006/relationships/hyperlink" Target="https://www.nitori-net.tw/product/2113200003523" TargetMode="External" Id="rId196"/><Relationship Type="http://schemas.openxmlformats.org/officeDocument/2006/relationships/hyperlink" Target="https://www.nitori-net.tw/product/2113200003530" TargetMode="External" Id="rId197"/><Relationship Type="http://schemas.openxmlformats.org/officeDocument/2006/relationships/hyperlink" Target="https://www.nitori-net.tw/product/2113200003547" TargetMode="External" Id="rId198"/><Relationship Type="http://schemas.openxmlformats.org/officeDocument/2006/relationships/hyperlink" Target="https://www.nitori-net.tw/product/2113200003554" TargetMode="External" Id="rId199"/><Relationship Type="http://schemas.openxmlformats.org/officeDocument/2006/relationships/hyperlink" Target="https://www.nitori-net.tw/product/8440412" TargetMode="External" Id="rId200"/><Relationship Type="http://schemas.openxmlformats.org/officeDocument/2006/relationships/hyperlink" Target="https://www.nitori-net.tw/product/8430757" TargetMode="External" Id="rId201"/><Relationship Type="http://schemas.openxmlformats.org/officeDocument/2006/relationships/hyperlink" Target="https://www.nitori-net.tw/product/8430848" TargetMode="External" Id="rId202"/><Relationship Type="http://schemas.openxmlformats.org/officeDocument/2006/relationships/hyperlink" Target="https://www.nitori-net.tw/product/8430798" TargetMode="External" Id="rId203"/><Relationship Type="http://schemas.openxmlformats.org/officeDocument/2006/relationships/hyperlink" Target="https://www.nitori-net.tw/product/2113200003233" TargetMode="External" Id="rId204"/><Relationship Type="http://schemas.openxmlformats.org/officeDocument/2006/relationships/hyperlink" Target="https://www.nitori-net.tw/product/2113200003240" TargetMode="External" Id="rId205"/><Relationship Type="http://schemas.openxmlformats.org/officeDocument/2006/relationships/hyperlink" Target="https://www.nitori-net.tw/product/2113200003257" TargetMode="External" Id="rId206"/><Relationship Type="http://schemas.openxmlformats.org/officeDocument/2006/relationships/hyperlink" Target="https://www.nitori-net.tw/product/8161015" TargetMode="External" Id="rId207"/><Relationship Type="http://schemas.openxmlformats.org/officeDocument/2006/relationships/hyperlink" Target="https://www.nitori-net.tw/product/8161013" TargetMode="External" Id="rId208"/><Relationship Type="http://schemas.openxmlformats.org/officeDocument/2006/relationships/hyperlink" Target="https://www.nitori-net.tw/product/8161016" TargetMode="External" Id="rId209"/><Relationship Type="http://schemas.openxmlformats.org/officeDocument/2006/relationships/hyperlink" Target="https://www.nitori-net.tw/product/8161014" TargetMode="External" Id="rId210"/><Relationship Type="http://schemas.openxmlformats.org/officeDocument/2006/relationships/hyperlink" Target="https://www.nitori-net.tw/product/8988261" TargetMode="External" Id="rId211"/><Relationship Type="http://schemas.openxmlformats.org/officeDocument/2006/relationships/hyperlink" Target="https://www.nitori-net.tw/product/8988262" TargetMode="External" Id="rId212"/><Relationship Type="http://schemas.openxmlformats.org/officeDocument/2006/relationships/hyperlink" Target="https://www.nitori-net.tw/product/8987921" TargetMode="External" Id="rId213"/><Relationship Type="http://schemas.openxmlformats.org/officeDocument/2006/relationships/hyperlink" Target="https://www.nitori-net.tw/product/8987922" TargetMode="External" Id="rId214"/><Relationship Type="http://schemas.openxmlformats.org/officeDocument/2006/relationships/hyperlink" Target="https://www.nitori-net.tw/product/5898407" TargetMode="External" Id="rId215"/><Relationship Type="http://schemas.openxmlformats.org/officeDocument/2006/relationships/hyperlink" Target="https://www.nitori-net.tw/product/5898406" TargetMode="External" Id="rId216"/><Relationship Type="http://schemas.openxmlformats.org/officeDocument/2006/relationships/hyperlink" Target="https://www.nitori-net.tw/product/8920341" TargetMode="External" Id="rId217"/><Relationship Type="http://schemas.openxmlformats.org/officeDocument/2006/relationships/hyperlink" Target="https://www.nitori-net.tw/product/8920342" TargetMode="External" Id="rId218"/><Relationship Type="http://schemas.openxmlformats.org/officeDocument/2006/relationships/hyperlink" Target="https://www.nitori-net.tw/product/8920343" TargetMode="External" Id="rId219"/><Relationship Type="http://schemas.openxmlformats.org/officeDocument/2006/relationships/hyperlink" Target="https://www.nitori-net.tw/product/8920443" TargetMode="External" Id="rId220"/><Relationship Type="http://schemas.openxmlformats.org/officeDocument/2006/relationships/hyperlink" Target="https://www.nitori-net.tw/product/8920371" TargetMode="External" Id="rId221"/><Relationship Type="http://schemas.openxmlformats.org/officeDocument/2006/relationships/hyperlink" Target="https://www.nitori-net.tw/product/8920348" TargetMode="External" Id="rId222"/><Relationship Type="http://schemas.openxmlformats.org/officeDocument/2006/relationships/hyperlink" Target="https://www.nitori-net.tw/product/5870132" TargetMode="External" Id="rId223"/><Relationship Type="http://schemas.openxmlformats.org/officeDocument/2006/relationships/hyperlink" Target="https://www.nitori-net.tw/product/5870134" TargetMode="External" Id="rId224"/><Relationship Type="http://schemas.openxmlformats.org/officeDocument/2006/relationships/hyperlink" Target="https://www.nitori-net.tw/product/5870136" TargetMode="External" Id="rId225"/><Relationship Type="http://schemas.openxmlformats.org/officeDocument/2006/relationships/hyperlink" Target="https://www.nitori-net.tw/product/8732195" TargetMode="External" Id="rId226"/><Relationship Type="http://schemas.openxmlformats.org/officeDocument/2006/relationships/hyperlink" Target="https://www.nitori-net.tw/product/2113200003318" TargetMode="External" Id="rId227"/><Relationship Type="http://schemas.openxmlformats.org/officeDocument/2006/relationships/hyperlink" Target="https://www.nitori-net.tw/product/2113200003370" TargetMode="External" Id="rId228"/><Relationship Type="http://schemas.openxmlformats.org/officeDocument/2006/relationships/hyperlink" Target="https://www.nitori-net.tw/product/2113200003356" TargetMode="External" Id="rId229"/><Relationship Type="http://schemas.openxmlformats.org/officeDocument/2006/relationships/hyperlink" Target="https://www.nitori-net.tw/product/2113200003349" TargetMode="External" Id="rId230"/><Relationship Type="http://schemas.openxmlformats.org/officeDocument/2006/relationships/hyperlink" Target="https://www.nitori-net.tw/product/2113200003363" TargetMode="External" Id="rId231"/><Relationship Type="http://schemas.openxmlformats.org/officeDocument/2006/relationships/hyperlink" Target="https://www.nitori-net.tw/product/8130589" TargetMode="External" Id="rId232"/><Relationship Type="http://schemas.openxmlformats.org/officeDocument/2006/relationships/hyperlink" Target="https://www.nitori-net.tw/product/8130608" TargetMode="External" Id="rId233"/><Relationship Type="http://schemas.openxmlformats.org/officeDocument/2006/relationships/hyperlink" Target="https://www.nitori-net.tw/product/2113200012389" TargetMode="External" Id="rId234"/><Relationship Type="http://schemas.openxmlformats.org/officeDocument/2006/relationships/hyperlink" Target="https://www.nitori-net.tw/product/2113200012402" TargetMode="External" Id="rId235"/><Relationship Type="http://schemas.openxmlformats.org/officeDocument/2006/relationships/hyperlink" Target="https://www.nitori-net.tw/product/2113200012327" TargetMode="External" Id="rId236"/><Relationship Type="http://schemas.openxmlformats.org/officeDocument/2006/relationships/hyperlink" Target="https://www.nitori-net.tw/product/2113200012976" TargetMode="External" Id="rId237"/><Relationship Type="http://schemas.openxmlformats.org/officeDocument/2006/relationships/hyperlink" Target="https://www.nitori-net.tw/product/2113200012372" TargetMode="External" Id="rId238"/><Relationship Type="http://schemas.openxmlformats.org/officeDocument/2006/relationships/hyperlink" Target="https://www.nitori-net.tw/product/2113200012396" TargetMode="External" Id="rId239"/><Relationship Type="http://schemas.openxmlformats.org/officeDocument/2006/relationships/hyperlink" Target="https://www.nitori-net.tw/product/2113200010729" TargetMode="External" Id="rId240"/><Relationship Type="http://schemas.openxmlformats.org/officeDocument/2006/relationships/hyperlink" Target="https://www.nitori-net.tw/product/2113200012938" TargetMode="External" Id="rId241"/><Relationship Type="http://schemas.openxmlformats.org/officeDocument/2006/relationships/hyperlink" Target="https://www.nitori-net.tw/product/2113200003264" TargetMode="External" Id="rId242"/><Relationship Type="http://schemas.openxmlformats.org/officeDocument/2006/relationships/hyperlink" Target="https://www.nitori-net.tw/product/8920341-8920342set7" TargetMode="External" Id="rId243"/><Relationship Type="http://schemas.openxmlformats.org/officeDocument/2006/relationships/hyperlink" Target="https://www.nitori-net.tw/product/8920341-8920342set7" TargetMode="External" Id="rId244"/><Relationship Type="http://schemas.openxmlformats.org/officeDocument/2006/relationships/hyperlink" Target="https://www.nitori-net.tw/product/8920341-8920342set7" TargetMode="External" Id="rId245"/><Relationship Type="http://schemas.openxmlformats.org/officeDocument/2006/relationships/hyperlink" Target="https://www.nitori-net.tw/product/8920423-8920433set" TargetMode="External" Id="rId246"/><Relationship Type="http://schemas.openxmlformats.org/officeDocument/2006/relationships/hyperlink" Target="https://www.nitori-net.tw/product/8920423-8920433set" TargetMode="External" Id="rId247"/><Relationship Type="http://schemas.openxmlformats.org/officeDocument/2006/relationships/hyperlink" Target="https://www.ikea.com.tw/zh/products/boxes-and-organisers/organisers/baxna-art-20474371" TargetMode="External" Id="rId248"/><Relationship Type="http://schemas.openxmlformats.org/officeDocument/2006/relationships/hyperlink" Target="https://www.ikea.com.tw/zh/products/boxes-and-organisers/organisers/baxna-art-80486291" TargetMode="External" Id="rId249"/><Relationship Type="http://schemas.openxmlformats.org/officeDocument/2006/relationships/hyperlink" Target="https://www.ikea.com.tw/zh/products/boxes-and-organisers/boxes-and-baskets/bekna-art-90513393" TargetMode="External" Id="rId250"/><Relationship Type="http://schemas.openxmlformats.org/officeDocument/2006/relationships/hyperlink" Target="https://www.ikea.com.tw/zh/products/boxes-and-organisers/organisers/billingen-art-10270402" TargetMode="External" Id="rId251"/><Relationship Type="http://schemas.openxmlformats.org/officeDocument/2006/relationships/hyperlink" Target="https://www.ikea.com.tw/zh/products/boxes-and-organisers/boxes-and-baskets/bladdra-art-30586778" TargetMode="External" Id="rId252"/><Relationship Type="http://schemas.openxmlformats.org/officeDocument/2006/relationships/hyperlink" Target="https://www.ikea.com.tw/zh/products/boxes-and-organisers/boxes-and-baskets/branas-art-80173153" TargetMode="External" Id="rId253"/><Relationship Type="http://schemas.openxmlformats.org/officeDocument/2006/relationships/hyperlink" Target="https://www.ikea.com.tw/zh/products/boxes-and-organisers/boxes-and-baskets/bullig-art-10474593" TargetMode="External" Id="rId254"/><Relationship Type="http://schemas.openxmlformats.org/officeDocument/2006/relationships/hyperlink" Target="https://www.ikea.com.tw/zh/products/boxes-and-organisers/boxes-and-baskets/drona-art-20443978" TargetMode="External" Id="rId255"/><Relationship Type="http://schemas.openxmlformats.org/officeDocument/2006/relationships/hyperlink" Target="https://www.ikea.com.tw/zh/products/boxes-and-organisers/boxes-and-baskets/drona-art-90467070" TargetMode="External" Id="rId256"/><Relationship Type="http://schemas.openxmlformats.org/officeDocument/2006/relationships/hyperlink" Target="https://www.ikea.com.tw/zh/products/boxes-and-organisers/boxes-and-baskets/drona-art-30632134" TargetMode="External" Id="rId257"/><Relationship Type="http://schemas.openxmlformats.org/officeDocument/2006/relationships/hyperlink" Target="https://www.ikea.com.tw/zh/products/boxes-and-organisers/boxes-and-baskets/drona-spr-59634302" TargetMode="External" Id="rId258"/><Relationship Type="http://schemas.openxmlformats.org/officeDocument/2006/relationships/hyperlink" Target="https://www.ikea.com.tw/zh/products/boxes-and-organisers/boxes-and-baskets/drona-spr-59634509" TargetMode="External" Id="rId259"/><Relationship Type="http://schemas.openxmlformats.org/officeDocument/2006/relationships/hyperlink" Target="https://www.ikea.com.tw/zh/products/boxes-and-organisers/boxes-and-baskets/drona-spr-99634512" TargetMode="External" Id="rId260"/><Relationship Type="http://schemas.openxmlformats.org/officeDocument/2006/relationships/hyperlink" Target="https://www.ikea.com.tw/zh/products/boxes-and-organisers/boxes-and-baskets/dronjons-art-00515495" TargetMode="External" Id="rId261"/><Relationship Type="http://schemas.openxmlformats.org/officeDocument/2006/relationships/hyperlink" Target="https://www.ikea.com.tw/zh/products/boxes-and-organisers/organisers/dronjons-art-80428828" TargetMode="External" Id="rId262"/><Relationship Type="http://schemas.openxmlformats.org/officeDocument/2006/relationships/hyperlink" Target="https://www.ikea.com.tw/zh/products/boxes-and-organisers/organisers/dronjons-art-40428825" TargetMode="External" Id="rId263"/><Relationship Type="http://schemas.openxmlformats.org/officeDocument/2006/relationships/hyperlink" Target="https://www.ikea.com.tw/zh/products/boxes-and-organisers/boxes-and-baskets/fjaderharv-art-10596924" TargetMode="External" Id="rId264"/><Relationship Type="http://schemas.openxmlformats.org/officeDocument/2006/relationships/hyperlink" Target="https://www.ikea.com.tw/zh/products/boxes-and-organisers/boxes-and-baskets/fjaderharv-art-60596926" TargetMode="External" Id="rId265"/><Relationship Type="http://schemas.openxmlformats.org/officeDocument/2006/relationships/hyperlink" Target="https://www.ikea.com.tw/zh/products/boxes-and-organisers/organisers/fodertrag-art-70590764" TargetMode="External" Id="rId266"/><Relationship Type="http://schemas.openxmlformats.org/officeDocument/2006/relationships/hyperlink" Target="https://www.ikea.com.tw/zh/products/boxes-and-organisers/organisers/fanggroda-art-90559526" TargetMode="External" Id="rId267"/><Relationship Type="http://schemas.openxmlformats.org/officeDocument/2006/relationships/hyperlink" Target="https://www.ikea.com.tw/zh/products/boxes-and-organisers/boxes-and-baskets/gjatta-art-00599678" TargetMode="External" Id="rId268"/><Relationship Type="http://schemas.openxmlformats.org/officeDocument/2006/relationships/hyperlink" Target="https://www.ikea.com.tw/zh/products/boxes-and-organisers/boxes-and-baskets/gjatta-art-00599683" TargetMode="External" Id="rId269"/><Relationship Type="http://schemas.openxmlformats.org/officeDocument/2006/relationships/hyperlink" Target="https://www.ikea.com.tw/zh/products/boxes-and-organisers/boxes-and-baskets/gjatta-art-60599680" TargetMode="External" Id="rId270"/><Relationship Type="http://schemas.openxmlformats.org/officeDocument/2006/relationships/hyperlink" Target="https://www.ikea.com.tw/zh/products/boxes-and-organisers/boxes-and-baskets/gardesgard-art-80596954" TargetMode="External" Id="rId271"/><Relationship Type="http://schemas.openxmlformats.org/officeDocument/2006/relationships/hyperlink" Target="https://www.ikea.com.tw/zh/products/boxes-and-organisers/boxes-and-baskets/gardesgard-art-30596956" TargetMode="External" Id="rId272"/><Relationship Type="http://schemas.openxmlformats.org/officeDocument/2006/relationships/hyperlink" Target="https://www.ikea.com.tw/zh/products/boxes-and-organisers/organisers/harvmatta-art-00555306" TargetMode="External" Id="rId273"/><Relationship Type="http://schemas.openxmlformats.org/officeDocument/2006/relationships/hyperlink" Target="https://www.ikea.com.tw/zh/products/boxes-and-organisers/organisers/harvmatta-art-10555301" TargetMode="External" Id="rId274"/><Relationship Type="http://schemas.openxmlformats.org/officeDocument/2006/relationships/hyperlink" Target="https://www.ikea.com.tw/zh/products/clothes-and-shoe-organisers-and-accessories/clothes-and-shoes-organisers/hemmafixare-art-50503923" TargetMode="External" Id="rId275"/><Relationship Type="http://schemas.openxmlformats.org/officeDocument/2006/relationships/hyperlink" Target="https://www.ikea.com.tw/zh/products/boxes-and-organisers/organisers/hovagn-art-20534394" TargetMode="External" Id="rId276"/><Relationship Type="http://schemas.openxmlformats.org/officeDocument/2006/relationships/hyperlink" Target="https://www.ikea.com.tw/zh/products/boxes-and-organisers/organisers/hovagn-art-70534396" TargetMode="External" Id="rId277"/><Relationship Type="http://schemas.openxmlformats.org/officeDocument/2006/relationships/hyperlink" Target="https://www.ikea.com.tw/zh/products/boxes-and-organisers/organisers/hovagn-art-50534397" TargetMode="External" Id="rId278"/><Relationship Type="http://schemas.openxmlformats.org/officeDocument/2006/relationships/hyperlink" Target="https://www.ikea.com.tw/zh/products/boxes-and-organisers/organisers/hovagn-art-30534398" TargetMode="External" Id="rId279"/><Relationship Type="http://schemas.openxmlformats.org/officeDocument/2006/relationships/hyperlink" Target="https://www.ikea.com.tw/zh/products/boxes-and-organisers/boxes-and-baskets/jagmastare-art-40555875" TargetMode="External" Id="rId280"/><Relationship Type="http://schemas.openxmlformats.org/officeDocument/2006/relationships/hyperlink" Target="https://www.ikea.com.tw/zh/products/boxes-and-organisers/organisers/kackla-art-00534385" TargetMode="External" Id="rId281"/><Relationship Type="http://schemas.openxmlformats.org/officeDocument/2006/relationships/hyperlink" Target="https://www.ikea.com.tw/zh/products/boxes-and-organisers/organisers/kackla-art-80534386" TargetMode="External" Id="rId282"/><Relationship Type="http://schemas.openxmlformats.org/officeDocument/2006/relationships/hyperlink" Target="https://www.ikea.com.tw/zh/products/boxes-and-organisers/organisers/kackla-art-30534384" TargetMode="External" Id="rId283"/><Relationship Type="http://schemas.openxmlformats.org/officeDocument/2006/relationships/hyperlink" Target="https://www.ikea.com.tw/zh/products/boxes-and-organisers/organisers/kackla-art-50534383" TargetMode="External" Id="rId284"/><Relationship Type="http://schemas.openxmlformats.org/officeDocument/2006/relationships/hyperlink" Target="https://www.ikea.com.tw/zh/products/boxes-and-organisers/boxes-and-baskets/knagglig-art-50292360" TargetMode="External" Id="rId285"/><Relationship Type="http://schemas.openxmlformats.org/officeDocument/2006/relationships/hyperlink" Target="https://www.ikea.com.tw/zh/products/boxes-and-organisers/boxes-and-baskets/knipsa-art-90173299" TargetMode="External" Id="rId286"/><Relationship Type="http://schemas.openxmlformats.org/officeDocument/2006/relationships/hyperlink" Target="https://www.ikea.com.tw/zh/products/boxes-and-organisers/organisers/komplement-art-20405778" TargetMode="External" Id="rId287"/><Relationship Type="http://schemas.openxmlformats.org/officeDocument/2006/relationships/hyperlink" Target="https://www.ikea.com.tw/zh/products/boxes-and-organisers/organisers/komplement-art-00405779" TargetMode="External" Id="rId288"/><Relationship Type="http://schemas.openxmlformats.org/officeDocument/2006/relationships/hyperlink" Target="https://www.ikea.com.tw/zh/products/boxes-and-organisers/boxes-and-baskets/kosingen-art-90601083" TargetMode="External" Id="rId289"/><Relationship Type="http://schemas.openxmlformats.org/officeDocument/2006/relationships/hyperlink" Target="https://www.ikea.com.tw/zh/products/boxes-and-organisers/organisers/kuggis-art-20603311" TargetMode="External" Id="rId290"/><Relationship Type="http://schemas.openxmlformats.org/officeDocument/2006/relationships/hyperlink" Target="https://www.ikea.com.tw/zh/products/boxes-and-organisers/boxes-and-baskets/kuggis-art-20599149" TargetMode="External" Id="rId291"/><Relationship Type="http://schemas.openxmlformats.org/officeDocument/2006/relationships/hyperlink" Target="https://www.ikea.com.tw/zh/products/boxes-and-organisers/boxes-and-baskets/kuggis-art-00599150" TargetMode="External" Id="rId292"/><Relationship Type="http://schemas.openxmlformats.org/officeDocument/2006/relationships/hyperlink" Target="https://www.ikea.com.tw/zh/products/boxes-and-organisers/boxes-and-baskets/kuggis-art-30599158" TargetMode="External" Id="rId293"/><Relationship Type="http://schemas.openxmlformats.org/officeDocument/2006/relationships/hyperlink" Target="https://www.ikea.com.tw/zh/products/boxes-and-organisers/boxes-and-baskets/kuggis-art-80599151" TargetMode="External" Id="rId294"/><Relationship Type="http://schemas.openxmlformats.org/officeDocument/2006/relationships/hyperlink" Target="https://www.ikea.com.tw/zh/products/boxes-and-organisers/boxes-and-baskets/kuggis-spr-29596759" TargetMode="External" Id="rId295"/><Relationship Type="http://schemas.openxmlformats.org/officeDocument/2006/relationships/hyperlink" Target="https://www.ikea.com.tw/zh/products/boxes-and-organisers/boxes-and-baskets/kuggis-spr-49596758" TargetMode="External" Id="rId296"/><Relationship Type="http://schemas.openxmlformats.org/officeDocument/2006/relationships/hyperlink" Target="https://www.ikea.com.tw/zh/products/boxes-and-organisers/boxes-and-baskets/kuggis-spr-59596767" TargetMode="External" Id="rId297"/><Relationship Type="http://schemas.openxmlformats.org/officeDocument/2006/relationships/hyperlink" Target="https://www.ikea.com.tw/zh/products/boxes-and-organisers/boxes-and-baskets/kuggis-spr-79596766" TargetMode="External" Id="rId298"/><Relationship Type="http://schemas.openxmlformats.org/officeDocument/2006/relationships/hyperlink" Target="https://www.ikea.com.tw/zh/products/boxes-and-organisers/boxes-and-baskets/kuggis-art-80526876" TargetMode="External" Id="rId299"/><Relationship Type="http://schemas.openxmlformats.org/officeDocument/2006/relationships/hyperlink" Target="https://www.ikea.com.tw/zh/products/boxes-and-organisers/boxes-and-baskets/kvarnvik-art-50412876" TargetMode="External" Id="rId300"/><Relationship Type="http://schemas.openxmlformats.org/officeDocument/2006/relationships/hyperlink" Target="https://www.ikea.com.tw/zh/products/boxes-and-organisers/boxes-and-baskets/kvarnvik-art-90412879" TargetMode="External" Id="rId301"/><Relationship Type="http://schemas.openxmlformats.org/officeDocument/2006/relationships/hyperlink" Target="https://www.ikea.com.tw/zh/products/boxes-and-organisers/boxes-and-baskets/kvarnvik-art-90466952" TargetMode="External" Id="rId302"/><Relationship Type="http://schemas.openxmlformats.org/officeDocument/2006/relationships/hyperlink" Target="https://www.ikea.com.tw/zh/products/boxes-and-organisers/boxes-and-baskets/ljungan-art-10567295" TargetMode="External" Id="rId303"/><Relationship Type="http://schemas.openxmlformats.org/officeDocument/2006/relationships/hyperlink" Target="https://www.ikea.com.tw/zh/products/boxes-and-organisers/boxes-and-baskets/lustigkurre-art-10457409" TargetMode="External" Id="rId304"/><Relationship Type="http://schemas.openxmlformats.org/officeDocument/2006/relationships/hyperlink" Target="https://www.ikea.com.tw/zh/products/boxes-and-organisers/organisers/mojan-art-10521924" TargetMode="External" Id="rId305"/><Relationship Type="http://schemas.openxmlformats.org/officeDocument/2006/relationships/hyperlink" Target="https://www.ikea.com.tw/zh/products/boxes-and-organisers/organisers/mojan-art-80521925" TargetMode="External" Id="rId306"/><Relationship Type="http://schemas.openxmlformats.org/officeDocument/2006/relationships/hyperlink" Target="https://www.ikea.com.tw/zh/products/boxes-and-organisers/organisers/mojan-art-20521928" TargetMode="External" Id="rId307"/><Relationship Type="http://schemas.openxmlformats.org/officeDocument/2006/relationships/hyperlink" Target="https://www.ikea.com.tw/zh/products/boxes-and-organisers/organisers/mojan-art-40521927" TargetMode="External" Id="rId308"/><Relationship Type="http://schemas.openxmlformats.org/officeDocument/2006/relationships/hyperlink" Target="https://www.ikea.com.tw/zh/products/boxes-and-organisers/boxes-and-baskets/mavinn-art-40615134" TargetMode="External" Id="rId309"/><Relationship Type="http://schemas.openxmlformats.org/officeDocument/2006/relationships/hyperlink" Target="https://www.ikea.com.tw/zh/products/boxes-and-organisers/organisers/nojig-art-00477040" TargetMode="External" Id="rId310"/><Relationship Type="http://schemas.openxmlformats.org/officeDocument/2006/relationships/hyperlink" Target="https://www.ikea.com.tw/zh/products/boxes-and-organisers/organisers/nojig-art-70468080" TargetMode="External" Id="rId311"/><Relationship Type="http://schemas.openxmlformats.org/officeDocument/2006/relationships/hyperlink" Target="https://www.ikea.com.tw/zh/products/boxes-and-organisers/organisers/nojig-art-00468106" TargetMode="External" Id="rId312"/><Relationship Type="http://schemas.openxmlformats.org/officeDocument/2006/relationships/hyperlink" Target="https://www.ikea.com.tw/zh/products/boxes-and-organisers/organisers/nojig-art-80468107" TargetMode="External" Id="rId313"/><Relationship Type="http://schemas.openxmlformats.org/officeDocument/2006/relationships/hyperlink" Target="https://www.ikea.com.tw/zh/products/boxes-and-organisers/boxes-and-baskets/pappis-art-30188656" TargetMode="External" Id="rId314"/><Relationship Type="http://schemas.openxmlformats.org/officeDocument/2006/relationships/hyperlink" Target="https://www.ikea.com.tw/zh/products/boxes-and-organisers/organisers/plogsvang-art-50593457" TargetMode="External" Id="rId315"/><Relationship Type="http://schemas.openxmlformats.org/officeDocument/2006/relationships/hyperlink" Target="https://www.ikea.com.tw/zh/products/boxes-and-organisers/organisers/risatorp-art-50530399" TargetMode="External" Id="rId316"/><Relationship Type="http://schemas.openxmlformats.org/officeDocument/2006/relationships/hyperlink" Target="https://www.ikea.com.tw/zh/products/boxes-and-organisers/organisers/risatorp-art-70530398" TargetMode="External" Id="rId317"/><Relationship Type="http://schemas.openxmlformats.org/officeDocument/2006/relationships/hyperlink" Target="https://www.ikea.com.tw/zh/products/boxes-and-organisers/boxes-and-baskets/risatorp-art-00588712" TargetMode="External" Id="rId318"/><Relationship Type="http://schemas.openxmlformats.org/officeDocument/2006/relationships/hyperlink" Target="https://www.ikea.com.tw/zh/products/boxes-and-organisers/boxes-and-baskets/samla-art-60180885" TargetMode="External" Id="rId319"/><Relationship Type="http://schemas.openxmlformats.org/officeDocument/2006/relationships/hyperlink" Target="https://www.ikea.com.tw/zh/products/boxes-and-organisers/boxes-and-baskets/samla-art-10180939" TargetMode="External" Id="rId320"/><Relationship Type="http://schemas.openxmlformats.org/officeDocument/2006/relationships/hyperlink" Target="https://www.ikea.com.tw/zh/products/boxes-and-organisers/boxes-and-baskets/samla-art-90180940" TargetMode="External" Id="rId321"/><Relationship Type="http://schemas.openxmlformats.org/officeDocument/2006/relationships/hyperlink" Target="https://www.ikea.com.tw/zh/products/boxes-and-organisers/boxes-and-baskets/samla-spr-19440848" TargetMode="External" Id="rId322"/><Relationship Type="http://schemas.openxmlformats.org/officeDocument/2006/relationships/hyperlink" Target="https://www.ikea.com.tw/zh/products/boxes-and-organisers/boxes-and-baskets/samla-spr-49440837" TargetMode="External" Id="rId323"/><Relationship Type="http://schemas.openxmlformats.org/officeDocument/2006/relationships/hyperlink" Target="https://www.ikea.com.tw/zh/products/boxes-and-organisers/boxes-and-baskets/samla-spr-39440828" TargetMode="External" Id="rId324"/><Relationship Type="http://schemas.openxmlformats.org/officeDocument/2006/relationships/hyperlink" Target="https://www.ikea.com.tw/zh/products/boxes-and-organisers/storage-boxes-and-accessories/samla-spr-49651575" TargetMode="External" Id="rId325"/><Relationship Type="http://schemas.openxmlformats.org/officeDocument/2006/relationships/hyperlink" Target="https://www.ikea.com.tw/zh/products/boxes-and-organisers/storage-boxes-and-accessories/samla-art-60630609" TargetMode="External" Id="rId326"/><Relationship Type="http://schemas.openxmlformats.org/officeDocument/2006/relationships/hyperlink" Target="https://www.ikea.com.tw/zh/products/clothes-and-shoe-organisers-and-accessories/clothes-and-shoes-organisers/skubb-art-80630585" TargetMode="External" Id="rId327"/><Relationship Type="http://schemas.openxmlformats.org/officeDocument/2006/relationships/hyperlink" Target="https://www.ikea.com.tw/zh/products/clothes-and-shoe-organisers-and-accessories/clothes-and-shoes-organisers/skubb-art-10186390" TargetMode="External" Id="rId328"/><Relationship Type="http://schemas.openxmlformats.org/officeDocument/2006/relationships/hyperlink" Target="https://www.ikea.com.tw/zh/products/clothes-and-shoe-organisers-and-accessories/clothes-and-shoes-organisers/skubb-art-00472981" TargetMode="External" Id="rId329"/><Relationship Type="http://schemas.openxmlformats.org/officeDocument/2006/relationships/hyperlink" Target="https://www.ikea.com.tw/zh/products/boxes-and-organisers/boxes-and-baskets/skyffel-art-50435948" TargetMode="External" Id="rId330"/><Relationship Type="http://schemas.openxmlformats.org/officeDocument/2006/relationships/hyperlink" Target="https://www.ikea.com.tw/zh/products/boxes-and-organisers/boxes-and-baskets/slattervall-art-50612427" TargetMode="External" Id="rId331"/><Relationship Type="http://schemas.openxmlformats.org/officeDocument/2006/relationships/hyperlink" Target="https://www.ikea.com.tw/zh/products/boxes-and-organisers/boxes-and-baskets/slatterang-art-90625809" TargetMode="External" Id="rId332"/><Relationship Type="http://schemas.openxmlformats.org/officeDocument/2006/relationships/hyperlink" Target="https://www.ikea.com.tw/zh/products/boxes-and-organisers/boxes-and-baskets/smarra-art-40348065" TargetMode="External" Id="rId333"/><Relationship Type="http://schemas.openxmlformats.org/officeDocument/2006/relationships/hyperlink" Target="https://www.ikea.com.tw/zh/products/boxes-and-organisers/boxes-and-baskets/sockerbit-art-70316181" TargetMode="External" Id="rId334"/><Relationship Type="http://schemas.openxmlformats.org/officeDocument/2006/relationships/hyperlink" Target="https://www.ikea.com.tw/zh/products/boxes-and-organisers/boxes-and-baskets/sockerbit-art-50316064" TargetMode="External" Id="rId335"/><Relationship Type="http://schemas.openxmlformats.org/officeDocument/2006/relationships/hyperlink" Target="https://www.ikea.com.tw/zh/products/boxes-and-organisers/boxes-and-baskets/sopprot-art-10435945" TargetMode="External" Id="rId336"/><Relationship Type="http://schemas.openxmlformats.org/officeDocument/2006/relationships/hyperlink" Target="https://www.ikea.com.tw/zh/products/boxes-and-organisers/boxes-and-baskets/sopprot-art-90435946" TargetMode="External" Id="rId337"/><Relationship Type="http://schemas.openxmlformats.org/officeDocument/2006/relationships/hyperlink" Target="https://www.ikea.com.tw/zh/products/boxes-and-organisers/boxes-and-baskets/sopprot-art-70435947" TargetMode="External" Id="rId338"/><Relationship Type="http://schemas.openxmlformats.org/officeDocument/2006/relationships/hyperlink" Target="https://www.ikea.com.tw/zh/products/boxes-and-organisers/organisers/stackstod-art-30620145" TargetMode="External" Id="rId339"/><Relationship Type="http://schemas.openxmlformats.org/officeDocument/2006/relationships/hyperlink" Target="https://www.ikea.com.tw/zh/products/clothes-and-shoe-organisers-and-accessories/clothes-and-shoes-organisers/stuk-art-50621525" TargetMode="External" Id="rId340"/><Relationship Type="http://schemas.openxmlformats.org/officeDocument/2006/relationships/hyperlink" Target="https://www.ikea.com.tw/zh/products/boxes-and-organisers/organisers/satting-art-30534628" TargetMode="External" Id="rId341"/><Relationship Type="http://schemas.openxmlformats.org/officeDocument/2006/relationships/hyperlink" Target="https://www.ikea.com.tw/zh/products/boxes-and-organisers/boxes-and-baskets/uppdatera-art-80610549" TargetMode="External" Id="rId342"/><Relationship Type="http://schemas.openxmlformats.org/officeDocument/2006/relationships/hyperlink" Target="https://www.ikea.com.tw/zh/products/boxes-and-organisers/boxes-and-baskets/uppdatera-art-20546472" TargetMode="External" Id="rId343"/><Relationship Type="http://schemas.openxmlformats.org/officeDocument/2006/relationships/hyperlink" Target="https://www.ikea.com.tw/zh/products/boxes-and-organisers/boxes-and-baskets/uppdatera-art-20520721" TargetMode="External" Id="rId344"/><Relationship Type="http://schemas.openxmlformats.org/officeDocument/2006/relationships/hyperlink" Target="https://www.ikea.com.tw/zh/products/boxes-and-organisers/boxes-and-baskets/uppdatera-art-00520722" TargetMode="External" Id="rId345"/><Relationship Type="http://schemas.openxmlformats.org/officeDocument/2006/relationships/hyperlink" Target="https://www.ikea.com.tw/zh/products/kitchen-accessories/kitchen-interior-organisers/uppdatera-art-40486410" TargetMode="External" Id="rId346"/><Relationship Type="http://schemas.openxmlformats.org/officeDocument/2006/relationships/hyperlink" Target="https://www.ikea.com.tw/zh/products/kitchen-accessories/kitchen-interior-organisers/uppdatera-art-60486409" TargetMode="External" Id="rId347"/><Relationship Type="http://schemas.openxmlformats.org/officeDocument/2006/relationships/hyperlink" Target="https://www.ikea.com.tw/zh/products/kitchen-accessories/kitchen-interior-organisers/uppdatera-art-00486426" TargetMode="External" Id="rId348"/><Relationship Type="http://schemas.openxmlformats.org/officeDocument/2006/relationships/hyperlink" Target="https://www.ikea.com.tw/zh/products/boxes-and-organisers/boxes-and-baskets/uppsnofsad-art-60440765" TargetMode="External" Id="rId349"/><Relationship Type="http://schemas.openxmlformats.org/officeDocument/2006/relationships/hyperlink" Target="https://www.ikea.com.tw/zh/products/boxes-and-organisers/storage-boxes-and-accessories/uppsnofsad-art-30598205" TargetMode="External" Id="rId350"/><Relationship Type="http://schemas.openxmlformats.org/officeDocument/2006/relationships/hyperlink" Target="https://www.ikea.com.tw/zh/products/boxes-and-organisers/storage-boxes-and-accessories/uppsnofsad-spr-29599994" TargetMode="External" Id="rId351"/><Relationship Type="http://schemas.openxmlformats.org/officeDocument/2006/relationships/hyperlink" Target="https://www.ikea.com.tw/zh/products/boxes-and-organisers/storage-boxes-and-accessories/uppsnofsad-spr-69630073" TargetMode="External" Id="rId352"/><Relationship Type="http://schemas.openxmlformats.org/officeDocument/2006/relationships/hyperlink" Target="https://www.ikea.com.tw/zh/products/boxes-and-organisers/boxes-and-baskets/vattentrag-art-00551092" TargetMode="External" Id="rId353"/><Relationship Type="http://schemas.openxmlformats.org/officeDocument/2006/relationships/hyperlink" Target="https://www.ikea.com.tw/zh/products/boxes-and-organisers/organisers/skubb-art-00472957" TargetMode="External" Id="rId354"/><Relationship Type="http://schemas.openxmlformats.org/officeDocument/2006/relationships/hyperlink" Target="https://www.ikea.com.tw/zh/products/boxes-and-organisers/organisers/skubb-art-00472957" TargetMode="External" Id="rId355"/><Relationship Type="http://schemas.openxmlformats.org/officeDocument/2006/relationships/hyperlink" Target="https://www.ikea.com.tw/zh/products/boxes-and-organisers/organisers/skubb-art-00472957" TargetMode="External" Id="rId356"/><Relationship Type="http://schemas.openxmlformats.org/officeDocument/2006/relationships/hyperlink" Target="https://www.ikea.com.tw/zh/products/boxes-and-organisers/boxes-and-baskets/brogrund-art-90329093" TargetMode="External" Id="rId357"/><Relationship Type="http://schemas.openxmlformats.org/officeDocument/2006/relationships/hyperlink" Target="https://www.ikea.com.tw/zh/products/boxes-and-organisers/boxes-and-baskets/brogrund-art-90329093" TargetMode="External" Id="rId358"/><Relationship Type="http://schemas.openxmlformats.org/officeDocument/2006/relationships/hyperlink" Target="https://www.ikea.com.tw/zh/products/boxes-and-organisers/organisers/komplement-spr-79260839" TargetMode="External" Id="rId359"/><Relationship Type="http://schemas.openxmlformats.org/officeDocument/2006/relationships/hyperlink" Target="https://www.ikea.com.tw/zh/products/boxes-and-organisers/organisers/komplement-spr-79260839" TargetMode="External" Id="rId360"/><Relationship Type="http://schemas.openxmlformats.org/officeDocument/2006/relationships/hyperlink" Target="https://www.ikea.com.tw/zh/products/boxes-and-organisers/organisers/komplement-spr-19260842" TargetMode="External" Id="rId361"/><Relationship Type="http://schemas.openxmlformats.org/officeDocument/2006/relationships/hyperlink" Target="https://www.ikea.com.tw/zh/products/boxes-and-organisers/organisers/komplement-spr-19260842" TargetMode="External" Id="rId362"/><Relationship Type="http://schemas.openxmlformats.org/officeDocument/2006/relationships/hyperlink" Target="https://www.ikea.com.tw/zh/products/boxes-and-organisers/organisers/komplement-spr-49260845" TargetMode="External" Id="rId363"/><Relationship Type="http://schemas.openxmlformats.org/officeDocument/2006/relationships/hyperlink" Target="https://www.ikea.com.tw/zh/products/boxes-and-organisers/organisers/komplement-spr-49260845" TargetMode="External" Id="rId364"/><Relationship Type="http://schemas.openxmlformats.org/officeDocument/2006/relationships/hyperlink" Target="https://www.ikea.com.tw/zh/products/boxes-and-organisers/organisers/dronjons-art-80439695" TargetMode="External" Id="rId365"/><Relationship Type="http://schemas.openxmlformats.org/officeDocument/2006/relationships/hyperlink" Target="https://www.ikea.com.tw/zh/products/boxes-and-organisers/organisers/dronjons-art-80439695" TargetMode="External" Id="rId366"/><Relationship Type="http://schemas.openxmlformats.org/officeDocument/2006/relationships/hyperlink" Target="https://www.ikea.com.tw/zh/products/boxes-and-organisers/organisers/kuggis-art-80515335" TargetMode="External" Id="rId367"/><Relationship Type="http://schemas.openxmlformats.org/officeDocument/2006/relationships/hyperlink" Target="https://www.ikea.com.tw/zh/products/boxes-and-organisers/organisers/fjaderharv-art-90596915" TargetMode="External" Id="rId368"/><Relationship Type="http://schemas.openxmlformats.org/officeDocument/2006/relationships/hyperlink" Target="https://www.ikea.com.tw/zh/products/boxes-and-organisers/organisers/gardesgard-art-40596951" TargetMode="External" Id="rId369"/><Relationship Type="http://schemas.openxmlformats.org/officeDocument/2006/relationships/hyperlink" Target="https://www.ikea.com.tw/zh/products/boxes-and-organisers/organisers/tjabba-art-50497502" TargetMode="External" Id="rId370"/><Relationship Type="http://schemas.openxmlformats.org/officeDocument/2006/relationships/hyperlink" Target="https://www.ikea.com.tw/zh/products/boxes-and-organisers/organisers/harvmatta-art-00578586" TargetMode="External" Id="rId3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38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  <col width="16" customWidth="1" min="13" max="13"/>
    <col width="11" customWidth="1" min="14" max="14"/>
    <col width="11" customWidth="1" min="15" max="15"/>
    <col width="9" customWidth="1" min="16" max="16"/>
    <col width="11" customWidth="1" min="17" max="17"/>
    <col width="30" customWidth="1" min="18" max="18"/>
    <col width="11" customWidth="1" min="19" max="19"/>
    <col width="11" customWidth="1" min="20" max="20"/>
    <col width="50" customWidth="1" min="21" max="21"/>
    <col width="28" customWidth="1" min="22" max="22"/>
  </cols>
  <sheetData>
    <row r="1">
      <c r="A1" s="1" t="inlineStr">
        <is>
          <t>編號</t>
        </is>
      </c>
      <c r="B1" s="1" t="inlineStr">
        <is>
          <t>品牌</t>
        </is>
      </c>
      <c r="C1" s="1" t="inlineStr">
        <is>
          <t>系列</t>
        </is>
      </c>
      <c r="D1" s="1" t="inlineStr">
        <is>
          <t>品名</t>
        </is>
      </c>
      <c r="E1" s="1" t="inlineStr">
        <is>
          <t>商品編號</t>
        </is>
      </c>
      <c r="F1" s="1" t="inlineStr">
        <is>
          <t>外寬cm</t>
        </is>
      </c>
      <c r="G1" s="1" t="inlineStr">
        <is>
          <t>外深cm</t>
        </is>
      </c>
      <c r="H1" s="1" t="inlineStr">
        <is>
          <t>外高cm</t>
        </is>
      </c>
      <c r="I1" s="1" t="inlineStr">
        <is>
          <t>內寬cm</t>
        </is>
      </c>
      <c r="J1" s="1" t="inlineStr">
        <is>
          <t>內深cm</t>
        </is>
      </c>
      <c r="K1" s="1" t="inlineStr">
        <is>
          <t>內高cm</t>
        </is>
      </c>
      <c r="L1" s="1" t="inlineStr">
        <is>
          <t>材質</t>
        </is>
      </c>
      <c r="M1" s="1" t="inlineStr">
        <is>
          <t>顏色</t>
        </is>
      </c>
      <c r="N1" s="1" t="inlineStr">
        <is>
          <t>可堆疊</t>
        </is>
      </c>
      <c r="O1" s="1" t="inlineStr">
        <is>
          <t>附蓋</t>
        </is>
      </c>
      <c r="P1" s="1" t="inlineStr">
        <is>
          <t>售價NT$</t>
        </is>
      </c>
      <c r="Q1" s="1" t="inlineStr">
        <is>
          <t>查價日</t>
        </is>
      </c>
      <c r="R1" s="1" t="inlineStr">
        <is>
          <t>官網連結</t>
        </is>
      </c>
      <c r="S1" s="1" t="inlineStr">
        <is>
          <t>來源</t>
        </is>
      </c>
      <c r="T1" s="1" t="inlineStr">
        <is>
          <t>可信度</t>
        </is>
      </c>
      <c r="U1" s="1" t="inlineStr">
        <is>
          <t>備註</t>
        </is>
      </c>
      <c r="V1" s="1" t="inlineStr">
        <is>
          <t>套組／多件裝</t>
        </is>
      </c>
    </row>
    <row r="2">
      <c r="A2" s="2" t="inlineStr">
        <is>
          <t>MUJI-001</t>
        </is>
      </c>
      <c r="B2" s="2" t="inlineStr">
        <is>
          <t>MUJI</t>
        </is>
      </c>
      <c r="C2" s="2" t="inlineStr">
        <is>
          <t>PP整理盒</t>
        </is>
      </c>
      <c r="D2" s="2" t="inlineStr">
        <is>
          <t>PP整理盒1</t>
        </is>
      </c>
      <c r="E2" s="2" t="inlineStr">
        <is>
          <t>4548076037309</t>
        </is>
      </c>
      <c r="F2" s="2" t="n">
        <v>8.5</v>
      </c>
      <c r="G2" s="2" t="n">
        <v>8.5</v>
      </c>
      <c r="H2" s="2" t="n">
        <v>5</v>
      </c>
      <c r="I2" s="2" t="n"/>
      <c r="J2" s="2" t="n"/>
      <c r="K2" s="2" t="n"/>
      <c r="L2" s="2" t="inlineStr">
        <is>
          <t>聚丙烯</t>
        </is>
      </c>
      <c r="M2" s="2" t="inlineStr"/>
      <c r="N2" s="2" t="inlineStr"/>
      <c r="O2" s="2" t="inlineStr">
        <is>
          <t>N</t>
        </is>
      </c>
      <c r="P2" s="2" t="n">
        <v>29</v>
      </c>
      <c r="Q2" s="2" t="inlineStr">
        <is>
          <t>2026-10-26</t>
        </is>
      </c>
      <c r="R2" s="3" t="inlineStr">
        <is>
          <t>https://shop.muji.tw/SalePage/Index/11704064</t>
        </is>
      </c>
      <c r="S2" s="2" t="inlineStr">
        <is>
          <t>官網</t>
        </is>
      </c>
      <c r="T2" s="2" t="inlineStr">
        <is>
          <t>high</t>
        </is>
      </c>
      <c r="U2" s="2" t="inlineStr">
        <is>
          <t>可將4種尺寸任意搭配；同系列：整理盒1(8.5×8.5)、2(8.5×25.5)、3(17×25.5)、4(11.5×34)，皆高5cm；整理盒1寬×2≈整理盒3寬(17)，整理盒1深×3=整理盒2深(25.5)；容量約240ml；品號MCL10A5A</t>
        </is>
      </c>
      <c r="V2" s="2" t="inlineStr"/>
    </row>
    <row r="3">
      <c r="A3" s="2" t="inlineStr">
        <is>
          <t>MUJI-002</t>
        </is>
      </c>
      <c r="B3" s="2" t="inlineStr">
        <is>
          <t>MUJI</t>
        </is>
      </c>
      <c r="C3" s="2" t="inlineStr">
        <is>
          <t>PP整理盒</t>
        </is>
      </c>
      <c r="D3" s="2" t="inlineStr">
        <is>
          <t>PP整理盒2</t>
        </is>
      </c>
      <c r="E3" s="2" t="inlineStr">
        <is>
          <t>4548076037316</t>
        </is>
      </c>
      <c r="F3" s="2" t="n">
        <v>8.5</v>
      </c>
      <c r="G3" s="2" t="n">
        <v>25.5</v>
      </c>
      <c r="H3" s="2" t="n">
        <v>5</v>
      </c>
      <c r="I3" s="2" t="n"/>
      <c r="J3" s="2" t="n"/>
      <c r="K3" s="2" t="n"/>
      <c r="L3" s="2" t="inlineStr">
        <is>
          <t>聚丙烯</t>
        </is>
      </c>
      <c r="M3" s="2" t="inlineStr"/>
      <c r="N3" s="2" t="inlineStr"/>
      <c r="O3" s="2" t="inlineStr">
        <is>
          <t>N</t>
        </is>
      </c>
      <c r="P3" s="2" t="n">
        <v>49</v>
      </c>
      <c r="Q3" s="2" t="inlineStr">
        <is>
          <t>2026-10-26</t>
        </is>
      </c>
      <c r="R3" s="3" t="inlineStr">
        <is>
          <t>https://shop.muji.tw/SalePage/Index/11704065</t>
        </is>
      </c>
      <c r="S3" s="2" t="inlineStr">
        <is>
          <t>官網</t>
        </is>
      </c>
      <c r="T3" s="2" t="inlineStr">
        <is>
          <t>high</t>
        </is>
      </c>
      <c r="U3" s="2" t="inlineStr">
        <is>
          <t>可將4種尺寸任意搭配；同系列：整理盒1(8.5×8.5)、2(8.5×25.5)、3(17×25.5)、4(11.5×34)，皆高5cm；整理盒1寬×2≈整理盒3寬(17)，整理盒1深×3=整理盒2深(25.5)；容量約800ml；品號MCL11A5A；線上另有舊款「PP整理盒2」(無染色，JAN 4550512057109，同尺寸，網路商店顯示已售完，SalePage 8959675)</t>
        </is>
      </c>
      <c r="V3" s="2" t="inlineStr"/>
    </row>
    <row r="4">
      <c r="A4" s="2" t="inlineStr">
        <is>
          <t>MUJI-003</t>
        </is>
      </c>
      <c r="B4" s="2" t="inlineStr">
        <is>
          <t>MUJI</t>
        </is>
      </c>
      <c r="C4" s="2" t="inlineStr">
        <is>
          <t>PP整理盒</t>
        </is>
      </c>
      <c r="D4" s="2" t="inlineStr">
        <is>
          <t>PP整理盒3</t>
        </is>
      </c>
      <c r="E4" s="2" t="inlineStr">
        <is>
          <t>4548076037330</t>
        </is>
      </c>
      <c r="F4" s="2" t="n">
        <v>17</v>
      </c>
      <c r="G4" s="2" t="n">
        <v>25.5</v>
      </c>
      <c r="H4" s="2" t="n">
        <v>5</v>
      </c>
      <c r="I4" s="2" t="n"/>
      <c r="J4" s="2" t="n"/>
      <c r="K4" s="2" t="n"/>
      <c r="L4" s="2" t="inlineStr">
        <is>
          <t>聚丙烯</t>
        </is>
      </c>
      <c r="M4" s="2" t="inlineStr"/>
      <c r="N4" s="2" t="inlineStr"/>
      <c r="O4" s="2" t="inlineStr">
        <is>
          <t>N</t>
        </is>
      </c>
      <c r="P4" s="2" t="n">
        <v>59</v>
      </c>
      <c r="Q4" s="2" t="inlineStr">
        <is>
          <t>2026-10-26</t>
        </is>
      </c>
      <c r="R4" s="3" t="inlineStr">
        <is>
          <t>https://shop.muji.tw/SalePage/Index/11704066</t>
        </is>
      </c>
      <c r="S4" s="2" t="inlineStr">
        <is>
          <t>官網</t>
        </is>
      </c>
      <c r="T4" s="2" t="inlineStr">
        <is>
          <t>high</t>
        </is>
      </c>
      <c r="U4" s="2" t="inlineStr">
        <is>
          <t>可將4種尺寸任意搭配；同系列：整理盒1(8.5×8.5)、2(8.5×25.5)、3(17×25.5)、4(11.5×34)，皆高5cm；整理盒1寬×2≈整理盒3寬(17)，整理盒1深×3=整理盒2深(25.5)；容量約1,700ml；品號MCL12A5A</t>
        </is>
      </c>
      <c r="V4" s="2" t="inlineStr"/>
    </row>
    <row r="5">
      <c r="A5" s="2" t="inlineStr">
        <is>
          <t>MUJI-004</t>
        </is>
      </c>
      <c r="B5" s="2" t="inlineStr">
        <is>
          <t>MUJI</t>
        </is>
      </c>
      <c r="C5" s="2" t="inlineStr">
        <is>
          <t>PP整理盒</t>
        </is>
      </c>
      <c r="D5" s="2" t="inlineStr">
        <is>
          <t>PP整理盒4</t>
        </is>
      </c>
      <c r="E5" s="2" t="inlineStr">
        <is>
          <t>4548076037347</t>
        </is>
      </c>
      <c r="F5" s="2" t="n">
        <v>11.5</v>
      </c>
      <c r="G5" s="2" t="n">
        <v>34</v>
      </c>
      <c r="H5" s="2" t="n">
        <v>5</v>
      </c>
      <c r="I5" s="2" t="n"/>
      <c r="J5" s="2" t="n"/>
      <c r="K5" s="2" t="n"/>
      <c r="L5" s="2" t="inlineStr">
        <is>
          <t>聚丙烯</t>
        </is>
      </c>
      <c r="M5" s="2" t="inlineStr"/>
      <c r="N5" s="2" t="inlineStr"/>
      <c r="O5" s="2" t="inlineStr">
        <is>
          <t>N</t>
        </is>
      </c>
      <c r="P5" s="2" t="n">
        <v>49</v>
      </c>
      <c r="Q5" s="2" t="inlineStr">
        <is>
          <t>2026-10-26</t>
        </is>
      </c>
      <c r="R5" s="3" t="inlineStr">
        <is>
          <t>https://shop.muji.tw/SalePage/Index/11704067</t>
        </is>
      </c>
      <c r="S5" s="2" t="inlineStr">
        <is>
          <t>官網</t>
        </is>
      </c>
      <c r="T5" s="2" t="inlineStr">
        <is>
          <t>high</t>
        </is>
      </c>
      <c r="U5" s="2" t="inlineStr">
        <is>
          <t>可將4種尺寸任意搭配；同系列：整理盒1(8.5×8.5)、2(8.5×25.5)、3(17×25.5)、4(11.5×34)，皆高5cm；整理盒1寬×2≈整理盒3寬(17)，整理盒1深×3=整理盒2深(25.5)；容量約1,500ml；品號MCL13A5A；線上另有舊款「PP整理盒4」(無染色，JAN 4550512057123，同尺寸，SalePage 8959676)</t>
        </is>
      </c>
      <c r="V5" s="2" t="inlineStr"/>
    </row>
    <row r="6">
      <c r="A6" s="2" t="inlineStr">
        <is>
          <t>MUJI-005</t>
        </is>
      </c>
      <c r="B6" s="2" t="inlineStr">
        <is>
          <t>MUJI</t>
        </is>
      </c>
      <c r="C6" s="2" t="inlineStr">
        <is>
          <t>PP抽屜整理盒</t>
        </is>
      </c>
      <c r="D6" s="2" t="inlineStr">
        <is>
          <t>PP抽屜整理盒(1)/100×100×40mm</t>
        </is>
      </c>
      <c r="E6" s="2" t="inlineStr">
        <is>
          <t>4548718421541</t>
        </is>
      </c>
      <c r="F6" s="2" t="n">
        <v>10</v>
      </c>
      <c r="G6" s="2" t="n">
        <v>10</v>
      </c>
      <c r="H6" s="2" t="n">
        <v>4</v>
      </c>
      <c r="I6" s="2" t="n"/>
      <c r="J6" s="2" t="n"/>
      <c r="K6" s="2" t="n"/>
      <c r="L6" s="2" t="inlineStr">
        <is>
          <t>聚丙烯</t>
        </is>
      </c>
      <c r="M6" s="2" t="inlineStr"/>
      <c r="N6" s="2" t="inlineStr"/>
      <c r="O6" s="2" t="inlineStr">
        <is>
          <t>N</t>
        </is>
      </c>
      <c r="P6" s="2" t="n">
        <v>29</v>
      </c>
      <c r="Q6" s="2" t="inlineStr">
        <is>
          <t>2026-10-26</t>
        </is>
      </c>
      <c r="R6" s="3" t="inlineStr">
        <is>
          <t>https://shop.muji.tw/SalePage/Index/8917015</t>
        </is>
      </c>
      <c r="S6" s="2" t="inlineStr">
        <is>
          <t>官網</t>
        </is>
      </c>
      <c r="T6" s="2" t="inlineStr">
        <is>
          <t>high</t>
        </is>
      </c>
      <c r="U6" s="2" t="inlineStr">
        <is>
          <t>附隔間；共4種規格可組合用於不同尺寸抽屜；高4cm；產地日本；另售整理盒用隔板(型錄貨號18497997)</t>
        </is>
      </c>
      <c r="V6" s="2" t="inlineStr"/>
    </row>
    <row r="7">
      <c r="A7" s="2" t="inlineStr">
        <is>
          <t>MUJI-006</t>
        </is>
      </c>
      <c r="B7" s="2" t="inlineStr">
        <is>
          <t>MUJI</t>
        </is>
      </c>
      <c r="C7" s="2" t="inlineStr">
        <is>
          <t>PP抽屜整理盒</t>
        </is>
      </c>
      <c r="D7" s="2" t="inlineStr">
        <is>
          <t>PP抽屜整理盒(2)/100×200×40mm</t>
        </is>
      </c>
      <c r="E7" s="2" t="inlineStr">
        <is>
          <t>4548718421558</t>
        </is>
      </c>
      <c r="F7" s="2" t="n">
        <v>10</v>
      </c>
      <c r="G7" s="2" t="n">
        <v>20</v>
      </c>
      <c r="H7" s="2" t="n">
        <v>4</v>
      </c>
      <c r="I7" s="2" t="n"/>
      <c r="J7" s="2" t="n"/>
      <c r="K7" s="2" t="n"/>
      <c r="L7" s="2" t="inlineStr">
        <is>
          <t>聚丙烯</t>
        </is>
      </c>
      <c r="M7" s="2" t="inlineStr"/>
      <c r="N7" s="2" t="inlineStr"/>
      <c r="O7" s="2" t="inlineStr">
        <is>
          <t>N</t>
        </is>
      </c>
      <c r="P7" s="2" t="n">
        <v>59</v>
      </c>
      <c r="Q7" s="2" t="inlineStr">
        <is>
          <t>2026-10-26</t>
        </is>
      </c>
      <c r="R7" s="3" t="inlineStr">
        <is>
          <t>https://shop.muji.tw/SalePage/Index/8916946</t>
        </is>
      </c>
      <c r="S7" s="2" t="inlineStr">
        <is>
          <t>官網</t>
        </is>
      </c>
      <c r="T7" s="2" t="inlineStr">
        <is>
          <t>high</t>
        </is>
      </c>
      <c r="U7" s="2" t="inlineStr">
        <is>
          <t>附隔間；共4種規格可組合用於不同尺寸抽屜；高4cm；產地日本；另售整理盒用隔板(型錄貨號18497997)；(1)×2=(2)</t>
        </is>
      </c>
      <c r="V7" s="2" t="inlineStr"/>
    </row>
    <row r="8">
      <c r="A8" s="2" t="inlineStr">
        <is>
          <t>MUJI-007</t>
        </is>
      </c>
      <c r="B8" s="2" t="inlineStr">
        <is>
          <t>MUJI</t>
        </is>
      </c>
      <c r="C8" s="2" t="inlineStr">
        <is>
          <t>PP抽屜整理盒</t>
        </is>
      </c>
      <c r="D8" s="2" t="inlineStr">
        <is>
          <t>PP抽屜整理盒(3)/67×200×40mm</t>
        </is>
      </c>
      <c r="E8" s="2" t="inlineStr">
        <is>
          <t>4548718421565</t>
        </is>
      </c>
      <c r="F8" s="2" t="n">
        <v>6.7</v>
      </c>
      <c r="G8" s="2" t="n">
        <v>20</v>
      </c>
      <c r="H8" s="2" t="n">
        <v>4</v>
      </c>
      <c r="I8" s="2" t="n"/>
      <c r="J8" s="2" t="n"/>
      <c r="K8" s="2" t="n"/>
      <c r="L8" s="2" t="inlineStr">
        <is>
          <t>聚丙烯</t>
        </is>
      </c>
      <c r="M8" s="2" t="inlineStr"/>
      <c r="N8" s="2" t="inlineStr"/>
      <c r="O8" s="2" t="inlineStr">
        <is>
          <t>N</t>
        </is>
      </c>
      <c r="P8" s="2" t="n">
        <v>49</v>
      </c>
      <c r="Q8" s="2" t="inlineStr">
        <is>
          <t>2026-10-26</t>
        </is>
      </c>
      <c r="R8" s="3" t="inlineStr">
        <is>
          <t>https://shop.muji.tw/SalePage/Index/8916945</t>
        </is>
      </c>
      <c r="S8" s="2" t="inlineStr">
        <is>
          <t>官網</t>
        </is>
      </c>
      <c r="T8" s="2" t="inlineStr">
        <is>
          <t>high</t>
        </is>
      </c>
      <c r="U8" s="2" t="inlineStr">
        <is>
          <t>附隔間；共4種規格可組合用於不同尺寸抽屜；高4cm；產地日本；另售PP抽屜整理盒用隔板(3)(型錄貨號18498000)</t>
        </is>
      </c>
      <c r="V8" s="2" t="inlineStr"/>
    </row>
    <row r="9">
      <c r="A9" s="2" t="inlineStr">
        <is>
          <t>MUJI-008</t>
        </is>
      </c>
      <c r="B9" s="2" t="inlineStr">
        <is>
          <t>MUJI</t>
        </is>
      </c>
      <c r="C9" s="2" t="inlineStr">
        <is>
          <t>PP抽屜整理盒</t>
        </is>
      </c>
      <c r="D9" s="2" t="inlineStr">
        <is>
          <t>PP抽屜整理盒(4)/134×200×40mm</t>
        </is>
      </c>
      <c r="E9" s="2" t="inlineStr">
        <is>
          <t>4548718421572</t>
        </is>
      </c>
      <c r="F9" s="2" t="n">
        <v>13.4</v>
      </c>
      <c r="G9" s="2" t="n">
        <v>20</v>
      </c>
      <c r="H9" s="2" t="n">
        <v>4</v>
      </c>
      <c r="I9" s="2" t="n"/>
      <c r="J9" s="2" t="n"/>
      <c r="K9" s="2" t="n"/>
      <c r="L9" s="2" t="inlineStr">
        <is>
          <t>聚丙烯</t>
        </is>
      </c>
      <c r="M9" s="2" t="inlineStr"/>
      <c r="N9" s="2" t="inlineStr"/>
      <c r="O9" s="2" t="inlineStr">
        <is>
          <t>N</t>
        </is>
      </c>
      <c r="P9" s="2" t="n">
        <v>59</v>
      </c>
      <c r="Q9" s="2" t="inlineStr">
        <is>
          <t>2026-10-26</t>
        </is>
      </c>
      <c r="R9" s="3" t="inlineStr">
        <is>
          <t>https://shop.muji.tw/SalePage/Index/8916928</t>
        </is>
      </c>
      <c r="S9" s="2" t="inlineStr">
        <is>
          <t>官網</t>
        </is>
      </c>
      <c r="T9" s="2" t="inlineStr">
        <is>
          <t>high</t>
        </is>
      </c>
      <c r="U9" s="2" t="inlineStr">
        <is>
          <t>附隔間；共4種規格可組合用於不同尺寸抽屜；高4cm；產地日本；另售PP抽屜整理盒用隔板(4)(型錄貨號18498017)；(3)×2=(4)寬</t>
        </is>
      </c>
      <c r="V9" s="2" t="inlineStr"/>
    </row>
    <row r="10">
      <c r="A10" s="2" t="inlineStr">
        <is>
          <t>MUJI-009</t>
        </is>
      </c>
      <c r="B10" s="2" t="inlineStr">
        <is>
          <t>MUJI</t>
        </is>
      </c>
      <c r="C10" s="2" t="inlineStr">
        <is>
          <t>PP盒/抽屜式</t>
        </is>
      </c>
      <c r="D10" s="2" t="inlineStr">
        <is>
          <t>PP盒/深型(正反疊)</t>
        </is>
      </c>
      <c r="E10" s="2" t="inlineStr">
        <is>
          <t>4547315253586</t>
        </is>
      </c>
      <c r="F10" s="2" t="n">
        <v>26</v>
      </c>
      <c r="G10" s="2" t="n">
        <v>37</v>
      </c>
      <c r="H10" s="2" t="n">
        <v>17.5</v>
      </c>
      <c r="I10" s="2" t="n">
        <v>22</v>
      </c>
      <c r="J10" s="2" t="n">
        <v>33.5</v>
      </c>
      <c r="K10" s="2" t="n">
        <v>14</v>
      </c>
      <c r="L10" s="2" t="inlineStr">
        <is>
          <t>聚丙烯</t>
        </is>
      </c>
      <c r="M10" s="2" t="inlineStr">
        <is>
          <t>白灰/半透明</t>
        </is>
      </c>
      <c r="N10" s="2" t="inlineStr">
        <is>
          <t>Y</t>
        </is>
      </c>
      <c r="O10" s="2" t="inlineStr">
        <is>
          <t>N</t>
        </is>
      </c>
      <c r="P10" s="2" t="n">
        <v>439</v>
      </c>
      <c r="Q10" s="2" t="inlineStr">
        <is>
          <t>2026-10-26</t>
        </is>
      </c>
      <c r="R10" s="3" t="inlineStr">
        <is>
          <t>https://shop.muji.tw/SalePage/Index/8920882</t>
        </is>
      </c>
      <c r="S10" s="2" t="inlineStr">
        <is>
          <t>官網</t>
        </is>
      </c>
      <c r="T10" s="2" t="inlineStr">
        <is>
          <t>high</t>
        </is>
      </c>
      <c r="U10" s="2" t="inlineStr">
        <is>
          <t>寬26×深37系列，可正反疊、互相堆疊；可加裝輪子(另售，加裝後高度約增3.8~4.2cm)；可放入SUS層架、自由組合層架；最高堆疊6層；耐重約4kg、抽屜上方約2kg；可收納約22片DVD；半透明款型錄貨號37192447(JAN 4549337192447)，官網特集頁 https://www.muji.com/tw/feature/polypropylene-storage/標示半透明款售價380元，與網路商店白灰款439元不同</t>
        </is>
      </c>
      <c r="V10" s="2" t="inlineStr"/>
    </row>
    <row r="11">
      <c r="A11" s="2" t="inlineStr">
        <is>
          <t>MUJI-010</t>
        </is>
      </c>
      <c r="B11" s="2" t="inlineStr">
        <is>
          <t>MUJI</t>
        </is>
      </c>
      <c r="C11" s="2" t="inlineStr">
        <is>
          <t>PP盒/抽屜式</t>
        </is>
      </c>
      <c r="D11" s="2" t="inlineStr">
        <is>
          <t>PP盒/深型/2格/附隔板(正反疊)</t>
        </is>
      </c>
      <c r="E11" s="2" t="inlineStr">
        <is>
          <t>4550002108274</t>
        </is>
      </c>
      <c r="F11" s="2" t="n">
        <v>26</v>
      </c>
      <c r="G11" s="2" t="n">
        <v>37</v>
      </c>
      <c r="H11" s="2" t="n">
        <v>17.5</v>
      </c>
      <c r="I11" s="2" t="n">
        <v>10.5</v>
      </c>
      <c r="J11" s="2" t="n">
        <v>33.5</v>
      </c>
      <c r="K11" s="2" t="n">
        <v>14</v>
      </c>
      <c r="L11" s="2" t="inlineStr">
        <is>
          <t>聚丙烯</t>
        </is>
      </c>
      <c r="M11" s="2" t="inlineStr">
        <is>
          <t>白灰/半透明</t>
        </is>
      </c>
      <c r="N11" s="2" t="inlineStr">
        <is>
          <t>Y</t>
        </is>
      </c>
      <c r="O11" s="2" t="inlineStr">
        <is>
          <t>N</t>
        </is>
      </c>
      <c r="P11" s="2" t="n">
        <v>669</v>
      </c>
      <c r="Q11" s="2" t="inlineStr">
        <is>
          <t>2026-10-26</t>
        </is>
      </c>
      <c r="R11" s="3" t="inlineStr">
        <is>
          <t>https://shop.muji.tw/SalePage/Index/8920941</t>
        </is>
      </c>
      <c r="S11" s="2" t="inlineStr">
        <is>
          <t>官網</t>
        </is>
      </c>
      <c r="T11" s="2" t="inlineStr">
        <is>
          <t>high</t>
        </is>
      </c>
      <c r="U11" s="2" t="inlineStr">
        <is>
          <t>寬26×深37系列，可正反疊、互相堆疊；可加裝輪子(另售，加裝後高度約增3.8~4.2cm)；可放入SUS層架、自由組合層架；2抽屜並排，內寸為單一抽屜；附4片分隔板(一抽屜可分4格)；最高堆疊6層；可收納約40片CD；半透明款型錄貨號76749028，特集頁標示半透明款640元</t>
        </is>
      </c>
      <c r="V11" s="2" t="inlineStr"/>
    </row>
    <row r="12">
      <c r="A12" s="2" t="inlineStr">
        <is>
          <t>MUJI-011</t>
        </is>
      </c>
      <c r="B12" s="2" t="inlineStr">
        <is>
          <t>MUJI</t>
        </is>
      </c>
      <c r="C12" s="2" t="inlineStr">
        <is>
          <t>PP盒/抽屜式</t>
        </is>
      </c>
      <c r="D12" s="2" t="inlineStr">
        <is>
          <t>PP盒/深型/窄/附隔板(正反疊)</t>
        </is>
      </c>
      <c r="E12" s="2" t="inlineStr">
        <is>
          <t>4548076749035</t>
        </is>
      </c>
      <c r="F12" s="2" t="n">
        <v>14</v>
      </c>
      <c r="G12" s="2" t="n">
        <v>37</v>
      </c>
      <c r="H12" s="2" t="n">
        <v>17.5</v>
      </c>
      <c r="I12" s="2" t="n">
        <v>10.5</v>
      </c>
      <c r="J12" s="2" t="n">
        <v>33.5</v>
      </c>
      <c r="K12" s="2" t="n">
        <v>14</v>
      </c>
      <c r="L12" s="2" t="inlineStr">
        <is>
          <t>聚丙烯</t>
        </is>
      </c>
      <c r="M12" s="2" t="inlineStr">
        <is>
          <t>半透明</t>
        </is>
      </c>
      <c r="N12" s="2" t="inlineStr">
        <is>
          <t>Y</t>
        </is>
      </c>
      <c r="O12" s="2" t="inlineStr">
        <is>
          <t>N</t>
        </is>
      </c>
      <c r="P12" s="2" t="n">
        <v>379</v>
      </c>
      <c r="Q12" s="2" t="inlineStr">
        <is>
          <t>2026-10-26</t>
        </is>
      </c>
      <c r="R12" s="3" t="inlineStr">
        <is>
          <t>https://shop.muji.tw/SalePage/Index/8920948</t>
        </is>
      </c>
      <c r="S12" s="2" t="inlineStr">
        <is>
          <t>官網</t>
        </is>
      </c>
      <c r="T12" s="2" t="inlineStr">
        <is>
          <t>high</t>
        </is>
      </c>
      <c r="U12" s="2" t="inlineStr">
        <is>
          <t>寬26×深37系列，可正反疊、互相堆疊；可加裝輪子(另售，加裝後高度約增3.8~4.2cm)；可放入SUS層架、自由組合層架；1/2寬單抽屜，適合縫隙；附2片分隔板；最高堆疊4層；約可收納20片CD；特集頁標示350元</t>
        </is>
      </c>
      <c r="V12" s="2" t="inlineStr"/>
    </row>
    <row r="13">
      <c r="A13" s="2" t="inlineStr">
        <is>
          <t>MUJI-012</t>
        </is>
      </c>
      <c r="B13" s="2" t="inlineStr">
        <is>
          <t>MUJI</t>
        </is>
      </c>
      <c r="C13" s="2" t="inlineStr">
        <is>
          <t>PP盒/抽屜式</t>
        </is>
      </c>
      <c r="D13" s="2" t="inlineStr">
        <is>
          <t>PP盒/淺型(正反疊)</t>
        </is>
      </c>
      <c r="E13" s="2" t="inlineStr">
        <is>
          <t>4547315253579</t>
        </is>
      </c>
      <c r="F13" s="2" t="n">
        <v>26</v>
      </c>
      <c r="G13" s="2" t="n">
        <v>37</v>
      </c>
      <c r="H13" s="2" t="n">
        <v>12</v>
      </c>
      <c r="I13" s="2" t="n">
        <v>22.5</v>
      </c>
      <c r="J13" s="2" t="n">
        <v>34</v>
      </c>
      <c r="K13" s="2" t="n">
        <v>8.5</v>
      </c>
      <c r="L13" s="2" t="inlineStr">
        <is>
          <t>聚丙烯</t>
        </is>
      </c>
      <c r="M13" s="2" t="inlineStr">
        <is>
          <t>白灰/半透明</t>
        </is>
      </c>
      <c r="N13" s="2" t="inlineStr">
        <is>
          <t>Y</t>
        </is>
      </c>
      <c r="O13" s="2" t="inlineStr">
        <is>
          <t>N</t>
        </is>
      </c>
      <c r="P13" s="2" t="n">
        <v>379</v>
      </c>
      <c r="Q13" s="2" t="inlineStr">
        <is>
          <t>2026-10-26</t>
        </is>
      </c>
      <c r="R13" s="3" t="inlineStr">
        <is>
          <t>https://shop.muji.tw/SalePage/Index/8920918</t>
        </is>
      </c>
      <c r="S13" s="2" t="inlineStr">
        <is>
          <t>官網</t>
        </is>
      </c>
      <c r="T13" s="2" t="inlineStr">
        <is>
          <t>high</t>
        </is>
      </c>
      <c r="U13" s="2" t="inlineStr">
        <is>
          <t>寬26×深37系列，可正反疊、互相堆疊；可加裝輪子(另售，加裝後高度約增3.8~4.2cm)；可放入SUS層架、自由組合層架；適合A4；最高堆疊10層；耐重約3kg；半透明款型錄貨號37192423，特集頁標示半透明款350元</t>
        </is>
      </c>
      <c r="V13" s="2" t="inlineStr"/>
    </row>
    <row r="14">
      <c r="A14" s="2" t="inlineStr">
        <is>
          <t>MUJI-013</t>
        </is>
      </c>
      <c r="B14" s="2" t="inlineStr">
        <is>
          <t>MUJI</t>
        </is>
      </c>
      <c r="C14" s="2" t="inlineStr">
        <is>
          <t>PP盒/抽屜式</t>
        </is>
      </c>
      <c r="D14" s="2" t="inlineStr">
        <is>
          <t>PP盒/淺型/2格/附隔板(正反疊)</t>
        </is>
      </c>
      <c r="E14" s="2" t="inlineStr">
        <is>
          <t>4550002108304</t>
        </is>
      </c>
      <c r="F14" s="2" t="n">
        <v>26</v>
      </c>
      <c r="G14" s="2" t="n">
        <v>37</v>
      </c>
      <c r="H14" s="2" t="n">
        <v>12</v>
      </c>
      <c r="I14" s="2" t="n">
        <v>10.5</v>
      </c>
      <c r="J14" s="2" t="n">
        <v>34</v>
      </c>
      <c r="K14" s="2" t="n">
        <v>8.5</v>
      </c>
      <c r="L14" s="2" t="inlineStr">
        <is>
          <t>聚丙烯</t>
        </is>
      </c>
      <c r="M14" s="2" t="inlineStr">
        <is>
          <t>白灰/半透明</t>
        </is>
      </c>
      <c r="N14" s="2" t="inlineStr">
        <is>
          <t>Y</t>
        </is>
      </c>
      <c r="O14" s="2" t="inlineStr">
        <is>
          <t>N</t>
        </is>
      </c>
      <c r="P14" s="2" t="n">
        <v>499</v>
      </c>
      <c r="Q14" s="2" t="inlineStr">
        <is>
          <t>2026-10-26</t>
        </is>
      </c>
      <c r="R14" s="3" t="inlineStr">
        <is>
          <t>https://shop.muji.tw/SalePage/Index/8920903</t>
        </is>
      </c>
      <c r="S14" s="2" t="inlineStr">
        <is>
          <t>官網</t>
        </is>
      </c>
      <c r="T14" s="2" t="inlineStr">
        <is>
          <t>high</t>
        </is>
      </c>
      <c r="U14" s="2" t="inlineStr">
        <is>
          <t>寬26×深37系列，可正反疊、互相堆疊；可加裝輪子(另售，加裝後高度約增3.8~4.2cm)；可放入SUS層架、自由組合層架；2抽屜並排，內寸為單一抽屜；附6片分隔板(一抽屜可分7格)；最高堆疊10層；半透明款型錄貨號76748984，特集頁標示460元</t>
        </is>
      </c>
      <c r="V14" s="2" t="inlineStr"/>
    </row>
    <row r="15">
      <c r="A15" s="2" t="inlineStr">
        <is>
          <t>MUJI-014</t>
        </is>
      </c>
      <c r="B15" s="2" t="inlineStr">
        <is>
          <t>MUJI</t>
        </is>
      </c>
      <c r="C15" s="2" t="inlineStr">
        <is>
          <t>PP盒/抽屜式</t>
        </is>
      </c>
      <c r="D15" s="2" t="inlineStr">
        <is>
          <t>PP盒/淺型/窄/附隔板(正反疊)</t>
        </is>
      </c>
      <c r="E15" s="2" t="inlineStr">
        <is>
          <t>4548076749042</t>
        </is>
      </c>
      <c r="F15" s="2" t="n">
        <v>14</v>
      </c>
      <c r="G15" s="2" t="n">
        <v>37</v>
      </c>
      <c r="H15" s="2" t="n">
        <v>12</v>
      </c>
      <c r="I15" s="2" t="n">
        <v>10.5</v>
      </c>
      <c r="J15" s="2" t="n">
        <v>34</v>
      </c>
      <c r="K15" s="2" t="n">
        <v>8.5</v>
      </c>
      <c r="L15" s="2" t="inlineStr">
        <is>
          <t>聚丙烯</t>
        </is>
      </c>
      <c r="M15" s="2" t="inlineStr">
        <is>
          <t>半透明</t>
        </is>
      </c>
      <c r="N15" s="2" t="inlineStr">
        <is>
          <t>Y</t>
        </is>
      </c>
      <c r="O15" s="2" t="inlineStr">
        <is>
          <t>N</t>
        </is>
      </c>
      <c r="P15" s="2" t="n">
        <v>349</v>
      </c>
      <c r="Q15" s="2" t="inlineStr">
        <is>
          <t>2026-10-26</t>
        </is>
      </c>
      <c r="R15" s="3" t="inlineStr">
        <is>
          <t>https://shop.muji.tw/SalePage/Index/8920967</t>
        </is>
      </c>
      <c r="S15" s="2" t="inlineStr">
        <is>
          <t>官網</t>
        </is>
      </c>
      <c r="T15" s="2" t="inlineStr">
        <is>
          <t>high</t>
        </is>
      </c>
      <c r="U15" s="2" t="inlineStr">
        <is>
          <t>寬26×深37系列，可正反疊、互相堆疊；可加裝輪子(另售，加裝後高度約增3.8~4.2cm)；可放入SUS層架、自由組合層架；1/2寬；附3片分隔板；最高堆疊6層；特集頁標示320元</t>
        </is>
      </c>
      <c r="V15" s="2" t="inlineStr"/>
    </row>
    <row r="16">
      <c r="A16" s="2" t="inlineStr">
        <is>
          <t>MUJI-015</t>
        </is>
      </c>
      <c r="B16" s="2" t="inlineStr">
        <is>
          <t>MUJI</t>
        </is>
      </c>
      <c r="C16" s="2" t="inlineStr">
        <is>
          <t>PP盒/抽屜式</t>
        </is>
      </c>
      <c r="D16" s="2" t="inlineStr">
        <is>
          <t>PP盒/淺型/3段(正反疊)</t>
        </is>
      </c>
      <c r="E16" s="2" t="inlineStr">
        <is>
          <t>4549337192430</t>
        </is>
      </c>
      <c r="F16" s="2" t="n">
        <v>26</v>
      </c>
      <c r="G16" s="2" t="n">
        <v>37</v>
      </c>
      <c r="H16" s="2" t="n">
        <v>32.5</v>
      </c>
      <c r="I16" s="2" t="n">
        <v>22.5</v>
      </c>
      <c r="J16" s="2" t="n">
        <v>34</v>
      </c>
      <c r="K16" s="2" t="n">
        <v>8.5</v>
      </c>
      <c r="L16" s="2" t="inlineStr">
        <is>
          <t>聚丙烯</t>
        </is>
      </c>
      <c r="M16" s="2" t="inlineStr">
        <is>
          <t>半透明</t>
        </is>
      </c>
      <c r="N16" s="2" t="inlineStr">
        <is>
          <t>Y</t>
        </is>
      </c>
      <c r="O16" s="2" t="inlineStr">
        <is>
          <t>N</t>
        </is>
      </c>
      <c r="P16" s="2" t="n">
        <v>799</v>
      </c>
      <c r="Q16" s="2" t="inlineStr">
        <is>
          <t>2026-10-26</t>
        </is>
      </c>
      <c r="R16" s="3" t="inlineStr">
        <is>
          <t>https://shop.muji.tw/SalePage/Index/8920920</t>
        </is>
      </c>
      <c r="S16" s="2" t="inlineStr">
        <is>
          <t>官網</t>
        </is>
      </c>
      <c r="T16" s="2" t="inlineStr">
        <is>
          <t>high</t>
        </is>
      </c>
      <c r="U16" s="2" t="inlineStr">
        <is>
          <t>寬26×深37系列，可正反疊、互相堆疊；可加裝輪子(另售，加裝後高度約增3.8~4.2cm)；可放入SUS層架、自由組合層架；3段抽屜一體，內寸為單一抽屜；最高堆疊3層；適合A4</t>
        </is>
      </c>
      <c r="V16" s="2" t="inlineStr"/>
    </row>
    <row r="17">
      <c r="A17" s="2" t="inlineStr">
        <is>
          <t>MUJI-016</t>
        </is>
      </c>
      <c r="B17" s="2" t="inlineStr">
        <is>
          <t>MUJI</t>
        </is>
      </c>
      <c r="C17" s="2" t="inlineStr">
        <is>
          <t>PP盒/抽屜式</t>
        </is>
      </c>
      <c r="D17" s="2" t="inlineStr">
        <is>
          <t>PP盒/淺型/6格/附隔板(正反疊)</t>
        </is>
      </c>
      <c r="E17" s="2" t="inlineStr">
        <is>
          <t>4548076749004</t>
        </is>
      </c>
      <c r="F17" s="2" t="n">
        <v>26</v>
      </c>
      <c r="G17" s="2" t="n">
        <v>37</v>
      </c>
      <c r="H17" s="2" t="n">
        <v>32.5</v>
      </c>
      <c r="I17" s="2" t="n">
        <v>10.5</v>
      </c>
      <c r="J17" s="2" t="n">
        <v>34</v>
      </c>
      <c r="K17" s="2" t="n">
        <v>8.5</v>
      </c>
      <c r="L17" s="2" t="inlineStr">
        <is>
          <t>聚丙烯</t>
        </is>
      </c>
      <c r="M17" s="2" t="inlineStr">
        <is>
          <t>半透明</t>
        </is>
      </c>
      <c r="N17" s="2" t="inlineStr">
        <is>
          <t>Y</t>
        </is>
      </c>
      <c r="O17" s="2" t="inlineStr">
        <is>
          <t>N</t>
        </is>
      </c>
      <c r="P17" s="2" t="n">
        <v>999</v>
      </c>
      <c r="Q17" s="2" t="inlineStr">
        <is>
          <t>2026-10-26</t>
        </is>
      </c>
      <c r="R17" s="3" t="inlineStr">
        <is>
          <t>https://shop.muji.tw/SalePage/Index/8920949</t>
        </is>
      </c>
      <c r="S17" s="2" t="inlineStr">
        <is>
          <t>官網</t>
        </is>
      </c>
      <c r="T17" s="2" t="inlineStr">
        <is>
          <t>high</t>
        </is>
      </c>
      <c r="U17" s="2" t="inlineStr">
        <is>
          <t>寬26×深37系列，可正反疊、互相堆疊；可加裝輪子(另售，加裝後高度約增3.8~4.2cm)；可放入SUS層架、自由組合層架；3段×2列共6抽屜，內寸為單一抽屜；附18片分隔板；最高堆疊3層</t>
        </is>
      </c>
      <c r="V17" s="2" t="inlineStr"/>
    </row>
    <row r="18">
      <c r="A18" s="2" t="inlineStr">
        <is>
          <t>MUJI-017</t>
        </is>
      </c>
      <c r="B18" s="2" t="inlineStr">
        <is>
          <t>MUJI</t>
        </is>
      </c>
      <c r="C18" s="2" t="inlineStr">
        <is>
          <t>PP盒/抽屜式</t>
        </is>
      </c>
      <c r="D18" s="2" t="inlineStr">
        <is>
          <t>PP盒/薄型(正反疊)</t>
        </is>
      </c>
      <c r="E18" s="2" t="inlineStr">
        <is>
          <t>4550002108281</t>
        </is>
      </c>
      <c r="F18" s="2" t="n">
        <v>26</v>
      </c>
      <c r="G18" s="2" t="n">
        <v>37</v>
      </c>
      <c r="H18" s="2" t="n">
        <v>9</v>
      </c>
      <c r="I18" s="2" t="n">
        <v>22.5</v>
      </c>
      <c r="J18" s="2" t="n">
        <v>34</v>
      </c>
      <c r="K18" s="2" t="n">
        <v>5.5</v>
      </c>
      <c r="L18" s="2" t="inlineStr">
        <is>
          <t>聚丙烯</t>
        </is>
      </c>
      <c r="M18" s="2" t="inlineStr">
        <is>
          <t>白灰/半透明</t>
        </is>
      </c>
      <c r="N18" s="2" t="inlineStr">
        <is>
          <t>Y</t>
        </is>
      </c>
      <c r="O18" s="2" t="inlineStr">
        <is>
          <t>N</t>
        </is>
      </c>
      <c r="P18" s="2" t="n">
        <v>349</v>
      </c>
      <c r="Q18" s="2" t="inlineStr">
        <is>
          <t>2026-10-26</t>
        </is>
      </c>
      <c r="R18" s="3" t="inlineStr">
        <is>
          <t>https://shop.muji.tw/SalePage/Index/8920959</t>
        </is>
      </c>
      <c r="S18" s="2" t="inlineStr">
        <is>
          <t>官網</t>
        </is>
      </c>
      <c r="T18" s="2" t="inlineStr">
        <is>
          <t>high</t>
        </is>
      </c>
      <c r="U18" s="2" t="inlineStr">
        <is>
          <t>寬26×深37系列，可正反疊、互相堆疊；可加裝輪子(另售，加裝後高度約增3.8~4.2cm)；可放入SUS層架、自由組合層架；最高堆疊13層；耐重約2kg；半透明款型錄貨號76749066，特集頁標示320元</t>
        </is>
      </c>
      <c r="V18" s="2" t="inlineStr"/>
    </row>
    <row r="19">
      <c r="A19" s="2" t="inlineStr">
        <is>
          <t>MUJI-018</t>
        </is>
      </c>
      <c r="B19" s="2" t="inlineStr">
        <is>
          <t>MUJI</t>
        </is>
      </c>
      <c r="C19" s="2" t="inlineStr">
        <is>
          <t>PP盒/抽屜式</t>
        </is>
      </c>
      <c r="D19" s="2" t="inlineStr">
        <is>
          <t>PP盒/薄型/2段(正反疊)</t>
        </is>
      </c>
      <c r="E19" s="2" t="inlineStr">
        <is>
          <t>4548076749073</t>
        </is>
      </c>
      <c r="F19" s="2" t="n">
        <v>26</v>
      </c>
      <c r="G19" s="2" t="n">
        <v>37</v>
      </c>
      <c r="H19" s="2" t="n">
        <v>16.5</v>
      </c>
      <c r="I19" s="2" t="n">
        <v>22.5</v>
      </c>
      <c r="J19" s="2" t="n">
        <v>34</v>
      </c>
      <c r="K19" s="2" t="n">
        <v>5.5</v>
      </c>
      <c r="L19" s="2" t="inlineStr">
        <is>
          <t>聚丙烯</t>
        </is>
      </c>
      <c r="M19" s="2" t="inlineStr">
        <is>
          <t>半透明</t>
        </is>
      </c>
      <c r="N19" s="2" t="inlineStr">
        <is>
          <t>Y</t>
        </is>
      </c>
      <c r="O19" s="2" t="inlineStr">
        <is>
          <t>N</t>
        </is>
      </c>
      <c r="P19" s="2" t="n">
        <v>499</v>
      </c>
      <c r="Q19" s="2" t="inlineStr">
        <is>
          <t>2026-10-26</t>
        </is>
      </c>
      <c r="R19" s="3" t="inlineStr">
        <is>
          <t>https://shop.muji.tw/SalePage/Index/8920954</t>
        </is>
      </c>
      <c r="S19" s="2" t="inlineStr">
        <is>
          <t>官網</t>
        </is>
      </c>
      <c r="T19" s="2" t="inlineStr">
        <is>
          <t>high</t>
        </is>
      </c>
      <c r="U19" s="2" t="inlineStr">
        <is>
          <t>寬26×深37系列，可正反疊、互相堆疊；可加裝輪子(另售，加裝後高度約增3.8~4.2cm)；可放入SUS層架、自由組合層架；2段抽屜一體，內寸為單一抽屜；最高堆疊7層；適合A4；特集頁標示560元，與網路商店/型錄499元不同</t>
        </is>
      </c>
      <c r="V19" s="2" t="inlineStr"/>
    </row>
    <row r="20">
      <c r="A20" s="2" t="inlineStr">
        <is>
          <t>MUJI-019</t>
        </is>
      </c>
      <c r="B20" s="2" t="inlineStr">
        <is>
          <t>MUJI</t>
        </is>
      </c>
      <c r="C20" s="2" t="inlineStr">
        <is>
          <t>PP資料盒/橫式</t>
        </is>
      </c>
      <c r="D20" s="2" t="inlineStr">
        <is>
          <t>PP資料盒/橫式/深型</t>
        </is>
      </c>
      <c r="E20" s="2" t="inlineStr">
        <is>
          <t>4550002108311</t>
        </is>
      </c>
      <c r="F20" s="2" t="n">
        <v>37</v>
      </c>
      <c r="G20" s="2" t="n">
        <v>26</v>
      </c>
      <c r="H20" s="2" t="n">
        <v>17.5</v>
      </c>
      <c r="I20" s="2" t="n">
        <v>33.5</v>
      </c>
      <c r="J20" s="2" t="n">
        <v>22.5</v>
      </c>
      <c r="K20" s="2" t="n">
        <v>14</v>
      </c>
      <c r="L20" s="2" t="inlineStr">
        <is>
          <t>聚丙烯</t>
        </is>
      </c>
      <c r="M20" s="2" t="inlineStr">
        <is>
          <t>白灰/半透明</t>
        </is>
      </c>
      <c r="N20" s="2" t="inlineStr">
        <is>
          <t>Y</t>
        </is>
      </c>
      <c r="O20" s="2" t="inlineStr">
        <is>
          <t>N</t>
        </is>
      </c>
      <c r="P20" s="2" t="n">
        <v>439</v>
      </c>
      <c r="Q20" s="2" t="inlineStr">
        <is>
          <t>2026-10-26</t>
        </is>
      </c>
      <c r="R20" s="3" t="inlineStr">
        <is>
          <t>https://shop.muji.tw/SalePage/Index/8920896</t>
        </is>
      </c>
      <c r="S20" s="2" t="inlineStr">
        <is>
          <t>官網</t>
        </is>
      </c>
      <c r="T20" s="2" t="inlineStr">
        <is>
          <t>high</t>
        </is>
      </c>
      <c r="U20" s="2" t="inlineStr">
        <is>
          <t>寬37×深26橫式系列，可加裝輪子(另售)；可與PP收納架互相堆疊；適合A4；最高堆疊6層；抽屜1層約2kg、天板約5kg；半透明款型錄貨號15253791，特集頁標示410元</t>
        </is>
      </c>
      <c r="V20" s="2" t="inlineStr"/>
    </row>
    <row r="21">
      <c r="A21" s="2" t="inlineStr">
        <is>
          <t>MUJI-020</t>
        </is>
      </c>
      <c r="B21" s="2" t="inlineStr">
        <is>
          <t>MUJI</t>
        </is>
      </c>
      <c r="C21" s="2" t="inlineStr">
        <is>
          <t>PP資料盒/橫式</t>
        </is>
      </c>
      <c r="D21" s="2" t="inlineStr">
        <is>
          <t>PP資料盒/橫式/淺型</t>
        </is>
      </c>
      <c r="E21" s="2" t="inlineStr">
        <is>
          <t>4550002108328</t>
        </is>
      </c>
      <c r="F21" s="2" t="n">
        <v>37</v>
      </c>
      <c r="G21" s="2" t="n">
        <v>26</v>
      </c>
      <c r="H21" s="2" t="n">
        <v>12</v>
      </c>
      <c r="I21" s="2" t="n">
        <v>33.5</v>
      </c>
      <c r="J21" s="2" t="n">
        <v>22.5</v>
      </c>
      <c r="K21" s="2" t="n">
        <v>8.5</v>
      </c>
      <c r="L21" s="2" t="inlineStr">
        <is>
          <t>聚丙烯</t>
        </is>
      </c>
      <c r="M21" s="2" t="inlineStr">
        <is>
          <t>白灰/半透明</t>
        </is>
      </c>
      <c r="N21" s="2" t="inlineStr">
        <is>
          <t>Y</t>
        </is>
      </c>
      <c r="O21" s="2" t="inlineStr">
        <is>
          <t>N</t>
        </is>
      </c>
      <c r="P21" s="2" t="n">
        <v>379</v>
      </c>
      <c r="Q21" s="2" t="inlineStr">
        <is>
          <t>2026-10-26</t>
        </is>
      </c>
      <c r="R21" s="3" t="inlineStr">
        <is>
          <t>https://shop.muji.tw/SalePage/Index/8920919</t>
        </is>
      </c>
      <c r="S21" s="2" t="inlineStr">
        <is>
          <t>官網</t>
        </is>
      </c>
      <c r="T21" s="2" t="inlineStr">
        <is>
          <t>high</t>
        </is>
      </c>
      <c r="U21" s="2" t="inlineStr">
        <is>
          <t>寬37×深26橫式系列，可加裝輪子(另售)；可與PP收納架互相堆疊；適合A4；最高堆疊10層；抽屜1層約1.5kg；半透明款型錄貨號15253784，特集頁標示380元</t>
        </is>
      </c>
      <c r="V21" s="2" t="inlineStr"/>
    </row>
    <row r="22">
      <c r="A22" s="2" t="inlineStr">
        <is>
          <t>MUJI-021</t>
        </is>
      </c>
      <c r="B22" s="2" t="inlineStr">
        <is>
          <t>MUJI</t>
        </is>
      </c>
      <c r="C22" s="2" t="inlineStr">
        <is>
          <t>PP資料盒/橫式</t>
        </is>
      </c>
      <c r="D22" s="2" t="inlineStr">
        <is>
          <t>PP資料盒/橫式/薄型</t>
        </is>
      </c>
      <c r="E22" s="2" t="inlineStr">
        <is>
          <t>4550002108335</t>
        </is>
      </c>
      <c r="F22" s="2" t="n">
        <v>37</v>
      </c>
      <c r="G22" s="2" t="n">
        <v>26</v>
      </c>
      <c r="H22" s="2" t="n">
        <v>9</v>
      </c>
      <c r="I22" s="2" t="n">
        <v>34</v>
      </c>
      <c r="J22" s="2" t="n">
        <v>22.5</v>
      </c>
      <c r="K22" s="2" t="n">
        <v>5.5</v>
      </c>
      <c r="L22" s="2" t="inlineStr">
        <is>
          <t>聚丙烯</t>
        </is>
      </c>
      <c r="M22" s="2" t="inlineStr">
        <is>
          <t>白灰/半透明</t>
        </is>
      </c>
      <c r="N22" s="2" t="inlineStr">
        <is>
          <t>Y</t>
        </is>
      </c>
      <c r="O22" s="2" t="inlineStr">
        <is>
          <t>N</t>
        </is>
      </c>
      <c r="P22" s="2" t="n">
        <v>349</v>
      </c>
      <c r="Q22" s="2" t="inlineStr">
        <is>
          <t>2026-10-26</t>
        </is>
      </c>
      <c r="R22" s="3" t="inlineStr">
        <is>
          <t>https://shop.muji.tw/SalePage/Index/8920953</t>
        </is>
      </c>
      <c r="S22" s="2" t="inlineStr">
        <is>
          <t>官網</t>
        </is>
      </c>
      <c r="T22" s="2" t="inlineStr">
        <is>
          <t>high</t>
        </is>
      </c>
      <c r="U22" s="2" t="inlineStr">
        <is>
          <t>寬37×深26橫式系列，可加裝輪子(另售)；可與PP收納架互相堆疊；適合A4；最高堆疊13層；半透明款型錄貨號15253753，特集頁標示350元</t>
        </is>
      </c>
      <c r="V22" s="2" t="inlineStr"/>
    </row>
    <row r="23">
      <c r="A23" s="2" t="inlineStr">
        <is>
          <t>MUJI-022</t>
        </is>
      </c>
      <c r="B23" s="2" t="inlineStr">
        <is>
          <t>MUJI</t>
        </is>
      </c>
      <c r="C23" s="2" t="inlineStr">
        <is>
          <t>PP資料盒/橫式</t>
        </is>
      </c>
      <c r="D23" s="2" t="inlineStr">
        <is>
          <t>PP資料盒/橫式/薄型/2格</t>
        </is>
      </c>
      <c r="E23" s="2" t="inlineStr">
        <is>
          <t>4550002118990</t>
        </is>
      </c>
      <c r="F23" s="2" t="n">
        <v>37</v>
      </c>
      <c r="G23" s="2" t="n">
        <v>26</v>
      </c>
      <c r="H23" s="2" t="n">
        <v>9</v>
      </c>
      <c r="I23" s="2" t="n">
        <v>16</v>
      </c>
      <c r="J23" s="2" t="n">
        <v>22.5</v>
      </c>
      <c r="K23" s="2" t="n">
        <v>5.5</v>
      </c>
      <c r="L23" s="2" t="inlineStr">
        <is>
          <t>聚丙烯</t>
        </is>
      </c>
      <c r="M23" s="2" t="inlineStr">
        <is>
          <t>白灰/半透明</t>
        </is>
      </c>
      <c r="N23" s="2" t="inlineStr">
        <is>
          <t>Y</t>
        </is>
      </c>
      <c r="O23" s="2" t="inlineStr">
        <is>
          <t>N</t>
        </is>
      </c>
      <c r="P23" s="2" t="n">
        <v>469</v>
      </c>
      <c r="Q23" s="2" t="inlineStr">
        <is>
          <t>2026-10-26</t>
        </is>
      </c>
      <c r="R23" s="3" t="inlineStr">
        <is>
          <t>https://shop.muji.tw/SalePage/Index/8920937</t>
        </is>
      </c>
      <c r="S23" s="2" t="inlineStr">
        <is>
          <t>官網</t>
        </is>
      </c>
      <c r="T23" s="2" t="inlineStr">
        <is>
          <t>high</t>
        </is>
      </c>
      <c r="U23" s="2" t="inlineStr">
        <is>
          <t>寬37×深26橫式系列，可加裝輪子(另售)；可與PP收納架互相堆疊；適合A4；2抽屜並排，內寸為單一抽屜；最高堆疊13層；半透明款型錄貨號15253777，特集頁標示560元，與網路商店/型錄469元不同</t>
        </is>
      </c>
      <c r="V23" s="2" t="inlineStr"/>
    </row>
    <row r="24">
      <c r="A24" s="2" t="inlineStr">
        <is>
          <t>MUJI-023</t>
        </is>
      </c>
      <c r="B24" s="2" t="inlineStr">
        <is>
          <t>MUJI</t>
        </is>
      </c>
      <c r="C24" s="2" t="inlineStr">
        <is>
          <t>PP收納箱</t>
        </is>
      </c>
      <c r="D24" s="2" t="inlineStr">
        <is>
          <t>PP收納箱/中型</t>
        </is>
      </c>
      <c r="E24" s="2" t="inlineStr">
        <is>
          <t>4550182219418</t>
        </is>
      </c>
      <c r="F24" s="2" t="n">
        <v>37</v>
      </c>
      <c r="G24" s="2" t="n">
        <v>25</v>
      </c>
      <c r="H24" s="2" t="n">
        <v>16</v>
      </c>
      <c r="I24" s="2" t="n"/>
      <c r="J24" s="2" t="n"/>
      <c r="K24" s="2" t="n"/>
      <c r="L24" s="2" t="inlineStr">
        <is>
          <t>聚丙烯</t>
        </is>
      </c>
      <c r="M24" s="2" t="inlineStr"/>
      <c r="N24" s="2" t="inlineStr">
        <is>
          <t>Y</t>
        </is>
      </c>
      <c r="O24" s="2" t="inlineStr">
        <is>
          <t>N</t>
        </is>
      </c>
      <c r="P24" s="2" t="n">
        <v>199</v>
      </c>
      <c r="Q24" s="2" t="inlineStr">
        <is>
          <t>2026-10-26</t>
        </is>
      </c>
      <c r="R24" s="3" t="inlineStr">
        <is>
          <t>https://shop.muji.tw/SalePage/Index/8920914</t>
        </is>
      </c>
      <c r="S24" s="2" t="inlineStr">
        <is>
          <t>官網</t>
        </is>
      </c>
      <c r="T24" s="2" t="inlineStr">
        <is>
          <t>high</t>
        </is>
      </c>
      <c r="U24" s="2" t="inlineStr">
        <is>
          <t>尺寸可放入無印良品檔案盒；另售專用蓋(約37.5×25.5×2.5cm，129元)與內托盤；最高堆疊8層；耐重約5kg；內寸官方未標示</t>
        </is>
      </c>
      <c r="V24" s="2" t="inlineStr"/>
    </row>
    <row r="25">
      <c r="A25" s="2" t="inlineStr">
        <is>
          <t>MUJI-024</t>
        </is>
      </c>
      <c r="B25" s="2" t="inlineStr">
        <is>
          <t>MUJI</t>
        </is>
      </c>
      <c r="C25" s="2" t="inlineStr">
        <is>
          <t>PP收納箱</t>
        </is>
      </c>
      <c r="D25" s="2" t="inlineStr">
        <is>
          <t>PP收納箱/深型</t>
        </is>
      </c>
      <c r="E25" s="2" t="inlineStr">
        <is>
          <t>4550182219401</t>
        </is>
      </c>
      <c r="F25" s="2" t="n">
        <v>37</v>
      </c>
      <c r="G25" s="2" t="n">
        <v>25</v>
      </c>
      <c r="H25" s="2" t="n">
        <v>31.5</v>
      </c>
      <c r="I25" s="2" t="n">
        <v>32</v>
      </c>
      <c r="J25" s="2" t="n">
        <v>20.5</v>
      </c>
      <c r="K25" s="2" t="n">
        <v>30</v>
      </c>
      <c r="L25" s="2" t="inlineStr">
        <is>
          <t>聚丙烯</t>
        </is>
      </c>
      <c r="M25" s="2" t="inlineStr"/>
      <c r="N25" s="2" t="inlineStr">
        <is>
          <t>Y</t>
        </is>
      </c>
      <c r="O25" s="2" t="inlineStr">
        <is>
          <t>N</t>
        </is>
      </c>
      <c r="P25" s="2" t="n">
        <v>299</v>
      </c>
      <c r="Q25" s="2" t="inlineStr">
        <is>
          <t>2026-10-26</t>
        </is>
      </c>
      <c r="R25" s="3" t="inlineStr">
        <is>
          <t>https://shop.muji.tw/SalePage/Index/8920930</t>
        </is>
      </c>
      <c r="S25" s="2" t="inlineStr">
        <is>
          <t>官網</t>
        </is>
      </c>
      <c r="T25" s="2" t="inlineStr">
        <is>
          <t>high</t>
        </is>
      </c>
      <c r="U25" s="2" t="inlineStr">
        <is>
          <t>尺寸可放入無印良品檔案盒(檔案盒高24~31.8cm)；另售專用蓋(129元)與內托盤；最高堆疊4層；耐重約8kg</t>
        </is>
      </c>
      <c r="V25" s="2" t="inlineStr"/>
    </row>
    <row r="26">
      <c r="A26" s="2" t="inlineStr">
        <is>
          <t>MUJI-025</t>
        </is>
      </c>
      <c r="B26" s="2" t="inlineStr">
        <is>
          <t>MUJI</t>
        </is>
      </c>
      <c r="C26" s="2" t="inlineStr">
        <is>
          <t>PP收納箱</t>
        </is>
      </c>
      <c r="D26" s="2" t="inlineStr">
        <is>
          <t>PP收納箱內托盤</t>
        </is>
      </c>
      <c r="E26" s="2" t="inlineStr">
        <is>
          <t>4550182219449</t>
        </is>
      </c>
      <c r="F26" s="2" t="n">
        <v>35</v>
      </c>
      <c r="G26" s="2" t="n">
        <v>23</v>
      </c>
      <c r="H26" s="2" t="n">
        <v>5.5</v>
      </c>
      <c r="I26" s="2" t="n"/>
      <c r="J26" s="2" t="n"/>
      <c r="K26" s="2" t="n"/>
      <c r="L26" s="2" t="inlineStr">
        <is>
          <t>聚丙烯</t>
        </is>
      </c>
      <c r="M26" s="2" t="inlineStr"/>
      <c r="N26" s="2" t="inlineStr"/>
      <c r="O26" s="2" t="inlineStr">
        <is>
          <t>N</t>
        </is>
      </c>
      <c r="P26" s="2" t="n">
        <v>169</v>
      </c>
      <c r="Q26" s="2" t="inlineStr">
        <is>
          <t>2026-10-26</t>
        </is>
      </c>
      <c r="R26" s="3" t="inlineStr">
        <is>
          <t>https://shop.muji.tw/SalePage/Index/8920973</t>
        </is>
      </c>
      <c r="S26" s="2" t="inlineStr">
        <is>
          <t>官網</t>
        </is>
      </c>
      <c r="T26" s="2" t="inlineStr">
        <is>
          <t>high</t>
        </is>
      </c>
      <c r="U26" s="2" t="inlineStr">
        <is>
          <t>PP收納箱(寬37×深25)系列專用內托盤，置於箱子上部；不可與舊款聚丙烯搬運箱一同使用；尺寸取自型錄P.25(貨號82219449)</t>
        </is>
      </c>
      <c r="V26" s="2" t="inlineStr"/>
    </row>
    <row r="27">
      <c r="A27" s="2" t="inlineStr">
        <is>
          <t>MUJI-026</t>
        </is>
      </c>
      <c r="B27" s="2" t="inlineStr">
        <is>
          <t>MUJI</t>
        </is>
      </c>
      <c r="C27" s="2" t="inlineStr">
        <is>
          <t>PP附輪收納箱/追加用</t>
        </is>
      </c>
      <c r="D27" s="2" t="inlineStr">
        <is>
          <t>PP追加用收納盒/高11cm</t>
        </is>
      </c>
      <c r="E27" s="2" t="inlineStr">
        <is>
          <t>4547315880171</t>
        </is>
      </c>
      <c r="F27" s="2" t="n">
        <v>18</v>
      </c>
      <c r="G27" s="2" t="n">
        <v>40</v>
      </c>
      <c r="H27" s="2" t="n">
        <v>11</v>
      </c>
      <c r="I27" s="2" t="n">
        <v>13</v>
      </c>
      <c r="J27" s="2" t="n">
        <v>36</v>
      </c>
      <c r="K27" s="2" t="n">
        <v>7</v>
      </c>
      <c r="L27" s="2" t="inlineStr">
        <is>
          <t>聚丙烯</t>
        </is>
      </c>
      <c r="M27" s="2" t="inlineStr"/>
      <c r="N27" s="2" t="inlineStr">
        <is>
          <t>Y</t>
        </is>
      </c>
      <c r="O27" s="2" t="inlineStr">
        <is>
          <t>N</t>
        </is>
      </c>
      <c r="P27" s="2" t="n">
        <v>299</v>
      </c>
      <c r="Q27" s="2" t="inlineStr">
        <is>
          <t>2026-10-26</t>
        </is>
      </c>
      <c r="R27" s="3" t="inlineStr">
        <is>
          <t>https://shop.muji.tw/SalePage/Index/8920957</t>
        </is>
      </c>
      <c r="S27" s="2" t="inlineStr">
        <is>
          <t>官網</t>
        </is>
      </c>
      <c r="T27" s="2" t="inlineStr">
        <is>
          <t>high</t>
        </is>
      </c>
      <c r="U27" s="2" t="inlineStr">
        <is>
          <t>寬18×深40系列；可與附輪收納箱、專用輪(另售)組合；追加高度上限122cm(含輪)；最高堆疊10層；型錄稱「淺型」</t>
        </is>
      </c>
      <c r="V27" s="2" t="inlineStr"/>
    </row>
    <row r="28">
      <c r="A28" s="2" t="inlineStr">
        <is>
          <t>MUJI-027</t>
        </is>
      </c>
      <c r="B28" s="2" t="inlineStr">
        <is>
          <t>MUJI</t>
        </is>
      </c>
      <c r="C28" s="2" t="inlineStr">
        <is>
          <t>PP附輪收納箱/追加用</t>
        </is>
      </c>
      <c r="D28" s="2" t="inlineStr">
        <is>
          <t>PP追加用收納盒/高21cm</t>
        </is>
      </c>
      <c r="E28" s="2" t="inlineStr">
        <is>
          <t>4945247721584</t>
        </is>
      </c>
      <c r="F28" s="2" t="n">
        <v>18</v>
      </c>
      <c r="G28" s="2" t="n">
        <v>40</v>
      </c>
      <c r="H28" s="2" t="n">
        <v>21</v>
      </c>
      <c r="I28" s="2" t="n">
        <v>13</v>
      </c>
      <c r="J28" s="2" t="n">
        <v>35.5</v>
      </c>
      <c r="K28" s="2" t="n">
        <v>17</v>
      </c>
      <c r="L28" s="2" t="inlineStr">
        <is>
          <t>聚丙烯</t>
        </is>
      </c>
      <c r="M28" s="2" t="inlineStr"/>
      <c r="N28" s="2" t="inlineStr">
        <is>
          <t>Y</t>
        </is>
      </c>
      <c r="O28" s="2" t="inlineStr">
        <is>
          <t>N</t>
        </is>
      </c>
      <c r="P28" s="2" t="n">
        <v>349</v>
      </c>
      <c r="Q28" s="2" t="inlineStr">
        <is>
          <t>2026-10-26</t>
        </is>
      </c>
      <c r="R28" s="3" t="inlineStr">
        <is>
          <t>https://shop.muji.tw/SalePage/Index/8920932</t>
        </is>
      </c>
      <c r="S28" s="2" t="inlineStr">
        <is>
          <t>官網</t>
        </is>
      </c>
      <c r="T28" s="2" t="inlineStr">
        <is>
          <t>high</t>
        </is>
      </c>
      <c r="U28" s="2" t="inlineStr">
        <is>
          <t>寬18×深40系列；可與附輪收納箱、專用輪(另售)組合；追加高度上限122cm(含輪)；最高堆疊5層；型錄稱「抽屜式」</t>
        </is>
      </c>
      <c r="V28" s="2" t="inlineStr"/>
    </row>
    <row r="29">
      <c r="A29" s="2" t="inlineStr">
        <is>
          <t>MUJI-028</t>
        </is>
      </c>
      <c r="B29" s="2" t="inlineStr">
        <is>
          <t>MUJI</t>
        </is>
      </c>
      <c r="C29" s="2" t="inlineStr">
        <is>
          <t>PP附輪收納箱/追加用</t>
        </is>
      </c>
      <c r="D29" s="2" t="inlineStr">
        <is>
          <t>PP追加用收納盒/高30.5cm</t>
        </is>
      </c>
      <c r="E29" s="2" t="inlineStr">
        <is>
          <t>4547315880164</t>
        </is>
      </c>
      <c r="F29" s="2" t="n">
        <v>18</v>
      </c>
      <c r="G29" s="2" t="n">
        <v>40</v>
      </c>
      <c r="H29" s="2" t="n">
        <v>30.5</v>
      </c>
      <c r="I29" s="2" t="n">
        <v>12.5</v>
      </c>
      <c r="J29" s="2" t="n">
        <v>35</v>
      </c>
      <c r="K29" s="2" t="n">
        <v>26.5</v>
      </c>
      <c r="L29" s="2" t="inlineStr">
        <is>
          <t>聚丙烯</t>
        </is>
      </c>
      <c r="M29" s="2" t="inlineStr"/>
      <c r="N29" s="2" t="inlineStr">
        <is>
          <t>Y</t>
        </is>
      </c>
      <c r="O29" s="2" t="inlineStr">
        <is>
          <t>N</t>
        </is>
      </c>
      <c r="P29" s="2" t="n">
        <v>449</v>
      </c>
      <c r="Q29" s="2" t="inlineStr">
        <is>
          <t>2026-10-26</t>
        </is>
      </c>
      <c r="R29" s="3" t="inlineStr">
        <is>
          <t>https://shop.muji.tw/SalePage/Index/8920956</t>
        </is>
      </c>
      <c r="S29" s="2" t="inlineStr">
        <is>
          <t>官網</t>
        </is>
      </c>
      <c r="T29" s="2" t="inlineStr">
        <is>
          <t>high</t>
        </is>
      </c>
      <c r="U29" s="2" t="inlineStr">
        <is>
          <t>寬18×深40系列；可與附輪收納箱、專用輪(另售)組合；追加高度上限122cm(含輪)；最高堆疊4層；型錄稱「深型」</t>
        </is>
      </c>
      <c r="V29" s="2" t="inlineStr"/>
    </row>
    <row r="30">
      <c r="A30" s="2" t="inlineStr">
        <is>
          <t>MUJI-029</t>
        </is>
      </c>
      <c r="B30" s="2" t="inlineStr">
        <is>
          <t>MUJI</t>
        </is>
      </c>
      <c r="C30" s="2" t="inlineStr">
        <is>
          <t>PP檔案盒</t>
        </is>
      </c>
      <c r="D30" s="2" t="inlineStr">
        <is>
          <t>聚丙烯檔案盒.標準型.A4用</t>
        </is>
      </c>
      <c r="E30" s="2" t="inlineStr">
        <is>
          <t>4550344902776</t>
        </is>
      </c>
      <c r="F30" s="2" t="n">
        <v>10</v>
      </c>
      <c r="G30" s="2" t="n">
        <v>32</v>
      </c>
      <c r="H30" s="2" t="n">
        <v>24</v>
      </c>
      <c r="I30" s="2" t="n"/>
      <c r="J30" s="2" t="n"/>
      <c r="K30" s="2" t="n"/>
      <c r="L30" s="2" t="inlineStr">
        <is>
          <t>聚丙烯</t>
        </is>
      </c>
      <c r="M30" s="2" t="inlineStr">
        <is>
          <t>白灰</t>
        </is>
      </c>
      <c r="N30" s="2" t="inlineStr"/>
      <c r="O30" s="2" t="inlineStr">
        <is>
          <t>N</t>
        </is>
      </c>
      <c r="P30" s="2" t="n">
        <v>199</v>
      </c>
      <c r="Q30" s="2" t="inlineStr">
        <is>
          <t>2026-10-26</t>
        </is>
      </c>
      <c r="R30" s="3" t="inlineStr">
        <is>
          <t>https://shop.muji.tw/SalePage/Index/8919740</t>
        </is>
      </c>
      <c r="S30" s="2" t="inlineStr">
        <is>
          <t>官網</t>
        </is>
      </c>
      <c r="T30" s="2" t="inlineStr">
        <is>
          <t>high</t>
        </is>
      </c>
      <c r="U30" s="2" t="inlineStr">
        <is>
          <t>深32cm立式檔案盒系列；可直放或橫放；耐重約5kg；可放入PP收納箱深型；另售檔案盒用蓋/寬10cm用(79元，可裝輪子)；型錄另列未標色款貨號44902769</t>
        </is>
      </c>
      <c r="V30" s="2" t="inlineStr"/>
    </row>
    <row r="31">
      <c r="A31" s="2" t="inlineStr">
        <is>
          <t>MUJI-030</t>
        </is>
      </c>
      <c r="B31" s="2" t="inlineStr">
        <is>
          <t>MUJI</t>
        </is>
      </c>
      <c r="C31" s="2" t="inlineStr">
        <is>
          <t>PP檔案盒</t>
        </is>
      </c>
      <c r="D31" s="2" t="inlineStr">
        <is>
          <t>聚丙烯檔案盒.標準型.寬.A4</t>
        </is>
      </c>
      <c r="E31" s="2" t="inlineStr">
        <is>
          <t>4550344902813</t>
        </is>
      </c>
      <c r="F31" s="2" t="n">
        <v>15</v>
      </c>
      <c r="G31" s="2" t="n">
        <v>32</v>
      </c>
      <c r="H31" s="2" t="n">
        <v>24</v>
      </c>
      <c r="I31" s="2" t="n"/>
      <c r="J31" s="2" t="n"/>
      <c r="K31" s="2" t="n"/>
      <c r="L31" s="2" t="inlineStr">
        <is>
          <t>聚丙烯</t>
        </is>
      </c>
      <c r="M31" s="2" t="inlineStr">
        <is>
          <t>白灰</t>
        </is>
      </c>
      <c r="N31" s="2" t="inlineStr"/>
      <c r="O31" s="2" t="inlineStr">
        <is>
          <t>N</t>
        </is>
      </c>
      <c r="P31" s="2" t="n">
        <v>299</v>
      </c>
      <c r="Q31" s="2" t="inlineStr">
        <is>
          <t>2026-10-26</t>
        </is>
      </c>
      <c r="R31" s="3" t="inlineStr">
        <is>
          <t>https://shop.muji.tw/SalePage/Index/8919420</t>
        </is>
      </c>
      <c r="S31" s="2" t="inlineStr">
        <is>
          <t>官網</t>
        </is>
      </c>
      <c r="T31" s="2" t="inlineStr">
        <is>
          <t>high</t>
        </is>
      </c>
      <c r="U31" s="2" t="inlineStr">
        <is>
          <t>深32cm立式檔案盒系列；可直放或橫放；耐重約5kg；可放入兩本厚50mm的2孔檔案夾；網路商店規格寫「約長15x寬32x高24cm」，依型錄「約寬15×深32×高24cm」判讀；另售檔案盒用蓋/寬15cm用(99元)；型錄另列未標色款貨號44902806</t>
        </is>
      </c>
      <c r="V31" s="2" t="inlineStr"/>
    </row>
    <row r="32">
      <c r="A32" s="2" t="inlineStr">
        <is>
          <t>MUJI-031</t>
        </is>
      </c>
      <c r="B32" s="2" t="inlineStr">
        <is>
          <t>MUJI</t>
        </is>
      </c>
      <c r="C32" s="2" t="inlineStr">
        <is>
          <t>PP檔案盒</t>
        </is>
      </c>
      <c r="D32" s="2" t="inlineStr">
        <is>
          <t>聚丙烯檔案盒.標準型.1/2</t>
        </is>
      </c>
      <c r="E32" s="2" t="inlineStr"/>
      <c r="F32" s="2" t="n">
        <v>10</v>
      </c>
      <c r="G32" s="2" t="n">
        <v>32</v>
      </c>
      <c r="H32" s="2" t="n">
        <v>12</v>
      </c>
      <c r="I32" s="2" t="n"/>
      <c r="J32" s="2" t="n"/>
      <c r="K32" s="2" t="n"/>
      <c r="L32" s="2" t="inlineStr">
        <is>
          <t>聚丙烯</t>
        </is>
      </c>
      <c r="M32" s="2" t="inlineStr">
        <is>
          <t>白灰</t>
        </is>
      </c>
      <c r="N32" s="2" t="inlineStr">
        <is>
          <t>Y</t>
        </is>
      </c>
      <c r="O32" s="2" t="inlineStr">
        <is>
          <t>N</t>
        </is>
      </c>
      <c r="P32" s="2" t="n">
        <v>129</v>
      </c>
      <c r="Q32" s="2" t="inlineStr">
        <is>
          <t>2026-10-26</t>
        </is>
      </c>
      <c r="R32" s="3" t="inlineStr">
        <is>
          <t>https://shop.muji.tw/muji-journal/pdf/pdf/25AW-storage.pdf</t>
        </is>
      </c>
      <c r="S32" s="2" t="inlineStr">
        <is>
          <t>型錄PDF</t>
        </is>
      </c>
      <c r="T32" s="2" t="inlineStr">
        <is>
          <t>medium</t>
        </is>
      </c>
      <c r="U32" s="2" t="inlineStr">
        <is>
          <t>深32cm立式檔案盒系列；可直放或橫放；耐重約5kg；高度為標準型的1/2，最多可堆疊3層；網路商店查無此品項，僅見於型錄P.37(貨號44902752)，庫存請以門市為準</t>
        </is>
      </c>
      <c r="V32" s="2" t="inlineStr"/>
    </row>
    <row r="33">
      <c r="A33" s="2" t="inlineStr">
        <is>
          <t>MUJI-032</t>
        </is>
      </c>
      <c r="B33" s="2" t="inlineStr">
        <is>
          <t>MUJI</t>
        </is>
      </c>
      <c r="C33" s="2" t="inlineStr">
        <is>
          <t>PP檔案盒</t>
        </is>
      </c>
      <c r="D33" s="2" t="inlineStr">
        <is>
          <t>聚丙烯檔案盒.標準型.寬.1/2</t>
        </is>
      </c>
      <c r="E33" s="2" t="inlineStr">
        <is>
          <t>4550344902790</t>
        </is>
      </c>
      <c r="F33" s="2" t="n">
        <v>15</v>
      </c>
      <c r="G33" s="2" t="n">
        <v>32</v>
      </c>
      <c r="H33" s="2" t="n">
        <v>12</v>
      </c>
      <c r="I33" s="2" t="n"/>
      <c r="J33" s="2" t="n"/>
      <c r="K33" s="2" t="n"/>
      <c r="L33" s="2" t="inlineStr">
        <is>
          <t>聚丙烯</t>
        </is>
      </c>
      <c r="M33" s="2" t="inlineStr">
        <is>
          <t>白灰</t>
        </is>
      </c>
      <c r="N33" s="2" t="inlineStr">
        <is>
          <t>Y</t>
        </is>
      </c>
      <c r="O33" s="2" t="inlineStr">
        <is>
          <t>N</t>
        </is>
      </c>
      <c r="P33" s="2" t="n">
        <v>199</v>
      </c>
      <c r="Q33" s="2" t="inlineStr">
        <is>
          <t>2026-10-26</t>
        </is>
      </c>
      <c r="R33" s="3" t="inlineStr">
        <is>
          <t>https://shop.muji.tw/SalePage/Index/8919406</t>
        </is>
      </c>
      <c r="S33" s="2" t="inlineStr">
        <is>
          <t>官網</t>
        </is>
      </c>
      <c r="T33" s="2" t="inlineStr">
        <is>
          <t>high</t>
        </is>
      </c>
      <c r="U33" s="2" t="inlineStr">
        <is>
          <t>深32cm立式檔案盒系列；可直放或橫放；耐重約5kg；標準型.寬的1/2高度，最多可堆疊3層</t>
        </is>
      </c>
      <c r="V33" s="2" t="inlineStr"/>
    </row>
    <row r="34">
      <c r="A34" s="2" t="inlineStr">
        <is>
          <t>MUJI-033</t>
        </is>
      </c>
      <c r="B34" s="2" t="inlineStr">
        <is>
          <t>MUJI</t>
        </is>
      </c>
      <c r="C34" s="2" t="inlineStr">
        <is>
          <t>PP檔案盒</t>
        </is>
      </c>
      <c r="D34" s="2" t="inlineStr">
        <is>
          <t>聚丙烯檔案盒.標準型.1/2.25cm</t>
        </is>
      </c>
      <c r="E34" s="2" t="inlineStr">
        <is>
          <t>4550344902882</t>
        </is>
      </c>
      <c r="F34" s="2" t="n">
        <v>25</v>
      </c>
      <c r="G34" s="2" t="n">
        <v>32</v>
      </c>
      <c r="H34" s="2" t="n">
        <v>12</v>
      </c>
      <c r="I34" s="2" t="n"/>
      <c r="J34" s="2" t="n"/>
      <c r="K34" s="2" t="n"/>
      <c r="L34" s="2" t="inlineStr">
        <is>
          <t>聚丙烯</t>
        </is>
      </c>
      <c r="M34" s="2" t="inlineStr"/>
      <c r="N34" s="2" t="inlineStr">
        <is>
          <t>Y</t>
        </is>
      </c>
      <c r="O34" s="2" t="inlineStr">
        <is>
          <t>N</t>
        </is>
      </c>
      <c r="P34" s="2" t="n">
        <v>329</v>
      </c>
      <c r="Q34" s="2" t="inlineStr">
        <is>
          <t>2026-10-26</t>
        </is>
      </c>
      <c r="R34" s="3" t="inlineStr">
        <is>
          <t>https://shop.muji.tw/SalePage/Index/8919401</t>
        </is>
      </c>
      <c r="S34" s="2" t="inlineStr">
        <is>
          <t>官網</t>
        </is>
      </c>
      <c r="T34" s="2" t="inlineStr">
        <is>
          <t>high</t>
        </is>
      </c>
      <c r="U34" s="2" t="inlineStr">
        <is>
          <t>寬25cm、高度為系列1/2的立式檔案盒；搭配另售「聚丙烯立式檔案盒.標準型用蓋(可裝置輪子)」最多可堆疊3層</t>
        </is>
      </c>
      <c r="V34" s="2" t="inlineStr"/>
    </row>
    <row r="35">
      <c r="A35" s="2" t="inlineStr">
        <is>
          <t>MUJI-034</t>
        </is>
      </c>
      <c r="B35" s="2" t="inlineStr">
        <is>
          <t>MUJI</t>
        </is>
      </c>
      <c r="C35" s="2" t="inlineStr">
        <is>
          <t>PP檔案盒</t>
        </is>
      </c>
      <c r="D35" s="2" t="inlineStr">
        <is>
          <t>聚丙烯立式斜口檔案盒.A4</t>
        </is>
      </c>
      <c r="E35" s="2" t="inlineStr">
        <is>
          <t>4550344902899</t>
        </is>
      </c>
      <c r="F35" s="2" t="n">
        <v>10</v>
      </c>
      <c r="G35" s="2" t="n">
        <v>27.6</v>
      </c>
      <c r="H35" s="2" t="n">
        <v>31.8</v>
      </c>
      <c r="I35" s="2" t="n"/>
      <c r="J35" s="2" t="n"/>
      <c r="K35" s="2" t="n"/>
      <c r="L35" s="2" t="inlineStr">
        <is>
          <t>聚丙烯</t>
        </is>
      </c>
      <c r="M35" s="2" t="inlineStr">
        <is>
          <t>白灰</t>
        </is>
      </c>
      <c r="N35" s="2" t="inlineStr"/>
      <c r="O35" s="2" t="inlineStr">
        <is>
          <t>N</t>
        </is>
      </c>
      <c r="P35" s="2" t="n">
        <v>199</v>
      </c>
      <c r="Q35" s="2" t="inlineStr">
        <is>
          <t>2026-10-26</t>
        </is>
      </c>
      <c r="R35" s="3" t="inlineStr">
        <is>
          <t>https://shop.muji.tw/SalePage/Index/8919735</t>
        </is>
      </c>
      <c r="S35" s="2" t="inlineStr">
        <is>
          <t>官網</t>
        </is>
      </c>
      <c r="T35" s="2" t="inlineStr">
        <is>
          <t>high</t>
        </is>
      </c>
      <c r="U35" s="2" t="inlineStr">
        <is>
          <t>斜口設計，可收納A4加寬尺寸檔案夾；耐重約5kg；型錄另列未標色款貨號44902738</t>
        </is>
      </c>
      <c r="V35" s="2" t="inlineStr"/>
    </row>
    <row r="36">
      <c r="A36" s="2" t="inlineStr">
        <is>
          <t>MUJI-035</t>
        </is>
      </c>
      <c r="B36" s="2" t="inlineStr">
        <is>
          <t>MUJI</t>
        </is>
      </c>
      <c r="C36" s="2" t="inlineStr">
        <is>
          <t>PP檔案盒</t>
        </is>
      </c>
      <c r="D36" s="2" t="inlineStr">
        <is>
          <t>聚丙烯立式斜口檔案盒.寬.A4</t>
        </is>
      </c>
      <c r="E36" s="2" t="inlineStr">
        <is>
          <t>4550344902912</t>
        </is>
      </c>
      <c r="F36" s="2" t="n">
        <v>15</v>
      </c>
      <c r="G36" s="2" t="n">
        <v>27.6</v>
      </c>
      <c r="H36" s="2" t="n">
        <v>31.8</v>
      </c>
      <c r="I36" s="2" t="n"/>
      <c r="J36" s="2" t="n"/>
      <c r="K36" s="2" t="n"/>
      <c r="L36" s="2" t="inlineStr">
        <is>
          <t>聚丙烯</t>
        </is>
      </c>
      <c r="M36" s="2" t="inlineStr">
        <is>
          <t>白灰</t>
        </is>
      </c>
      <c r="N36" s="2" t="inlineStr"/>
      <c r="O36" s="2" t="inlineStr">
        <is>
          <t>N</t>
        </is>
      </c>
      <c r="P36" s="2" t="n">
        <v>299</v>
      </c>
      <c r="Q36" s="2" t="inlineStr">
        <is>
          <t>2026-10-26</t>
        </is>
      </c>
      <c r="R36" s="3" t="inlineStr">
        <is>
          <t>https://shop.muji.tw/SalePage/Index/8919737</t>
        </is>
      </c>
      <c r="S36" s="2" t="inlineStr">
        <is>
          <t>官網</t>
        </is>
      </c>
      <c r="T36" s="2" t="inlineStr">
        <is>
          <t>high</t>
        </is>
      </c>
      <c r="U36" s="2" t="inlineStr">
        <is>
          <t>可放入兩本厚50mm的2孔檔案夾；亦可收納A4加寬檔案夾；耐重約5kg；型錄另列未標色款貨號44902905</t>
        </is>
      </c>
      <c r="V36" s="2" t="inlineStr"/>
    </row>
    <row r="37">
      <c r="A37" s="2" t="inlineStr">
        <is>
          <t>MUJI-036</t>
        </is>
      </c>
      <c r="B37" s="2" t="inlineStr">
        <is>
          <t>MUJI</t>
        </is>
      </c>
      <c r="C37" s="2" t="inlineStr">
        <is>
          <t>PP化妝盒(含再生聚丙烯)</t>
        </is>
      </c>
      <c r="D37" s="2" t="inlineStr">
        <is>
          <t>含有再生聚丙烯化妝盒</t>
        </is>
      </c>
      <c r="E37" s="2" t="inlineStr">
        <is>
          <t>4550584465413</t>
        </is>
      </c>
      <c r="F37" s="2" t="n">
        <v>15</v>
      </c>
      <c r="G37" s="2" t="n">
        <v>22</v>
      </c>
      <c r="H37" s="2" t="n">
        <v>16.9</v>
      </c>
      <c r="I37" s="2" t="n"/>
      <c r="J37" s="2" t="n"/>
      <c r="K37" s="2" t="n"/>
      <c r="L37" s="2" t="inlineStr">
        <is>
          <t>聚丙烯(含20%再生聚丙烯)</t>
        </is>
      </c>
      <c r="M37" s="2" t="inlineStr"/>
      <c r="N37" s="2" t="inlineStr">
        <is>
          <t>Y</t>
        </is>
      </c>
      <c r="O37" s="2" t="inlineStr">
        <is>
          <t>N</t>
        </is>
      </c>
      <c r="P37" s="2" t="n">
        <v>119</v>
      </c>
      <c r="Q37" s="2" t="inlineStr">
        <is>
          <t>2026-10-26</t>
        </is>
      </c>
      <c r="R37" s="3" t="inlineStr">
        <is>
          <t>https://shop.muji.tw/SalePage/Index/11050118</t>
        </is>
      </c>
      <c r="S37" s="2" t="inlineStr">
        <is>
          <t>官網</t>
        </is>
      </c>
      <c r="T37" s="2" t="inlineStr">
        <is>
          <t>high</t>
        </is>
      </c>
      <c r="U37" s="2" t="inlineStr">
        <is>
          <t>同尺寸可堆疊；寬15cm系列，1/4、1/2、全高依序約4.5/8.6/16.9cm；品號OGB85A5S；另售含有再生聚丙烯化妝盒蓋/大(約15.7×23.2×2cm，59元)</t>
        </is>
      </c>
      <c r="V37" s="2" t="inlineStr"/>
    </row>
    <row r="38">
      <c r="A38" s="2" t="inlineStr">
        <is>
          <t>MUJI-037</t>
        </is>
      </c>
      <c r="B38" s="2" t="inlineStr">
        <is>
          <t>MUJI</t>
        </is>
      </c>
      <c r="C38" s="2" t="inlineStr">
        <is>
          <t>PP化妝盒(含再生聚丙烯)</t>
        </is>
      </c>
      <c r="D38" s="2" t="inlineStr">
        <is>
          <t>含有再生聚丙烯化妝盒1/2</t>
        </is>
      </c>
      <c r="E38" s="2" t="inlineStr">
        <is>
          <t>4550584465406</t>
        </is>
      </c>
      <c r="F38" s="2" t="n">
        <v>15</v>
      </c>
      <c r="G38" s="2" t="n">
        <v>22</v>
      </c>
      <c r="H38" s="2" t="n">
        <v>8.6</v>
      </c>
      <c r="I38" s="2" t="n"/>
      <c r="J38" s="2" t="n"/>
      <c r="K38" s="2" t="n"/>
      <c r="L38" s="2" t="inlineStr">
        <is>
          <t>聚丙烯(含20%再生聚丙烯)</t>
        </is>
      </c>
      <c r="M38" s="2" t="inlineStr"/>
      <c r="N38" s="2" t="inlineStr">
        <is>
          <t>Y</t>
        </is>
      </c>
      <c r="O38" s="2" t="inlineStr">
        <is>
          <t>N</t>
        </is>
      </c>
      <c r="P38" s="2" t="n">
        <v>109</v>
      </c>
      <c r="Q38" s="2" t="inlineStr">
        <is>
          <t>2026-10-26</t>
        </is>
      </c>
      <c r="R38" s="3" t="inlineStr">
        <is>
          <t>https://shop.muji.tw/SalePage/Index/11050116</t>
        </is>
      </c>
      <c r="S38" s="2" t="inlineStr">
        <is>
          <t>官網</t>
        </is>
      </c>
      <c r="T38" s="2" t="inlineStr">
        <is>
          <t>high</t>
        </is>
      </c>
      <c r="U38" s="2" t="inlineStr">
        <is>
          <t>同尺寸可堆疊；寬15cm系列，1/4、1/2、全高依序約4.5/8.6/16.9cm；品號OGB84A5S；另售化妝盒蓋/大(59元)</t>
        </is>
      </c>
      <c r="V38" s="2" t="inlineStr"/>
    </row>
    <row r="39">
      <c r="A39" s="2" t="inlineStr">
        <is>
          <t>MUJI-038</t>
        </is>
      </c>
      <c r="B39" s="2" t="inlineStr">
        <is>
          <t>MUJI</t>
        </is>
      </c>
      <c r="C39" s="2" t="inlineStr">
        <is>
          <t>PP化妝盒(含再生聚丙烯)</t>
        </is>
      </c>
      <c r="D39" s="2" t="inlineStr">
        <is>
          <t>含有再生聚丙烯化妝盒1/4</t>
        </is>
      </c>
      <c r="E39" s="2" t="inlineStr">
        <is>
          <t>4550584465390</t>
        </is>
      </c>
      <c r="F39" s="2" t="n">
        <v>15</v>
      </c>
      <c r="G39" s="2" t="n">
        <v>22</v>
      </c>
      <c r="H39" s="2" t="n">
        <v>4.5</v>
      </c>
      <c r="I39" s="2" t="n"/>
      <c r="J39" s="2" t="n"/>
      <c r="K39" s="2" t="n"/>
      <c r="L39" s="2" t="inlineStr">
        <is>
          <t>聚丙烯(含20%再生聚丙烯)</t>
        </is>
      </c>
      <c r="M39" s="2" t="inlineStr"/>
      <c r="N39" s="2" t="inlineStr">
        <is>
          <t>Y</t>
        </is>
      </c>
      <c r="O39" s="2" t="inlineStr">
        <is>
          <t>N</t>
        </is>
      </c>
      <c r="P39" s="2" t="n">
        <v>69</v>
      </c>
      <c r="Q39" s="2" t="inlineStr">
        <is>
          <t>2026-10-26</t>
        </is>
      </c>
      <c r="R39" s="3" t="inlineStr">
        <is>
          <t>https://shop.muji.tw/SalePage/Index/11050114</t>
        </is>
      </c>
      <c r="S39" s="2" t="inlineStr">
        <is>
          <t>官網</t>
        </is>
      </c>
      <c r="T39" s="2" t="inlineStr">
        <is>
          <t>high</t>
        </is>
      </c>
      <c r="U39" s="2" t="inlineStr">
        <is>
          <t>同尺寸可堆疊；寬15cm系列，1/4、1/2、全高依序約4.5/8.6/16.9cm；品號OGB83A5S；另售化妝盒蓋/大(59元)</t>
        </is>
      </c>
      <c r="V39" s="2" t="inlineStr"/>
    </row>
    <row r="40">
      <c r="A40" s="2" t="inlineStr">
        <is>
          <t>MUJI-039</t>
        </is>
      </c>
      <c r="B40" s="2" t="inlineStr">
        <is>
          <t>MUJI</t>
        </is>
      </c>
      <c r="C40" s="2" t="inlineStr">
        <is>
          <t>PP化妝盒(含再生聚丙烯)</t>
        </is>
      </c>
      <c r="D40" s="2" t="inlineStr">
        <is>
          <t>含有再生聚丙烯化妝盒1/2橫型</t>
        </is>
      </c>
      <c r="E40" s="2" t="inlineStr">
        <is>
          <t>4550584465383</t>
        </is>
      </c>
      <c r="F40" s="2" t="n">
        <v>15</v>
      </c>
      <c r="G40" s="2" t="n">
        <v>11</v>
      </c>
      <c r="H40" s="2" t="n">
        <v>8.6</v>
      </c>
      <c r="I40" s="2" t="n"/>
      <c r="J40" s="2" t="n"/>
      <c r="K40" s="2" t="n"/>
      <c r="L40" s="2" t="inlineStr">
        <is>
          <t>聚丙烯(含20%再生聚丙烯)</t>
        </is>
      </c>
      <c r="M40" s="2" t="inlineStr"/>
      <c r="N40" s="2" t="inlineStr">
        <is>
          <t>Y</t>
        </is>
      </c>
      <c r="O40" s="2" t="inlineStr">
        <is>
          <t>N</t>
        </is>
      </c>
      <c r="P40" s="2" t="n">
        <v>69</v>
      </c>
      <c r="Q40" s="2" t="inlineStr">
        <is>
          <t>2026-10-26</t>
        </is>
      </c>
      <c r="R40" s="3" t="inlineStr">
        <is>
          <t>https://shop.muji.tw/SalePage/Index/11050102</t>
        </is>
      </c>
      <c r="S40" s="2" t="inlineStr">
        <is>
          <t>官網</t>
        </is>
      </c>
      <c r="T40" s="2" t="inlineStr">
        <is>
          <t>high</t>
        </is>
      </c>
      <c r="U40" s="2" t="inlineStr">
        <is>
          <t>同尺寸可堆疊；寬15cm系列，1/4、1/2、全高依序約4.5/8.6/16.9cm；深度為化妝盒的1/2(11cm)，2個並排=化妝盒1/2；品號OGB82A5S；另售化妝盒蓋/小(約11.7×15.7×2cm，39元)</t>
        </is>
      </c>
      <c r="V40" s="2" t="inlineStr"/>
    </row>
    <row r="41">
      <c r="A41" s="2" t="inlineStr">
        <is>
          <t>MUJI-040</t>
        </is>
      </c>
      <c r="B41" s="2" t="inlineStr">
        <is>
          <t>MUJI</t>
        </is>
      </c>
      <c r="C41" s="2" t="inlineStr">
        <is>
          <t>PP化妝盒(含再生聚丙烯)</t>
        </is>
      </c>
      <c r="D41" s="2" t="inlineStr">
        <is>
          <t>含有再生聚丙烯化妝盒1/4橫型</t>
        </is>
      </c>
      <c r="E41" s="2" t="inlineStr">
        <is>
          <t>4550584465376</t>
        </is>
      </c>
      <c r="F41" s="2" t="n">
        <v>15</v>
      </c>
      <c r="G41" s="2" t="n">
        <v>11</v>
      </c>
      <c r="H41" s="2" t="n">
        <v>4.5</v>
      </c>
      <c r="I41" s="2" t="n"/>
      <c r="J41" s="2" t="n"/>
      <c r="K41" s="2" t="n"/>
      <c r="L41" s="2" t="inlineStr">
        <is>
          <t>聚丙烯(含20%再生聚丙烯)</t>
        </is>
      </c>
      <c r="M41" s="2" t="inlineStr"/>
      <c r="N41" s="2" t="inlineStr"/>
      <c r="O41" s="2" t="inlineStr">
        <is>
          <t>N</t>
        </is>
      </c>
      <c r="P41" s="2" t="n">
        <v>59</v>
      </c>
      <c r="Q41" s="2" t="inlineStr">
        <is>
          <t>2026-10-26</t>
        </is>
      </c>
      <c r="R41" s="3" t="inlineStr">
        <is>
          <t>https://shop.muji.tw/SalePage/Index/11050100</t>
        </is>
      </c>
      <c r="S41" s="2" t="inlineStr">
        <is>
          <t>官網</t>
        </is>
      </c>
      <c r="T41" s="2" t="inlineStr">
        <is>
          <t>high</t>
        </is>
      </c>
      <c r="U41" s="2" t="inlineStr">
        <is>
          <t>同尺寸可堆疊；寬15cm系列，1/4、1/2、全高依序約4.5/8.6/16.9cm；品號OGB81A5S；另售化妝盒蓋/小(39元)</t>
        </is>
      </c>
      <c r="V41" s="2" t="inlineStr"/>
    </row>
    <row r="42">
      <c r="A42" s="2" t="inlineStr">
        <is>
          <t>MUJI-041</t>
        </is>
      </c>
      <c r="B42" s="2" t="inlineStr">
        <is>
          <t>MUJI</t>
        </is>
      </c>
      <c r="C42" s="2" t="inlineStr">
        <is>
          <t>PP化妝盒(含再生聚丙烯)</t>
        </is>
      </c>
      <c r="D42" s="2" t="inlineStr">
        <is>
          <t>含有再生聚丙烯化妝盒1/4縱型</t>
        </is>
      </c>
      <c r="E42" s="2" t="inlineStr">
        <is>
          <t>4550584935107</t>
        </is>
      </c>
      <c r="F42" s="2" t="n">
        <v>7.5</v>
      </c>
      <c r="G42" s="2" t="n">
        <v>22</v>
      </c>
      <c r="H42" s="2" t="n">
        <v>4.5</v>
      </c>
      <c r="I42" s="2" t="n"/>
      <c r="J42" s="2" t="n"/>
      <c r="K42" s="2" t="n"/>
      <c r="L42" s="2" t="inlineStr">
        <is>
          <t>聚丙烯(含20%再生聚丙烯)</t>
        </is>
      </c>
      <c r="M42" s="2" t="inlineStr"/>
      <c r="N42" s="2" t="inlineStr"/>
      <c r="O42" s="2" t="inlineStr">
        <is>
          <t>N</t>
        </is>
      </c>
      <c r="P42" s="2" t="n">
        <v>69</v>
      </c>
      <c r="Q42" s="2" t="inlineStr">
        <is>
          <t>2026-10-26</t>
        </is>
      </c>
      <c r="R42" s="3" t="inlineStr">
        <is>
          <t>https://shop.muji.tw/SalePage/Index/11781929</t>
        </is>
      </c>
      <c r="S42" s="2" t="inlineStr">
        <is>
          <t>官網</t>
        </is>
      </c>
      <c r="T42" s="2" t="inlineStr">
        <is>
          <t>high</t>
        </is>
      </c>
      <c r="U42" s="2" t="inlineStr">
        <is>
          <t>縱型細長款，寬為化妝盒的1/2(7.5cm)，2個並排=化妝盒1/4；品號OGB90A5A</t>
        </is>
      </c>
      <c r="V42" s="2" t="inlineStr"/>
    </row>
    <row r="43">
      <c r="A43" s="2" t="inlineStr">
        <is>
          <t>MUJI-042</t>
        </is>
      </c>
      <c r="B43" s="2" t="inlineStr">
        <is>
          <t>MUJI</t>
        </is>
      </c>
      <c r="C43" s="2" t="inlineStr">
        <is>
          <t>PP化妝盒(含再生聚丙烯)</t>
        </is>
      </c>
      <c r="D43" s="2" t="inlineStr">
        <is>
          <t>含有再生聚丙烯棉花/棉棒盒</t>
        </is>
      </c>
      <c r="E43" s="2" t="inlineStr">
        <is>
          <t>4550584465352</t>
        </is>
      </c>
      <c r="F43" s="2" t="n">
        <v>10.7</v>
      </c>
      <c r="G43" s="2" t="n">
        <v>7.2</v>
      </c>
      <c r="H43" s="2" t="n">
        <v>7.7</v>
      </c>
      <c r="I43" s="2" t="n"/>
      <c r="J43" s="2" t="n"/>
      <c r="K43" s="2" t="n"/>
      <c r="L43" s="2" t="inlineStr">
        <is>
          <t>聚丙烯(含20%再生聚丙烯)</t>
        </is>
      </c>
      <c r="M43" s="2" t="inlineStr"/>
      <c r="N43" s="2" t="inlineStr"/>
      <c r="O43" s="2" t="inlineStr">
        <is>
          <t>N</t>
        </is>
      </c>
      <c r="P43" s="2" t="n">
        <v>59</v>
      </c>
      <c r="Q43" s="2" t="inlineStr">
        <is>
          <t>2026-10-26</t>
        </is>
      </c>
      <c r="R43" s="3" t="inlineStr">
        <is>
          <t>https://shop.muji.tw/SalePage/Index/11147558</t>
        </is>
      </c>
      <c r="S43" s="2" t="inlineStr">
        <is>
          <t>官網</t>
        </is>
      </c>
      <c r="T43" s="2" t="inlineStr">
        <is>
          <t>high</t>
        </is>
      </c>
      <c r="U43" s="2" t="inlineStr">
        <is>
          <t>可作為大尺寸化妝盒的隔間使用；品號OGB79A5S</t>
        </is>
      </c>
      <c r="V43" s="2" t="inlineStr"/>
    </row>
    <row r="44">
      <c r="A44" s="2" t="inlineStr">
        <is>
          <t>MUJI-043</t>
        </is>
      </c>
      <c r="B44" s="2" t="inlineStr">
        <is>
          <t>MUJI</t>
        </is>
      </c>
      <c r="C44" s="2" t="inlineStr">
        <is>
          <t>PP化妝盒(含再生聚丙烯)</t>
        </is>
      </c>
      <c r="D44" s="2" t="inlineStr">
        <is>
          <t>含有再生聚丙烯化妝盒/棉花.棉棒盒(附盒蓋)</t>
        </is>
      </c>
      <c r="E44" s="2" t="inlineStr">
        <is>
          <t>4550584465444</t>
        </is>
      </c>
      <c r="F44" s="2" t="n">
        <v>10.7</v>
      </c>
      <c r="G44" s="2" t="n">
        <v>7.2</v>
      </c>
      <c r="H44" s="2" t="n">
        <v>9.1</v>
      </c>
      <c r="I44" s="2" t="n"/>
      <c r="J44" s="2" t="n"/>
      <c r="K44" s="2" t="n"/>
      <c r="L44" s="2" t="inlineStr">
        <is>
          <t>聚丙烯(含20%再生聚丙烯)</t>
        </is>
      </c>
      <c r="M44" s="2" t="inlineStr"/>
      <c r="N44" s="2" t="inlineStr"/>
      <c r="O44" s="2" t="inlineStr">
        <is>
          <t>Y</t>
        </is>
      </c>
      <c r="P44" s="2" t="n">
        <v>69</v>
      </c>
      <c r="Q44" s="2" t="inlineStr">
        <is>
          <t>2026-10-26</t>
        </is>
      </c>
      <c r="R44" s="3" t="inlineStr">
        <is>
          <t>https://shop.muji.tw/SalePage/Index/11781928</t>
        </is>
      </c>
      <c r="S44" s="2" t="inlineStr">
        <is>
          <t>官網</t>
        </is>
      </c>
      <c r="T44" s="2" t="inlineStr">
        <is>
          <t>high</t>
        </is>
      </c>
      <c r="U44" s="2" t="inlineStr">
        <is>
          <t>附蓋，外寸高含蓋；品號OGB88A5S</t>
        </is>
      </c>
      <c r="V44" s="2" t="inlineStr"/>
    </row>
    <row r="45">
      <c r="A45" s="2" t="inlineStr">
        <is>
          <t>MUJI-044</t>
        </is>
      </c>
      <c r="B45" s="2" t="inlineStr">
        <is>
          <t>MUJI</t>
        </is>
      </c>
      <c r="C45" s="2" t="inlineStr">
        <is>
          <t>PP化妝盒</t>
        </is>
      </c>
      <c r="D45" s="2" t="inlineStr">
        <is>
          <t>PP化妝盒/附蓋.小</t>
        </is>
      </c>
      <c r="E45" s="2" t="inlineStr">
        <is>
          <t>4550583971793</t>
        </is>
      </c>
      <c r="F45" s="2" t="n">
        <v>15</v>
      </c>
      <c r="G45" s="2" t="n">
        <v>11</v>
      </c>
      <c r="H45" s="2" t="n">
        <v>10.3</v>
      </c>
      <c r="I45" s="2" t="n"/>
      <c r="J45" s="2" t="n"/>
      <c r="K45" s="2" t="n"/>
      <c r="L45" s="2" t="inlineStr">
        <is>
          <t>聚丙烯</t>
        </is>
      </c>
      <c r="M45" s="2" t="inlineStr"/>
      <c r="N45" s="2" t="inlineStr">
        <is>
          <t>Y</t>
        </is>
      </c>
      <c r="O45" s="2" t="inlineStr">
        <is>
          <t>Y</t>
        </is>
      </c>
      <c r="P45" s="2" t="n">
        <v>79</v>
      </c>
      <c r="Q45" s="2" t="inlineStr">
        <is>
          <t>2026-10-26</t>
        </is>
      </c>
      <c r="R45" s="3" t="inlineStr">
        <is>
          <t>https://shop.muji.tw/SalePage/Index/10190122</t>
        </is>
      </c>
      <c r="S45" s="2" t="inlineStr">
        <is>
          <t>官網</t>
        </is>
      </c>
      <c r="T45" s="2" t="inlineStr">
        <is>
          <t>high</t>
        </is>
      </c>
      <c r="U45" s="2" t="inlineStr">
        <is>
          <t>附蓋；同尺寸可堆疊</t>
        </is>
      </c>
      <c r="V45" s="2" t="inlineStr"/>
    </row>
    <row r="46">
      <c r="A46" s="2" t="inlineStr">
        <is>
          <t>MUJI-045</t>
        </is>
      </c>
      <c r="B46" s="2" t="inlineStr">
        <is>
          <t>MUJI</t>
        </is>
      </c>
      <c r="C46" s="2" t="inlineStr">
        <is>
          <t>PP化妝盒</t>
        </is>
      </c>
      <c r="D46" s="2" t="inlineStr">
        <is>
          <t>PP化妝盒/附蓋.大</t>
        </is>
      </c>
      <c r="E46" s="2" t="inlineStr">
        <is>
          <t>4550583971809</t>
        </is>
      </c>
      <c r="F46" s="2" t="n">
        <v>15</v>
      </c>
      <c r="G46" s="2" t="n">
        <v>22</v>
      </c>
      <c r="H46" s="2" t="n">
        <v>10.3</v>
      </c>
      <c r="I46" s="2" t="n"/>
      <c r="J46" s="2" t="n"/>
      <c r="K46" s="2" t="n"/>
      <c r="L46" s="2" t="inlineStr">
        <is>
          <t>聚丙烯</t>
        </is>
      </c>
      <c r="M46" s="2" t="inlineStr"/>
      <c r="N46" s="2" t="inlineStr">
        <is>
          <t>Y</t>
        </is>
      </c>
      <c r="O46" s="2" t="inlineStr">
        <is>
          <t>Y</t>
        </is>
      </c>
      <c r="P46" s="2" t="n">
        <v>129</v>
      </c>
      <c r="Q46" s="2" t="inlineStr">
        <is>
          <t>2026-10-26</t>
        </is>
      </c>
      <c r="R46" s="3" t="inlineStr">
        <is>
          <t>https://shop.muji.tw/SalePage/Index/10190123</t>
        </is>
      </c>
      <c r="S46" s="2" t="inlineStr">
        <is>
          <t>官網</t>
        </is>
      </c>
      <c r="T46" s="2" t="inlineStr">
        <is>
          <t>high</t>
        </is>
      </c>
      <c r="U46" s="2" t="inlineStr">
        <is>
          <t>附蓋；同尺寸可堆疊；大=小×2(深度)</t>
        </is>
      </c>
      <c r="V46" s="2" t="inlineStr"/>
    </row>
    <row r="47">
      <c r="A47" s="2" t="inlineStr">
        <is>
          <t>MUJI-046</t>
        </is>
      </c>
      <c r="B47" s="2" t="inlineStr">
        <is>
          <t>MUJI</t>
        </is>
      </c>
      <c r="C47" s="2" t="inlineStr">
        <is>
          <t>PP化妝盒</t>
        </is>
      </c>
      <c r="D47" s="2" t="inlineStr">
        <is>
          <t>PP化妝盒1/2橫型.附隔板</t>
        </is>
      </c>
      <c r="E47" s="2" t="inlineStr">
        <is>
          <t>4550583971779</t>
        </is>
      </c>
      <c r="F47" s="2" t="n">
        <v>15</v>
      </c>
      <c r="G47" s="2" t="n">
        <v>11</v>
      </c>
      <c r="H47" s="2" t="n">
        <v>8.6</v>
      </c>
      <c r="I47" s="2" t="n"/>
      <c r="J47" s="2" t="n"/>
      <c r="K47" s="2" t="n"/>
      <c r="L47" s="2" t="inlineStr">
        <is>
          <t>聚丙烯</t>
        </is>
      </c>
      <c r="M47" s="2" t="inlineStr"/>
      <c r="N47" s="2" t="inlineStr">
        <is>
          <t>Y</t>
        </is>
      </c>
      <c r="O47" s="2" t="inlineStr">
        <is>
          <t>N</t>
        </is>
      </c>
      <c r="P47" s="2" t="n">
        <v>69</v>
      </c>
      <c r="Q47" s="2" t="inlineStr">
        <is>
          <t>2026-10-26</t>
        </is>
      </c>
      <c r="R47" s="3" t="inlineStr">
        <is>
          <t>https://shop.muji.tw/SalePage/Index/10190120</t>
        </is>
      </c>
      <c r="S47" s="2" t="inlineStr">
        <is>
          <t>官網</t>
        </is>
      </c>
      <c r="T47" s="2" t="inlineStr">
        <is>
          <t>high</t>
        </is>
      </c>
      <c r="U47" s="2" t="inlineStr">
        <is>
          <t>附隔板；同尺寸可堆疊；與含有再生聚丙烯化妝盒1/2橫型同尺寸</t>
        </is>
      </c>
      <c r="V47" s="2" t="inlineStr"/>
    </row>
    <row r="48">
      <c r="A48" s="2" t="inlineStr">
        <is>
          <t>MUJI-047</t>
        </is>
      </c>
      <c r="B48" s="2" t="inlineStr">
        <is>
          <t>MUJI</t>
        </is>
      </c>
      <c r="C48" s="2" t="inlineStr">
        <is>
          <t>PP化妝盒</t>
        </is>
      </c>
      <c r="D48" s="2" t="inlineStr">
        <is>
          <t>PP化妝盒1/4橫型.附隔板</t>
        </is>
      </c>
      <c r="E48" s="2" t="inlineStr">
        <is>
          <t>4550583971786</t>
        </is>
      </c>
      <c r="F48" s="2" t="n">
        <v>15</v>
      </c>
      <c r="G48" s="2" t="n">
        <v>11</v>
      </c>
      <c r="H48" s="2" t="n">
        <v>4.5</v>
      </c>
      <c r="I48" s="2" t="n"/>
      <c r="J48" s="2" t="n"/>
      <c r="K48" s="2" t="n"/>
      <c r="L48" s="2" t="inlineStr">
        <is>
          <t>聚丙烯</t>
        </is>
      </c>
      <c r="M48" s="2" t="inlineStr"/>
      <c r="N48" s="2" t="inlineStr">
        <is>
          <t>Y</t>
        </is>
      </c>
      <c r="O48" s="2" t="inlineStr">
        <is>
          <t>N</t>
        </is>
      </c>
      <c r="P48" s="2" t="n">
        <v>59</v>
      </c>
      <c r="Q48" s="2" t="inlineStr">
        <is>
          <t>2026-10-26</t>
        </is>
      </c>
      <c r="R48" s="3" t="inlineStr">
        <is>
          <t>https://shop.muji.tw/SalePage/Index/10190121</t>
        </is>
      </c>
      <c r="S48" s="2" t="inlineStr">
        <is>
          <t>官網</t>
        </is>
      </c>
      <c r="T48" s="2" t="inlineStr">
        <is>
          <t>high</t>
        </is>
      </c>
      <c r="U48" s="2" t="inlineStr">
        <is>
          <t>附隔板；同尺寸可堆疊</t>
        </is>
      </c>
      <c r="V48" s="2" t="inlineStr"/>
    </row>
    <row r="49">
      <c r="A49" s="2" t="inlineStr">
        <is>
          <t>MUJI-048</t>
        </is>
      </c>
      <c r="B49" s="2" t="inlineStr">
        <is>
          <t>MUJI</t>
        </is>
      </c>
      <c r="C49" s="2" t="inlineStr">
        <is>
          <t>PP化妝盒</t>
        </is>
      </c>
      <c r="D49" s="2" t="inlineStr">
        <is>
          <t>PP化妝盒/棉棒用.附蓋</t>
        </is>
      </c>
      <c r="E49" s="2" t="inlineStr">
        <is>
          <t>4550583971816</t>
        </is>
      </c>
      <c r="F49" s="2" t="n">
        <v>10.7</v>
      </c>
      <c r="G49" s="2" t="n">
        <v>7.2</v>
      </c>
      <c r="H49" s="2" t="n">
        <v>9.1</v>
      </c>
      <c r="I49" s="2" t="n"/>
      <c r="J49" s="2" t="n"/>
      <c r="K49" s="2" t="n"/>
      <c r="L49" s="2" t="inlineStr">
        <is>
          <t>聚丙烯</t>
        </is>
      </c>
      <c r="M49" s="2" t="inlineStr"/>
      <c r="N49" s="2" t="inlineStr"/>
      <c r="O49" s="2" t="inlineStr">
        <is>
          <t>Y</t>
        </is>
      </c>
      <c r="P49" s="2" t="n">
        <v>69</v>
      </c>
      <c r="Q49" s="2" t="inlineStr">
        <is>
          <t>2026-10-26</t>
        </is>
      </c>
      <c r="R49" s="3" t="inlineStr">
        <is>
          <t>https://shop.muji.tw/SalePage/Index/10190124</t>
        </is>
      </c>
      <c r="S49" s="2" t="inlineStr">
        <is>
          <t>官網</t>
        </is>
      </c>
      <c r="T49" s="2" t="inlineStr">
        <is>
          <t>high</t>
        </is>
      </c>
      <c r="U49" s="2" t="inlineStr">
        <is>
          <t>附蓋；與含有再生聚丙烯棉花.棉棒盒(附盒蓋)同尺寸</t>
        </is>
      </c>
      <c r="V49" s="2" t="inlineStr"/>
    </row>
    <row r="50">
      <c r="A50" s="2" t="inlineStr">
        <is>
          <t>MUJI-049</t>
        </is>
      </c>
      <c r="B50" s="2" t="inlineStr">
        <is>
          <t>MUJI</t>
        </is>
      </c>
      <c r="C50" s="2" t="inlineStr">
        <is>
          <t>聚丙烯小物盒</t>
        </is>
      </c>
      <c r="D50" s="2" t="inlineStr">
        <is>
          <t>聚丙烯小物盒/SS</t>
        </is>
      </c>
      <c r="E50" s="2" t="inlineStr">
        <is>
          <t>4550182202922</t>
        </is>
      </c>
      <c r="F50" s="2" t="n">
        <v>3.7</v>
      </c>
      <c r="G50" s="2" t="n">
        <v>6.3</v>
      </c>
      <c r="H50" s="2" t="n">
        <v>1.2</v>
      </c>
      <c r="I50" s="2" t="n"/>
      <c r="J50" s="2" t="n"/>
      <c r="K50" s="2" t="n"/>
      <c r="L50" s="2" t="inlineStr">
        <is>
          <t>聚丙烯</t>
        </is>
      </c>
      <c r="M50" s="2" t="inlineStr"/>
      <c r="N50" s="2" t="inlineStr"/>
      <c r="O50" s="2" t="inlineStr"/>
      <c r="P50" s="2" t="n">
        <v>29</v>
      </c>
      <c r="Q50" s="2" t="inlineStr">
        <is>
          <t>2026-10-26</t>
        </is>
      </c>
      <c r="R50" s="3" t="inlineStr">
        <is>
          <t>https://shop.muji.tw/SalePage/Index/8920741</t>
        </is>
      </c>
      <c r="S50" s="2" t="inlineStr">
        <is>
          <t>官網</t>
        </is>
      </c>
      <c r="T50" s="2" t="inlineStr">
        <is>
          <t>high</t>
        </is>
      </c>
      <c r="U50" s="2" t="inlineStr">
        <is>
          <t>適合髮夾等</t>
        </is>
      </c>
      <c r="V50" s="2" t="inlineStr"/>
    </row>
    <row r="51">
      <c r="A51" s="2" t="inlineStr">
        <is>
          <t>MUJI-050</t>
        </is>
      </c>
      <c r="B51" s="2" t="inlineStr">
        <is>
          <t>MUJI</t>
        </is>
      </c>
      <c r="C51" s="2" t="inlineStr">
        <is>
          <t>聚丙烯小物盒</t>
        </is>
      </c>
      <c r="D51" s="2" t="inlineStr">
        <is>
          <t>聚丙烯小物盒/S</t>
        </is>
      </c>
      <c r="E51" s="2" t="inlineStr">
        <is>
          <t>4550182202939</t>
        </is>
      </c>
      <c r="F51" s="2" t="n">
        <v>3.7</v>
      </c>
      <c r="G51" s="2" t="n">
        <v>10</v>
      </c>
      <c r="H51" s="2" t="n">
        <v>1.2</v>
      </c>
      <c r="I51" s="2" t="n"/>
      <c r="J51" s="2" t="n"/>
      <c r="K51" s="2" t="n"/>
      <c r="L51" s="2" t="inlineStr">
        <is>
          <t>聚丙烯</t>
        </is>
      </c>
      <c r="M51" s="2" t="inlineStr"/>
      <c r="N51" s="2" t="inlineStr"/>
      <c r="O51" s="2" t="inlineStr"/>
      <c r="P51" s="2" t="n">
        <v>39</v>
      </c>
      <c r="Q51" s="2" t="inlineStr">
        <is>
          <t>2026-10-26</t>
        </is>
      </c>
      <c r="R51" s="3" t="inlineStr">
        <is>
          <t>https://shop.muji.tw/SalePage/Index/8920733</t>
        </is>
      </c>
      <c r="S51" s="2" t="inlineStr">
        <is>
          <t>官網</t>
        </is>
      </c>
      <c r="T51" s="2" t="inlineStr">
        <is>
          <t>high</t>
        </is>
      </c>
      <c r="U51" s="2" t="inlineStr">
        <is>
          <t>適合OK繃、棉花棒等</t>
        </is>
      </c>
      <c r="V51" s="2" t="inlineStr"/>
    </row>
    <row r="52">
      <c r="A52" s="2" t="inlineStr">
        <is>
          <t>MUJI-051</t>
        </is>
      </c>
      <c r="B52" s="2" t="inlineStr">
        <is>
          <t>MUJI</t>
        </is>
      </c>
      <c r="C52" s="2" t="inlineStr">
        <is>
          <t>聚丙烯小物盒</t>
        </is>
      </c>
      <c r="D52" s="2" t="inlineStr">
        <is>
          <t>聚丙烯小物盒/M</t>
        </is>
      </c>
      <c r="E52" s="2" t="inlineStr">
        <is>
          <t>4550002547691</t>
        </is>
      </c>
      <c r="F52" s="2" t="n">
        <v>6.4</v>
      </c>
      <c r="G52" s="2" t="n">
        <v>5.2</v>
      </c>
      <c r="H52" s="2" t="n">
        <v>2</v>
      </c>
      <c r="I52" s="2" t="n"/>
      <c r="J52" s="2" t="n"/>
      <c r="K52" s="2" t="n"/>
      <c r="L52" s="2" t="inlineStr">
        <is>
          <t>聚丙烯</t>
        </is>
      </c>
      <c r="M52" s="2" t="inlineStr"/>
      <c r="N52" s="2" t="inlineStr"/>
      <c r="O52" s="2" t="inlineStr"/>
      <c r="P52" s="2" t="n">
        <v>39</v>
      </c>
      <c r="Q52" s="2" t="inlineStr">
        <is>
          <t>2026-10-26</t>
        </is>
      </c>
      <c r="R52" s="3" t="inlineStr">
        <is>
          <t>https://shop.muji.tw/SalePage/Index/8920711</t>
        </is>
      </c>
      <c r="S52" s="2" t="inlineStr">
        <is>
          <t>官網</t>
        </is>
      </c>
      <c r="T52" s="2" t="inlineStr">
        <is>
          <t>high</t>
        </is>
      </c>
      <c r="U52" s="2" t="inlineStr">
        <is>
          <t>適合各式小物</t>
        </is>
      </c>
      <c r="V52" s="2" t="inlineStr"/>
    </row>
    <row r="53">
      <c r="A53" s="2" t="inlineStr">
        <is>
          <t>MUJI-052</t>
        </is>
      </c>
      <c r="B53" s="2" t="inlineStr">
        <is>
          <t>MUJI</t>
        </is>
      </c>
      <c r="C53" s="2" t="inlineStr">
        <is>
          <t>聚丙烯小物盒</t>
        </is>
      </c>
      <c r="D53" s="2" t="inlineStr">
        <is>
          <t>聚丙烯小物盒/L</t>
        </is>
      </c>
      <c r="E53" s="2" t="inlineStr">
        <is>
          <t>4550182202946</t>
        </is>
      </c>
      <c r="F53" s="2" t="n">
        <v>7.5</v>
      </c>
      <c r="G53" s="2" t="n">
        <v>11</v>
      </c>
      <c r="H53" s="2" t="n">
        <v>4.6</v>
      </c>
      <c r="I53" s="2" t="n"/>
      <c r="J53" s="2" t="n"/>
      <c r="K53" s="2" t="n"/>
      <c r="L53" s="2" t="inlineStr">
        <is>
          <t>聚丙烯</t>
        </is>
      </c>
      <c r="M53" s="2" t="inlineStr"/>
      <c r="N53" s="2" t="inlineStr"/>
      <c r="O53" s="2" t="inlineStr"/>
      <c r="P53" s="2" t="n">
        <v>69</v>
      </c>
      <c r="Q53" s="2" t="inlineStr">
        <is>
          <t>2026-10-26</t>
        </is>
      </c>
      <c r="R53" s="3" t="inlineStr">
        <is>
          <t>https://shop.muji.tw/SalePage/Index/8920677</t>
        </is>
      </c>
      <c r="S53" s="2" t="inlineStr">
        <is>
          <t>官網</t>
        </is>
      </c>
      <c r="T53" s="2" t="inlineStr">
        <is>
          <t>high</t>
        </is>
      </c>
      <c r="U53" s="2" t="inlineStr">
        <is>
          <t>適合急救用品等</t>
        </is>
      </c>
      <c r="V53" s="2" t="inlineStr"/>
    </row>
    <row r="54">
      <c r="A54" s="2" t="inlineStr">
        <is>
          <t>MUJI-053</t>
        </is>
      </c>
      <c r="B54" s="2" t="inlineStr">
        <is>
          <t>MUJI</t>
        </is>
      </c>
      <c r="C54" s="2" t="inlineStr">
        <is>
          <t>聚丙烯小物盒</t>
        </is>
      </c>
      <c r="D54" s="2" t="inlineStr">
        <is>
          <t>聚丙烯藥盒/S</t>
        </is>
      </c>
      <c r="E54" s="2" t="inlineStr">
        <is>
          <t>4550002547653</t>
        </is>
      </c>
      <c r="F54" s="2" t="n">
        <v>8.5</v>
      </c>
      <c r="G54" s="2" t="n">
        <v>6.6</v>
      </c>
      <c r="H54" s="2" t="n">
        <v>2</v>
      </c>
      <c r="I54" s="2" t="n"/>
      <c r="J54" s="2" t="n"/>
      <c r="K54" s="2" t="n"/>
      <c r="L54" s="2" t="inlineStr">
        <is>
          <t>聚丙烯</t>
        </is>
      </c>
      <c r="M54" s="2" t="inlineStr"/>
      <c r="N54" s="2" t="inlineStr"/>
      <c r="O54" s="2" t="inlineStr"/>
      <c r="P54" s="2" t="n">
        <v>59</v>
      </c>
      <c r="Q54" s="2" t="inlineStr">
        <is>
          <t>2026-10-26</t>
        </is>
      </c>
      <c r="R54" s="3" t="inlineStr">
        <is>
          <t>https://shop.muji.tw/SalePage/Index/8920668</t>
        </is>
      </c>
      <c r="S54" s="2" t="inlineStr">
        <is>
          <t>官網</t>
        </is>
      </c>
      <c r="T54" s="2" t="inlineStr">
        <is>
          <t>high</t>
        </is>
      </c>
      <c r="U54" s="2" t="inlineStr">
        <is>
          <t>藥品、耳環等小物；分格</t>
        </is>
      </c>
      <c r="V54" s="2" t="inlineStr"/>
    </row>
    <row r="55">
      <c r="A55" s="2" t="inlineStr">
        <is>
          <t>MUJI-054</t>
        </is>
      </c>
      <c r="B55" s="2" t="inlineStr">
        <is>
          <t>MUJI</t>
        </is>
      </c>
      <c r="C55" s="2" t="inlineStr">
        <is>
          <t>聚丙烯小物盒</t>
        </is>
      </c>
      <c r="D55" s="2" t="inlineStr">
        <is>
          <t>聚丙烯藥盒/L</t>
        </is>
      </c>
      <c r="E55" s="2" t="inlineStr">
        <is>
          <t>4550182202915</t>
        </is>
      </c>
      <c r="F55" s="2" t="n">
        <v>6.6</v>
      </c>
      <c r="G55" s="2" t="n">
        <v>17</v>
      </c>
      <c r="H55" s="2" t="n">
        <v>2</v>
      </c>
      <c r="I55" s="2" t="n"/>
      <c r="J55" s="2" t="n"/>
      <c r="K55" s="2" t="n"/>
      <c r="L55" s="2" t="inlineStr">
        <is>
          <t>聚丙烯</t>
        </is>
      </c>
      <c r="M55" s="2" t="inlineStr"/>
      <c r="N55" s="2" t="inlineStr"/>
      <c r="O55" s="2" t="inlineStr"/>
      <c r="P55" s="2" t="n">
        <v>99</v>
      </c>
      <c r="Q55" s="2" t="inlineStr">
        <is>
          <t>2026-10-26</t>
        </is>
      </c>
      <c r="R55" s="3" t="inlineStr">
        <is>
          <t>https://shop.muji.tw/SalePage/Index/8920727</t>
        </is>
      </c>
      <c r="S55" s="2" t="inlineStr">
        <is>
          <t>官網</t>
        </is>
      </c>
      <c r="T55" s="2" t="inlineStr">
        <is>
          <t>high</t>
        </is>
      </c>
      <c r="U55" s="2" t="inlineStr">
        <is>
          <t>藥丸、耳環等；耐熱80℃</t>
        </is>
      </c>
      <c r="V55" s="2" t="inlineStr"/>
    </row>
    <row r="56">
      <c r="A56" s="2" t="inlineStr">
        <is>
          <t>MUJI-055</t>
        </is>
      </c>
      <c r="B56" s="2" t="inlineStr">
        <is>
          <t>MUJI</t>
        </is>
      </c>
      <c r="C56" s="2" t="inlineStr">
        <is>
          <t>壓克力收納</t>
        </is>
      </c>
      <c r="D56" s="2" t="inlineStr">
        <is>
          <t>可堆疊壓克力抽屜盒/2層</t>
        </is>
      </c>
      <c r="E56" s="2" t="inlineStr">
        <is>
          <t>4945247380910</t>
        </is>
      </c>
      <c r="F56" s="2" t="n">
        <v>17.5</v>
      </c>
      <c r="G56" s="2" t="n">
        <v>13</v>
      </c>
      <c r="H56" s="2" t="n">
        <v>9.5</v>
      </c>
      <c r="I56" s="2" t="n"/>
      <c r="J56" s="2" t="n"/>
      <c r="K56" s="2" t="n"/>
      <c r="L56" s="2" t="inlineStr">
        <is>
          <t>丙烯系樹脂(壓克力)</t>
        </is>
      </c>
      <c r="M56" s="2" t="inlineStr">
        <is>
          <t>透明</t>
        </is>
      </c>
      <c r="N56" s="2" t="inlineStr">
        <is>
          <t>Y</t>
        </is>
      </c>
      <c r="O56" s="2" t="inlineStr">
        <is>
          <t>N</t>
        </is>
      </c>
      <c r="P56" s="2" t="n">
        <v>469</v>
      </c>
      <c r="Q56" s="2" t="inlineStr">
        <is>
          <t>2026-10-26</t>
        </is>
      </c>
      <c r="R56" s="3" t="inlineStr">
        <is>
          <t>https://shop.muji.tw/SalePage/Index/8916844</t>
        </is>
      </c>
      <c r="S56" s="2" t="inlineStr">
        <is>
          <t>官網</t>
        </is>
      </c>
      <c r="T56" s="2" t="inlineStr">
        <is>
          <t>high</t>
        </is>
      </c>
      <c r="U56" s="2" t="inlineStr">
        <is>
          <t>可堆疊；可放入灰絨內盒.可堆疊(15.5×12×2.5cm)</t>
        </is>
      </c>
      <c r="V56" s="2" t="inlineStr"/>
    </row>
    <row r="57">
      <c r="A57" s="2" t="inlineStr">
        <is>
          <t>MUJI-056</t>
        </is>
      </c>
      <c r="B57" s="2" t="inlineStr">
        <is>
          <t>MUJI</t>
        </is>
      </c>
      <c r="C57" s="2" t="inlineStr">
        <is>
          <t>壓克力收納</t>
        </is>
      </c>
      <c r="D57" s="2" t="inlineStr">
        <is>
          <t>可堆疊壓克力附蓋抽屜盒/2層</t>
        </is>
      </c>
      <c r="E57" s="2" t="inlineStr">
        <is>
          <t>4945247380965</t>
        </is>
      </c>
      <c r="F57" s="2" t="n">
        <v>17.5</v>
      </c>
      <c r="G57" s="2" t="n">
        <v>13</v>
      </c>
      <c r="H57" s="2" t="n">
        <v>9.5</v>
      </c>
      <c r="I57" s="2" t="n"/>
      <c r="J57" s="2" t="n"/>
      <c r="K57" s="2" t="n"/>
      <c r="L57" s="2" t="inlineStr">
        <is>
          <t>丙烯系樹脂(壓克力)</t>
        </is>
      </c>
      <c r="M57" s="2" t="inlineStr">
        <is>
          <t>透明</t>
        </is>
      </c>
      <c r="N57" s="2" t="inlineStr">
        <is>
          <t>Y</t>
        </is>
      </c>
      <c r="O57" s="2" t="inlineStr">
        <is>
          <t>Y</t>
        </is>
      </c>
      <c r="P57" s="2" t="n">
        <v>499</v>
      </c>
      <c r="Q57" s="2" t="inlineStr">
        <is>
          <t>2026-10-26</t>
        </is>
      </c>
      <c r="R57" s="3" t="inlineStr">
        <is>
          <t>https://shop.muji.tw/SalePage/Index/8916855</t>
        </is>
      </c>
      <c r="S57" s="2" t="inlineStr">
        <is>
          <t>官網</t>
        </is>
      </c>
      <c r="T57" s="2" t="inlineStr">
        <is>
          <t>high</t>
        </is>
      </c>
      <c r="U57" s="2" t="inlineStr">
        <is>
          <t>上層掀蓋+下層抽屜；可與同系列堆疊</t>
        </is>
      </c>
      <c r="V57" s="2" t="inlineStr"/>
    </row>
    <row r="58">
      <c r="A58" s="2" t="inlineStr">
        <is>
          <t>MUJI-057</t>
        </is>
      </c>
      <c r="B58" s="2" t="inlineStr">
        <is>
          <t>MUJI</t>
        </is>
      </c>
      <c r="C58" s="2" t="inlineStr">
        <is>
          <t>壓克力收納</t>
        </is>
      </c>
      <c r="D58" s="2" t="inlineStr">
        <is>
          <t>可堆疊壓克力抽屜盒.2層.大</t>
        </is>
      </c>
      <c r="E58" s="2" t="inlineStr">
        <is>
          <t>4550182998283</t>
        </is>
      </c>
      <c r="F58" s="2" t="n">
        <v>25.5</v>
      </c>
      <c r="G58" s="2" t="n">
        <v>17</v>
      </c>
      <c r="H58" s="2" t="n">
        <v>9.5</v>
      </c>
      <c r="I58" s="2" t="n"/>
      <c r="J58" s="2" t="n"/>
      <c r="K58" s="2" t="n"/>
      <c r="L58" s="2" t="inlineStr">
        <is>
          <t>丙烯系樹脂(壓克力)</t>
        </is>
      </c>
      <c r="M58" s="2" t="inlineStr">
        <is>
          <t>透明</t>
        </is>
      </c>
      <c r="N58" s="2" t="inlineStr">
        <is>
          <t>Y</t>
        </is>
      </c>
      <c r="O58" s="2" t="inlineStr">
        <is>
          <t>N</t>
        </is>
      </c>
      <c r="P58" s="2" t="n">
        <v>669</v>
      </c>
      <c r="Q58" s="2" t="inlineStr">
        <is>
          <t>2026-10-26</t>
        </is>
      </c>
      <c r="R58" s="3" t="inlineStr">
        <is>
          <t>https://shop.muji.tw/SalePage/Index/8916856</t>
        </is>
      </c>
      <c r="S58" s="2" t="inlineStr">
        <is>
          <t>官網</t>
        </is>
      </c>
      <c r="T58" s="2" t="inlineStr">
        <is>
          <t>high</t>
        </is>
      </c>
      <c r="U58" s="2" t="inlineStr">
        <is>
          <t>同系列同尺寸最多堆疊2個；可放入灰絨內盒.可堆疊×2個或灰絨內盒.可堆疊.大×1個</t>
        </is>
      </c>
      <c r="V58" s="2" t="inlineStr"/>
    </row>
    <row r="59">
      <c r="A59" s="2" t="inlineStr">
        <is>
          <t>MUJI-058</t>
        </is>
      </c>
      <c r="B59" s="2" t="inlineStr">
        <is>
          <t>MUJI</t>
        </is>
      </c>
      <c r="C59" s="2" t="inlineStr">
        <is>
          <t>壓克力收納</t>
        </is>
      </c>
      <c r="D59" s="2" t="inlineStr">
        <is>
          <t>可堆疊壓克力附蓋抽屜盒.2層.大</t>
        </is>
      </c>
      <c r="E59" s="2" t="inlineStr">
        <is>
          <t>4550182998290</t>
        </is>
      </c>
      <c r="F59" s="2" t="n">
        <v>25.5</v>
      </c>
      <c r="G59" s="2" t="n">
        <v>17</v>
      </c>
      <c r="H59" s="2" t="n">
        <v>9.5</v>
      </c>
      <c r="I59" s="2" t="n"/>
      <c r="J59" s="2" t="n"/>
      <c r="K59" s="2" t="n"/>
      <c r="L59" s="2" t="inlineStr">
        <is>
          <t>丙烯系樹脂(壓克力)</t>
        </is>
      </c>
      <c r="M59" s="2" t="inlineStr">
        <is>
          <t>透明</t>
        </is>
      </c>
      <c r="N59" s="2" t="inlineStr">
        <is>
          <t>Y</t>
        </is>
      </c>
      <c r="O59" s="2" t="inlineStr">
        <is>
          <t>Y</t>
        </is>
      </c>
      <c r="P59" s="2" t="n">
        <v>699</v>
      </c>
      <c r="Q59" s="2" t="inlineStr">
        <is>
          <t>2026-10-26</t>
        </is>
      </c>
      <c r="R59" s="3" t="inlineStr">
        <is>
          <t>https://shop.muji.tw/SalePage/Index/8916862</t>
        </is>
      </c>
      <c r="S59" s="2" t="inlineStr">
        <is>
          <t>官網</t>
        </is>
      </c>
      <c r="T59" s="2" t="inlineStr">
        <is>
          <t>high</t>
        </is>
      </c>
      <c r="U59" s="2" t="inlineStr">
        <is>
          <t>上層可掀蓋；同系列同尺寸最多堆疊2個；可搭配灰絨內盒</t>
        </is>
      </c>
      <c r="V59" s="2" t="inlineStr"/>
    </row>
    <row r="60">
      <c r="A60" s="2" t="inlineStr">
        <is>
          <t>MUJI-059</t>
        </is>
      </c>
      <c r="B60" s="2" t="inlineStr">
        <is>
          <t>MUJI</t>
        </is>
      </c>
      <c r="C60" s="2" t="inlineStr">
        <is>
          <t>壓克力收納</t>
        </is>
      </c>
      <c r="D60" s="2" t="inlineStr">
        <is>
          <t>壓克力小物收納盒/3層</t>
        </is>
      </c>
      <c r="E60" s="2" t="inlineStr">
        <is>
          <t>4934761798202</t>
        </is>
      </c>
      <c r="F60" s="2" t="n">
        <v>8.699999999999999</v>
      </c>
      <c r="G60" s="2" t="n">
        <v>17</v>
      </c>
      <c r="H60" s="2" t="n">
        <v>25.2</v>
      </c>
      <c r="I60" s="2" t="n"/>
      <c r="J60" s="2" t="n"/>
      <c r="K60" s="2" t="n"/>
      <c r="L60" s="2" t="inlineStr">
        <is>
          <t>丙烯系樹脂(壓克力)</t>
        </is>
      </c>
      <c r="M60" s="2" t="inlineStr">
        <is>
          <t>透明</t>
        </is>
      </c>
      <c r="N60" s="2" t="inlineStr"/>
      <c r="O60" s="2" t="inlineStr">
        <is>
          <t>N</t>
        </is>
      </c>
      <c r="P60" s="2" t="n">
        <v>849</v>
      </c>
      <c r="Q60" s="2" t="inlineStr">
        <is>
          <t>2026-10-26</t>
        </is>
      </c>
      <c r="R60" s="3" t="inlineStr">
        <is>
          <t>https://shop.muji.tw/SalePage/Index/8916860</t>
        </is>
      </c>
      <c r="S60" s="2" t="inlineStr">
        <is>
          <t>官網</t>
        </is>
      </c>
      <c r="T60" s="2" t="inlineStr">
        <is>
          <t>high</t>
        </is>
      </c>
      <c r="U60" s="2" t="inlineStr">
        <is>
          <t>官方規格約87×170×252mm；可改變抽屜方向縱、橫放置；與壓克力小物收納盒/6層同高</t>
        </is>
      </c>
      <c r="V60" s="2" t="inlineStr"/>
    </row>
    <row r="61">
      <c r="A61" s="2" t="inlineStr">
        <is>
          <t>MUJI-060</t>
        </is>
      </c>
      <c r="B61" s="2" t="inlineStr">
        <is>
          <t>MUJI</t>
        </is>
      </c>
      <c r="C61" s="2" t="inlineStr">
        <is>
          <t>壓克力收納</t>
        </is>
      </c>
      <c r="D61" s="2" t="inlineStr">
        <is>
          <t>壓克力小物收納盒/6層</t>
        </is>
      </c>
      <c r="E61" s="2" t="inlineStr">
        <is>
          <t>4549337268142</t>
        </is>
      </c>
      <c r="F61" s="2" t="n">
        <v>8.699999999999999</v>
      </c>
      <c r="G61" s="2" t="n">
        <v>17</v>
      </c>
      <c r="H61" s="2" t="n">
        <v>25.2</v>
      </c>
      <c r="I61" s="2" t="n"/>
      <c r="J61" s="2" t="n"/>
      <c r="K61" s="2" t="n"/>
      <c r="L61" s="2" t="inlineStr">
        <is>
          <t>丙烯系樹脂(壓克力)</t>
        </is>
      </c>
      <c r="M61" s="2" t="inlineStr">
        <is>
          <t>透明</t>
        </is>
      </c>
      <c r="N61" s="2" t="inlineStr"/>
      <c r="O61" s="2" t="inlineStr">
        <is>
          <t>N</t>
        </is>
      </c>
      <c r="P61" s="2" t="n">
        <v>999</v>
      </c>
      <c r="Q61" s="2" t="inlineStr">
        <is>
          <t>2026-10-26</t>
        </is>
      </c>
      <c r="R61" s="3" t="inlineStr">
        <is>
          <t>https://shop.muji.tw/SalePage/Index/8916943</t>
        </is>
      </c>
      <c r="S61" s="2" t="inlineStr">
        <is>
          <t>官網</t>
        </is>
      </c>
      <c r="T61" s="2" t="inlineStr">
        <is>
          <t>high</t>
        </is>
      </c>
      <c r="U61" s="2" t="inlineStr">
        <is>
          <t>官方規格約87×170×252mm；設計成與MDF收納盒、小物收納盒/3層同高</t>
        </is>
      </c>
      <c r="V61" s="2" t="inlineStr"/>
    </row>
    <row r="62">
      <c r="A62" s="2" t="inlineStr">
        <is>
          <t>MUJI-061</t>
        </is>
      </c>
      <c r="B62" s="2" t="inlineStr">
        <is>
          <t>MUJI</t>
        </is>
      </c>
      <c r="C62" s="2" t="inlineStr">
        <is>
          <t>壓克力收納</t>
        </is>
      </c>
      <c r="D62" s="2" t="inlineStr">
        <is>
          <t>壓克力眼鏡小物收納架/4層</t>
        </is>
      </c>
      <c r="E62" s="2" t="inlineStr">
        <is>
          <t>4934761174280</t>
        </is>
      </c>
      <c r="F62" s="2" t="n">
        <v>6.7</v>
      </c>
      <c r="G62" s="2" t="n">
        <v>17.5</v>
      </c>
      <c r="H62" s="2" t="n">
        <v>25</v>
      </c>
      <c r="I62" s="2" t="n"/>
      <c r="J62" s="2" t="n"/>
      <c r="K62" s="2" t="n"/>
      <c r="L62" s="2" t="inlineStr">
        <is>
          <t>丙烯系樹脂(壓克力)</t>
        </is>
      </c>
      <c r="M62" s="2" t="inlineStr">
        <is>
          <t>透明</t>
        </is>
      </c>
      <c r="N62" s="2" t="inlineStr"/>
      <c r="O62" s="2" t="inlineStr">
        <is>
          <t>N</t>
        </is>
      </c>
      <c r="P62" s="2" t="n">
        <v>649</v>
      </c>
      <c r="Q62" s="2" t="inlineStr">
        <is>
          <t>2026-10-26</t>
        </is>
      </c>
      <c r="R62" s="3" t="inlineStr">
        <is>
          <t>https://shop.muji.tw/SalePage/Index/8916851</t>
        </is>
      </c>
      <c r="S62" s="2" t="inlineStr">
        <is>
          <t>官網</t>
        </is>
      </c>
      <c r="T62" s="2" t="inlineStr">
        <is>
          <t>high</t>
        </is>
      </c>
      <c r="U62" s="2" t="inlineStr">
        <is>
          <t>4層抽屜，可縱橫放置；專用灰絨內盒/小物用(約5×16.5×2cm)另售</t>
        </is>
      </c>
      <c r="V62" s="2" t="inlineStr"/>
    </row>
    <row r="63">
      <c r="A63" s="2" t="inlineStr">
        <is>
          <t>MUJI-062</t>
        </is>
      </c>
      <c r="B63" s="2" t="inlineStr">
        <is>
          <t>MUJI</t>
        </is>
      </c>
      <c r="C63" s="2" t="inlineStr">
        <is>
          <t>壓克力收納</t>
        </is>
      </c>
      <c r="D63" s="2" t="inlineStr">
        <is>
          <t>壓克力項鍊耳環收納架</t>
        </is>
      </c>
      <c r="E63" s="2" t="inlineStr">
        <is>
          <t>4548718958207</t>
        </is>
      </c>
      <c r="F63" s="2" t="n">
        <v>6.7</v>
      </c>
      <c r="G63" s="2" t="n">
        <v>13</v>
      </c>
      <c r="H63" s="2" t="n">
        <v>25</v>
      </c>
      <c r="I63" s="2" t="n"/>
      <c r="J63" s="2" t="n"/>
      <c r="K63" s="2" t="n"/>
      <c r="L63" s="2" t="inlineStr">
        <is>
          <t>丙烯系樹脂(壓克力)</t>
        </is>
      </c>
      <c r="M63" s="2" t="inlineStr">
        <is>
          <t>透明</t>
        </is>
      </c>
      <c r="N63" s="2" t="inlineStr"/>
      <c r="O63" s="2" t="inlineStr">
        <is>
          <t>N</t>
        </is>
      </c>
      <c r="P63" s="2" t="n">
        <v>499</v>
      </c>
      <c r="Q63" s="2" t="inlineStr">
        <is>
          <t>2026-10-26</t>
        </is>
      </c>
      <c r="R63" s="3" t="inlineStr">
        <is>
          <t>https://shop.muji.tw/SalePage/Index/8916847</t>
        </is>
      </c>
      <c r="S63" s="2" t="inlineStr">
        <is>
          <t>官網</t>
        </is>
      </c>
      <c r="T63" s="2" t="inlineStr">
        <is>
          <t>high</t>
        </is>
      </c>
      <c r="U63" s="2" t="inlineStr">
        <is>
          <t>可吊掛項鍊耳環；專用灰絨內盒/戒指用(約5×12×2cm)另售</t>
        </is>
      </c>
      <c r="V63" s="2" t="inlineStr"/>
    </row>
    <row r="64">
      <c r="A64" s="2" t="inlineStr">
        <is>
          <t>MUJI-063</t>
        </is>
      </c>
      <c r="B64" s="2" t="inlineStr">
        <is>
          <t>MUJI</t>
        </is>
      </c>
      <c r="C64" s="2" t="inlineStr">
        <is>
          <t>壓克力收納</t>
        </is>
      </c>
      <c r="D64" s="2" t="inlineStr">
        <is>
          <t>壓克力項鍊耳環收納/左右對開型</t>
        </is>
      </c>
      <c r="E64" s="2" t="inlineStr">
        <is>
          <t>4549738671480</t>
        </is>
      </c>
      <c r="F64" s="2" t="n">
        <v>17.5</v>
      </c>
      <c r="G64" s="2" t="n">
        <v>8.800000000000001</v>
      </c>
      <c r="H64" s="2" t="n">
        <v>25</v>
      </c>
      <c r="I64" s="2" t="n"/>
      <c r="J64" s="2" t="n"/>
      <c r="K64" s="2" t="n"/>
      <c r="L64" s="2" t="inlineStr">
        <is>
          <t>丙烯系樹脂(壓克力)</t>
        </is>
      </c>
      <c r="M64" s="2" t="inlineStr">
        <is>
          <t>透明</t>
        </is>
      </c>
      <c r="N64" s="2" t="inlineStr"/>
      <c r="O64" s="2" t="inlineStr">
        <is>
          <t>N</t>
        </is>
      </c>
      <c r="P64" s="2" t="n">
        <v>629</v>
      </c>
      <c r="Q64" s="2" t="inlineStr">
        <is>
          <t>2026-10-26</t>
        </is>
      </c>
      <c r="R64" s="3" t="inlineStr">
        <is>
          <t>https://shop.muji.tw/SalePage/Index/8916846</t>
        </is>
      </c>
      <c r="S64" s="2" t="inlineStr">
        <is>
          <t>官網</t>
        </is>
      </c>
      <c r="T64" s="2" t="inlineStr">
        <is>
          <t>high</t>
        </is>
      </c>
      <c r="U64" s="2" t="inlineStr">
        <is>
          <t>左右對開；專用灰絨內盒(戒指用/小物用，約16.7×3.7×2cm)另售</t>
        </is>
      </c>
      <c r="V64" s="2" t="inlineStr"/>
    </row>
    <row r="65">
      <c r="A65" s="2" t="inlineStr">
        <is>
          <t>MUJI-064</t>
        </is>
      </c>
      <c r="B65" s="2" t="inlineStr">
        <is>
          <t>MUJI</t>
        </is>
      </c>
      <c r="C65" s="2" t="inlineStr">
        <is>
          <t>壓克力收納</t>
        </is>
      </c>
      <c r="D65" s="2" t="inlineStr">
        <is>
          <t>壓克力展示盒(附門).小</t>
        </is>
      </c>
      <c r="E65" s="2" t="inlineStr">
        <is>
          <t>4550002856120</t>
        </is>
      </c>
      <c r="F65" s="2" t="n">
        <v>25.2</v>
      </c>
      <c r="G65" s="2" t="n">
        <v>8.4</v>
      </c>
      <c r="H65" s="2" t="n">
        <v>18.4</v>
      </c>
      <c r="I65" s="2" t="n"/>
      <c r="J65" s="2" t="n"/>
      <c r="K65" s="2" t="n"/>
      <c r="L65" s="2" t="inlineStr">
        <is>
          <t>丙烯樹脂(壓克力)</t>
        </is>
      </c>
      <c r="M65" s="2" t="inlineStr">
        <is>
          <t>透明</t>
        </is>
      </c>
      <c r="N65" s="2" t="inlineStr"/>
      <c r="O65" s="2" t="inlineStr">
        <is>
          <t>N</t>
        </is>
      </c>
      <c r="P65" s="2" t="n">
        <v>699</v>
      </c>
      <c r="Q65" s="2" t="inlineStr">
        <is>
          <t>2026-10-26</t>
        </is>
      </c>
      <c r="R65" s="3" t="inlineStr">
        <is>
          <t>https://shop.muji.tw/SalePage/Index/8916854</t>
        </is>
      </c>
      <c r="S65" s="2" t="inlineStr">
        <is>
          <t>官網</t>
        </is>
      </c>
      <c r="T65" s="2" t="inlineStr">
        <is>
          <t>high</t>
        </is>
      </c>
      <c r="U65" s="2" t="inlineStr">
        <is>
          <t>附門展示收納；可改變擺放方向</t>
        </is>
      </c>
      <c r="V65" s="2" t="inlineStr"/>
    </row>
    <row r="66">
      <c r="A66" s="2" t="inlineStr">
        <is>
          <t>MUJI-065</t>
        </is>
      </c>
      <c r="B66" s="2" t="inlineStr">
        <is>
          <t>MUJI</t>
        </is>
      </c>
      <c r="C66" s="2" t="inlineStr">
        <is>
          <t>壓克力收納</t>
        </is>
      </c>
      <c r="D66" s="2" t="inlineStr">
        <is>
          <t>壓克力展示盒(附門).大</t>
        </is>
      </c>
      <c r="E66" s="2" t="inlineStr">
        <is>
          <t>4550002856113</t>
        </is>
      </c>
      <c r="F66" s="2" t="n">
        <v>33.6</v>
      </c>
      <c r="G66" s="2" t="n">
        <v>8.4</v>
      </c>
      <c r="H66" s="2" t="n">
        <v>24.4</v>
      </c>
      <c r="I66" s="2" t="n"/>
      <c r="J66" s="2" t="n"/>
      <c r="K66" s="2" t="n"/>
      <c r="L66" s="2" t="inlineStr">
        <is>
          <t>丙烯樹脂(壓克力)</t>
        </is>
      </c>
      <c r="M66" s="2" t="inlineStr">
        <is>
          <t>透明</t>
        </is>
      </c>
      <c r="N66" s="2" t="inlineStr"/>
      <c r="O66" s="2" t="inlineStr">
        <is>
          <t>N</t>
        </is>
      </c>
      <c r="P66" s="2" t="n">
        <v>799</v>
      </c>
      <c r="Q66" s="2" t="inlineStr">
        <is>
          <t>2026-10-26</t>
        </is>
      </c>
      <c r="R66" s="3" t="inlineStr">
        <is>
          <t>https://shop.muji.tw/SalePage/Index/8916857</t>
        </is>
      </c>
      <c r="S66" s="2" t="inlineStr">
        <is>
          <t>官網</t>
        </is>
      </c>
      <c r="T66" s="2" t="inlineStr">
        <is>
          <t>high</t>
        </is>
      </c>
      <c r="U66" s="2" t="inlineStr">
        <is>
          <t>附門展示收納</t>
        </is>
      </c>
      <c r="V66" s="2" t="inlineStr"/>
    </row>
    <row r="67">
      <c r="A67" s="2" t="inlineStr">
        <is>
          <t>MUJI-066</t>
        </is>
      </c>
      <c r="B67" s="2" t="inlineStr">
        <is>
          <t>MUJI</t>
        </is>
      </c>
      <c r="C67" s="2" t="inlineStr">
        <is>
          <t>壓克力收納</t>
        </is>
      </c>
      <c r="D67" s="2" t="inlineStr">
        <is>
          <t>壓克力收納展示盒(4×4格)</t>
        </is>
      </c>
      <c r="E67" s="2" t="inlineStr">
        <is>
          <t>4945247381115</t>
        </is>
      </c>
      <c r="F67" s="2" t="n">
        <v>27.5</v>
      </c>
      <c r="G67" s="2" t="n">
        <v>7</v>
      </c>
      <c r="H67" s="2" t="n">
        <v>35</v>
      </c>
      <c r="I67" s="2" t="n"/>
      <c r="J67" s="2" t="n"/>
      <c r="K67" s="2" t="n"/>
      <c r="L67" s="2" t="inlineStr">
        <is>
          <t>丙烯系樹脂(壓克力)</t>
        </is>
      </c>
      <c r="M67" s="2" t="inlineStr">
        <is>
          <t>透明(背板不透明)</t>
        </is>
      </c>
      <c r="N67" s="2" t="inlineStr"/>
      <c r="O67" s="2" t="inlineStr">
        <is>
          <t>N</t>
        </is>
      </c>
      <c r="P67" s="2" t="n">
        <v>899</v>
      </c>
      <c r="Q67" s="2" t="inlineStr">
        <is>
          <t>2026-10-26</t>
        </is>
      </c>
      <c r="R67" s="3" t="inlineStr">
        <is>
          <t>https://shop.muji.tw/SalePage/Index/10258364</t>
        </is>
      </c>
      <c r="S67" s="2" t="inlineStr">
        <is>
          <t>官網</t>
        </is>
      </c>
      <c r="T67" s="2" t="inlineStr">
        <is>
          <t>high</t>
        </is>
      </c>
      <c r="U67" s="2" t="inlineStr">
        <is>
          <t>後側面板不透明，前後面板可拆</t>
        </is>
      </c>
      <c r="V67" s="2" t="inlineStr"/>
    </row>
    <row r="68">
      <c r="A68" s="2" t="inlineStr">
        <is>
          <t>MUJI-067</t>
        </is>
      </c>
      <c r="B68" s="2" t="inlineStr">
        <is>
          <t>MUJI</t>
        </is>
      </c>
      <c r="C68" s="2" t="inlineStr">
        <is>
          <t>壓克力收納</t>
        </is>
      </c>
      <c r="D68" s="2" t="inlineStr">
        <is>
          <t>壓克力小物容器</t>
        </is>
      </c>
      <c r="E68" s="2" t="inlineStr">
        <is>
          <t>4548076427438</t>
        </is>
      </c>
      <c r="F68" s="2" t="n">
        <v>9</v>
      </c>
      <c r="G68" s="2" t="n">
        <v>9</v>
      </c>
      <c r="H68" s="2" t="n">
        <v>9.699999999999999</v>
      </c>
      <c r="I68" s="2" t="n"/>
      <c r="J68" s="2" t="n"/>
      <c r="K68" s="2" t="n"/>
      <c r="L68" s="2" t="inlineStr">
        <is>
          <t>聚甲基丙烯酸甲酯(壓克力)</t>
        </is>
      </c>
      <c r="M68" s="2" t="inlineStr">
        <is>
          <t>透明</t>
        </is>
      </c>
      <c r="N68" s="2" t="inlineStr"/>
      <c r="O68" s="2" t="inlineStr">
        <is>
          <t>N</t>
        </is>
      </c>
      <c r="P68" s="2" t="n">
        <v>150</v>
      </c>
      <c r="Q68" s="2" t="inlineStr">
        <is>
          <t>2026-10-26</t>
        </is>
      </c>
      <c r="R68" s="3" t="inlineStr">
        <is>
          <t>https://shop.muji.tw/SalePage/Index/12006151</t>
        </is>
      </c>
      <c r="S68" s="2" t="inlineStr">
        <is>
          <t>官網</t>
        </is>
      </c>
      <c r="T68" s="2" t="inlineStr">
        <is>
          <t>high</t>
        </is>
      </c>
      <c r="U68" s="2" t="inlineStr">
        <is>
          <t>圓筒形，官方規格「直徑約90x97mm」，outer_w/d填直徑、outer_h填97mm(推定為高)；品號ODA59A6S</t>
        </is>
      </c>
      <c r="V68" s="2" t="inlineStr"/>
    </row>
    <row r="69">
      <c r="A69" s="2" t="inlineStr">
        <is>
          <t>MUJI-068</t>
        </is>
      </c>
      <c r="B69" s="2" t="inlineStr">
        <is>
          <t>MUJI</t>
        </is>
      </c>
      <c r="C69" s="2" t="inlineStr">
        <is>
          <t>壓克力收納</t>
        </is>
      </c>
      <c r="D69" s="2" t="inlineStr">
        <is>
          <t>壓克力小物容器/小</t>
        </is>
      </c>
      <c r="E69" s="2" t="inlineStr">
        <is>
          <t>4548076427445</t>
        </is>
      </c>
      <c r="F69" s="2" t="n">
        <v>7</v>
      </c>
      <c r="G69" s="2" t="n">
        <v>7</v>
      </c>
      <c r="H69" s="2" t="n">
        <v>9.699999999999999</v>
      </c>
      <c r="I69" s="2" t="n"/>
      <c r="J69" s="2" t="n"/>
      <c r="K69" s="2" t="n"/>
      <c r="L69" s="2" t="inlineStr">
        <is>
          <t>聚甲基丙烯酸甲酯(壓克力)</t>
        </is>
      </c>
      <c r="M69" s="2" t="inlineStr">
        <is>
          <t>透明</t>
        </is>
      </c>
      <c r="N69" s="2" t="inlineStr"/>
      <c r="O69" s="2" t="inlineStr">
        <is>
          <t>N</t>
        </is>
      </c>
      <c r="P69" s="2" t="n">
        <v>120</v>
      </c>
      <c r="Q69" s="2" t="inlineStr">
        <is>
          <t>2026-10-26</t>
        </is>
      </c>
      <c r="R69" s="3" t="inlineStr">
        <is>
          <t>https://shop.muji.tw/SalePage/Index/12006153</t>
        </is>
      </c>
      <c r="S69" s="2" t="inlineStr">
        <is>
          <t>官網</t>
        </is>
      </c>
      <c r="T69" s="2" t="inlineStr">
        <is>
          <t>high</t>
        </is>
      </c>
      <c r="U69" s="2" t="inlineStr">
        <is>
          <t>圓筒形，官方規格「直徑約70x97mm」，outer_w/d填直徑；品號ODA60A6S</t>
        </is>
      </c>
      <c r="V69" s="2" t="inlineStr"/>
    </row>
    <row r="70">
      <c r="A70" s="2" t="inlineStr">
        <is>
          <t>MUJI-069</t>
        </is>
      </c>
      <c r="B70" s="2" t="inlineStr">
        <is>
          <t>MUJI</t>
        </is>
      </c>
      <c r="C70" s="2" t="inlineStr">
        <is>
          <t>灰絨內盒</t>
        </is>
      </c>
      <c r="D70" s="2" t="inlineStr">
        <is>
          <t>灰絨內盒.可堆疊/格狀隔間</t>
        </is>
      </c>
      <c r="E70" s="2" t="inlineStr">
        <is>
          <t>4550344596517</t>
        </is>
      </c>
      <c r="F70" s="2" t="n">
        <v>15.5</v>
      </c>
      <c r="G70" s="2" t="n">
        <v>12</v>
      </c>
      <c r="H70" s="2" t="n">
        <v>2.5</v>
      </c>
      <c r="I70" s="2" t="n"/>
      <c r="J70" s="2" t="n"/>
      <c r="K70" s="2" t="n"/>
      <c r="L70" s="2" t="inlineStr">
        <is>
          <t>芯材聚苯乙烯、絨布表面</t>
        </is>
      </c>
      <c r="M70" s="2" t="inlineStr">
        <is>
          <t>灰</t>
        </is>
      </c>
      <c r="N70" s="2" t="inlineStr">
        <is>
          <t>Y</t>
        </is>
      </c>
      <c r="O70" s="2" t="inlineStr">
        <is>
          <t>N</t>
        </is>
      </c>
      <c r="P70" s="2" t="n">
        <v>269</v>
      </c>
      <c r="Q70" s="2" t="inlineStr">
        <is>
          <t>2026-10-26</t>
        </is>
      </c>
      <c r="R70" s="3" t="inlineStr">
        <is>
          <t>https://shop.muji.tw/SalePage/Index/8916850</t>
        </is>
      </c>
      <c r="S70" s="2" t="inlineStr">
        <is>
          <t>官網</t>
        </is>
      </c>
      <c r="T70" s="2" t="inlineStr">
        <is>
          <t>high</t>
        </is>
      </c>
      <c r="U70" s="2" t="inlineStr">
        <is>
          <t>可直接作抽屜隔間；可放入可堆疊壓克力抽屜盒.2層，大尺寸可放2個；可與縱型隔間款互疊，堆疊勿超過5個</t>
        </is>
      </c>
      <c r="V70" s="2" t="inlineStr"/>
    </row>
    <row r="71">
      <c r="A71" s="2" t="inlineStr">
        <is>
          <t>MUJI-070</t>
        </is>
      </c>
      <c r="B71" s="2" t="inlineStr">
        <is>
          <t>MUJI</t>
        </is>
      </c>
      <c r="C71" s="2" t="inlineStr">
        <is>
          <t>灰絨內盒</t>
        </is>
      </c>
      <c r="D71" s="2" t="inlineStr">
        <is>
          <t>灰絨內盒.可堆疊/縱型隔間</t>
        </is>
      </c>
      <c r="E71" s="2" t="inlineStr">
        <is>
          <t>4550344596524</t>
        </is>
      </c>
      <c r="F71" s="2" t="n">
        <v>15.5</v>
      </c>
      <c r="G71" s="2" t="n">
        <v>12</v>
      </c>
      <c r="H71" s="2" t="n">
        <v>2.5</v>
      </c>
      <c r="I71" s="2" t="n"/>
      <c r="J71" s="2" t="n"/>
      <c r="K71" s="2" t="n"/>
      <c r="L71" s="2" t="inlineStr">
        <is>
          <t>芯材聚苯乙烯、絨布表面</t>
        </is>
      </c>
      <c r="M71" s="2" t="inlineStr">
        <is>
          <t>灰</t>
        </is>
      </c>
      <c r="N71" s="2" t="inlineStr">
        <is>
          <t>Y</t>
        </is>
      </c>
      <c r="O71" s="2" t="inlineStr">
        <is>
          <t>N</t>
        </is>
      </c>
      <c r="P71" s="2" t="n">
        <v>139</v>
      </c>
      <c r="Q71" s="2" t="inlineStr">
        <is>
          <t>2026-10-26</t>
        </is>
      </c>
      <c r="R71" s="3" t="inlineStr">
        <is>
          <t>https://shop.muji.tw/SalePage/Index/8916872</t>
        </is>
      </c>
      <c r="S71" s="2" t="inlineStr">
        <is>
          <t>官網</t>
        </is>
      </c>
      <c r="T71" s="2" t="inlineStr">
        <is>
          <t>high</t>
        </is>
      </c>
      <c r="U71" s="2" t="inlineStr">
        <is>
          <t>可放入可堆疊壓克力抽屜盒.2層，大尺寸可放2個；堆疊勿超過5個</t>
        </is>
      </c>
      <c r="V71" s="2" t="inlineStr"/>
    </row>
    <row r="72">
      <c r="A72" s="2" t="inlineStr">
        <is>
          <t>MUJI-071</t>
        </is>
      </c>
      <c r="B72" s="2" t="inlineStr">
        <is>
          <t>MUJI</t>
        </is>
      </c>
      <c r="C72" s="2" t="inlineStr">
        <is>
          <t>灰絨內盒</t>
        </is>
      </c>
      <c r="D72" s="2" t="inlineStr">
        <is>
          <t>灰絨內盒.可堆疊.大/戒指小物用</t>
        </is>
      </c>
      <c r="E72" s="2" t="inlineStr">
        <is>
          <t>4550344596548</t>
        </is>
      </c>
      <c r="F72" s="2" t="n">
        <v>23.5</v>
      </c>
      <c r="G72" s="2" t="n">
        <v>15.5</v>
      </c>
      <c r="H72" s="2" t="n">
        <v>2.5</v>
      </c>
      <c r="I72" s="2" t="n"/>
      <c r="J72" s="2" t="n"/>
      <c r="K72" s="2" t="n"/>
      <c r="L72" s="2" t="inlineStr">
        <is>
          <t>芯材聚苯乙烯、絨布表面</t>
        </is>
      </c>
      <c r="M72" s="2" t="inlineStr">
        <is>
          <t>灰</t>
        </is>
      </c>
      <c r="N72" s="2" t="inlineStr">
        <is>
          <t>Y</t>
        </is>
      </c>
      <c r="O72" s="2" t="inlineStr">
        <is>
          <t>N</t>
        </is>
      </c>
      <c r="P72" s="2" t="n">
        <v>269</v>
      </c>
      <c r="Q72" s="2" t="inlineStr">
        <is>
          <t>2026-10-26</t>
        </is>
      </c>
      <c r="R72" s="3" t="inlineStr">
        <is>
          <t>https://shop.muji.tw/SalePage/Index/8916905</t>
        </is>
      </c>
      <c r="S72" s="2" t="inlineStr">
        <is>
          <t>官網</t>
        </is>
      </c>
      <c r="T72" s="2" t="inlineStr">
        <is>
          <t>high</t>
        </is>
      </c>
      <c r="U72" s="2" t="inlineStr">
        <is>
          <t>搭配可堆疊壓克力抽屜盒.2層.大可放1個；堆疊勿超過5個</t>
        </is>
      </c>
      <c r="V72" s="2" t="inlineStr"/>
    </row>
    <row r="73">
      <c r="A73" s="2" t="inlineStr">
        <is>
          <t>MUJI-072</t>
        </is>
      </c>
      <c r="B73" s="2" t="inlineStr">
        <is>
          <t>MUJI</t>
        </is>
      </c>
      <c r="C73" s="2" t="inlineStr">
        <is>
          <t>灰絨內盒</t>
        </is>
      </c>
      <c r="D73" s="2" t="inlineStr">
        <is>
          <t>灰絨內盒.可堆疊.大/項鍊收納用</t>
        </is>
      </c>
      <c r="E73" s="2" t="inlineStr">
        <is>
          <t>4550344596531</t>
        </is>
      </c>
      <c r="F73" s="2" t="n">
        <v>23.5</v>
      </c>
      <c r="G73" s="2" t="n">
        <v>15.5</v>
      </c>
      <c r="H73" s="2" t="n">
        <v>2.5</v>
      </c>
      <c r="I73" s="2" t="n"/>
      <c r="J73" s="2" t="n"/>
      <c r="K73" s="2" t="n"/>
      <c r="L73" s="2" t="inlineStr">
        <is>
          <t>芯材聚苯乙烯、絨布表面</t>
        </is>
      </c>
      <c r="M73" s="2" t="inlineStr">
        <is>
          <t>灰</t>
        </is>
      </c>
      <c r="N73" s="2" t="inlineStr">
        <is>
          <t>Y</t>
        </is>
      </c>
      <c r="O73" s="2" t="inlineStr">
        <is>
          <t>N</t>
        </is>
      </c>
      <c r="P73" s="2" t="n">
        <v>269</v>
      </c>
      <c r="Q73" s="2" t="inlineStr">
        <is>
          <t>2026-10-26</t>
        </is>
      </c>
      <c r="R73" s="3" t="inlineStr">
        <is>
          <t>https://shop.muji.tw/SalePage/Index/8916972</t>
        </is>
      </c>
      <c r="S73" s="2" t="inlineStr">
        <is>
          <t>官網</t>
        </is>
      </c>
      <c r="T73" s="2" t="inlineStr">
        <is>
          <t>high</t>
        </is>
      </c>
      <c r="U73" s="2" t="inlineStr">
        <is>
          <t>搭配可堆疊壓克力抽屜盒.2層.大可放1個；堆疊勿超過5個</t>
        </is>
      </c>
      <c r="V73" s="2" t="inlineStr"/>
    </row>
    <row r="74">
      <c r="A74" s="2" t="inlineStr">
        <is>
          <t>MUJI-073</t>
        </is>
      </c>
      <c r="B74" s="2" t="inlineStr">
        <is>
          <t>MUJI</t>
        </is>
      </c>
      <c r="C74" s="2" t="inlineStr">
        <is>
          <t>灰絨內盒</t>
        </is>
      </c>
      <c r="D74" s="2" t="inlineStr">
        <is>
          <t>灰絨內盒/戒指用(可對應壓克力項鍊耳環收納架)</t>
        </is>
      </c>
      <c r="E74" s="2" t="inlineStr">
        <is>
          <t>4550344596555</t>
        </is>
      </c>
      <c r="F74" s="2" t="n">
        <v>5</v>
      </c>
      <c r="G74" s="2" t="n">
        <v>12</v>
      </c>
      <c r="H74" s="2" t="n">
        <v>2</v>
      </c>
      <c r="I74" s="2" t="n"/>
      <c r="J74" s="2" t="n"/>
      <c r="K74" s="2" t="n"/>
      <c r="L74" s="2" t="inlineStr">
        <is>
          <t>芯材聚苯乙烯、絨布表面</t>
        </is>
      </c>
      <c r="M74" s="2" t="inlineStr">
        <is>
          <t>灰</t>
        </is>
      </c>
      <c r="N74" s="2" t="inlineStr"/>
      <c r="O74" s="2" t="inlineStr">
        <is>
          <t>N</t>
        </is>
      </c>
      <c r="P74" s="2" t="n">
        <v>139</v>
      </c>
      <c r="Q74" s="2" t="inlineStr">
        <is>
          <t>2026-10-26</t>
        </is>
      </c>
      <c r="R74" s="3" t="inlineStr">
        <is>
          <t>https://shop.muji.tw/SalePage/Index/8916884</t>
        </is>
      </c>
      <c r="S74" s="2" t="inlineStr">
        <is>
          <t>官網</t>
        </is>
      </c>
      <c r="T74" s="2" t="inlineStr">
        <is>
          <t>high</t>
        </is>
      </c>
      <c r="U74" s="2" t="inlineStr">
        <is>
          <t>壓克力項鍊耳環收納架專用</t>
        </is>
      </c>
      <c r="V74" s="2" t="inlineStr"/>
    </row>
    <row r="75">
      <c r="A75" s="2" t="inlineStr">
        <is>
          <t>MUJI-074</t>
        </is>
      </c>
      <c r="B75" s="2" t="inlineStr">
        <is>
          <t>MUJI</t>
        </is>
      </c>
      <c r="C75" s="2" t="inlineStr">
        <is>
          <t>灰絨內盒</t>
        </is>
      </c>
      <c r="D75" s="2" t="inlineStr">
        <is>
          <t>灰絨內盒/小物用(可對應壓克力眼鏡小物收納架)</t>
        </is>
      </c>
      <c r="E75" s="2" t="inlineStr">
        <is>
          <t>4550344596562</t>
        </is>
      </c>
      <c r="F75" s="2" t="n">
        <v>5</v>
      </c>
      <c r="G75" s="2" t="n">
        <v>16.5</v>
      </c>
      <c r="H75" s="2" t="n">
        <v>2</v>
      </c>
      <c r="I75" s="2" t="n"/>
      <c r="J75" s="2" t="n"/>
      <c r="K75" s="2" t="n"/>
      <c r="L75" s="2" t="inlineStr">
        <is>
          <t>芯材聚苯乙烯、絨布表面</t>
        </is>
      </c>
      <c r="M75" s="2" t="inlineStr">
        <is>
          <t>灰</t>
        </is>
      </c>
      <c r="N75" s="2" t="inlineStr"/>
      <c r="O75" s="2" t="inlineStr">
        <is>
          <t>N</t>
        </is>
      </c>
      <c r="P75" s="2" t="n">
        <v>139</v>
      </c>
      <c r="Q75" s="2" t="inlineStr">
        <is>
          <t>2026-10-26</t>
        </is>
      </c>
      <c r="R75" s="3" t="inlineStr">
        <is>
          <t>https://shop.muji.tw/SalePage/Index/8917043</t>
        </is>
      </c>
      <c r="S75" s="2" t="inlineStr">
        <is>
          <t>官網</t>
        </is>
      </c>
      <c r="T75" s="2" t="inlineStr">
        <is>
          <t>high</t>
        </is>
      </c>
      <c r="U75" s="2" t="inlineStr">
        <is>
          <t>壓克力眼鏡小物收納架/4層專用</t>
        </is>
      </c>
      <c r="V75" s="2" t="inlineStr"/>
    </row>
    <row r="76">
      <c r="A76" s="2" t="inlineStr">
        <is>
          <t>MUJI-075</t>
        </is>
      </c>
      <c r="B76" s="2" t="inlineStr">
        <is>
          <t>MUJI</t>
        </is>
      </c>
      <c r="C76" s="2" t="inlineStr">
        <is>
          <t>灰絨內盒</t>
        </is>
      </c>
      <c r="D76" s="2" t="inlineStr">
        <is>
          <t>灰絨內盒/戒指用(可對應壓克力項鍊耳環收納/左右對開型)</t>
        </is>
      </c>
      <c r="E76" s="2" t="inlineStr">
        <is>
          <t>4550344596579</t>
        </is>
      </c>
      <c r="F76" s="2" t="n">
        <v>16.7</v>
      </c>
      <c r="G76" s="2" t="n">
        <v>3.7</v>
      </c>
      <c r="H76" s="2" t="n">
        <v>2</v>
      </c>
      <c r="I76" s="2" t="n"/>
      <c r="J76" s="2" t="n"/>
      <c r="K76" s="2" t="n"/>
      <c r="L76" s="2" t="inlineStr">
        <is>
          <t>芯材聚苯乙烯、絨布表面</t>
        </is>
      </c>
      <c r="M76" s="2" t="inlineStr">
        <is>
          <t>灰</t>
        </is>
      </c>
      <c r="N76" s="2" t="inlineStr"/>
      <c r="O76" s="2" t="inlineStr">
        <is>
          <t>N</t>
        </is>
      </c>
      <c r="P76" s="2" t="n">
        <v>139</v>
      </c>
      <c r="Q76" s="2" t="inlineStr">
        <is>
          <t>2026-10-26</t>
        </is>
      </c>
      <c r="R76" s="3" t="inlineStr">
        <is>
          <t>https://shop.muji.tw/SalePage/Index/8916984</t>
        </is>
      </c>
      <c r="S76" s="2" t="inlineStr">
        <is>
          <t>官網</t>
        </is>
      </c>
      <c r="T76" s="2" t="inlineStr">
        <is>
          <t>high</t>
        </is>
      </c>
      <c r="U76" s="2" t="inlineStr">
        <is>
          <t>左右對開型專用</t>
        </is>
      </c>
      <c r="V76" s="2" t="inlineStr"/>
    </row>
    <row r="77">
      <c r="A77" s="2" t="inlineStr">
        <is>
          <t>MUJI-076</t>
        </is>
      </c>
      <c r="B77" s="2" t="inlineStr">
        <is>
          <t>MUJI</t>
        </is>
      </c>
      <c r="C77" s="2" t="inlineStr">
        <is>
          <t>灰絨內盒</t>
        </is>
      </c>
      <c r="D77" s="2" t="inlineStr">
        <is>
          <t>灰絨內盒/小物用(可對應壓克力項鍊耳環收納/左右對開型)</t>
        </is>
      </c>
      <c r="E77" s="2" t="inlineStr">
        <is>
          <t>4550344596586</t>
        </is>
      </c>
      <c r="F77" s="2" t="n">
        <v>16.7</v>
      </c>
      <c r="G77" s="2" t="n">
        <v>3.7</v>
      </c>
      <c r="H77" s="2" t="n">
        <v>2</v>
      </c>
      <c r="I77" s="2" t="n"/>
      <c r="J77" s="2" t="n"/>
      <c r="K77" s="2" t="n"/>
      <c r="L77" s="2" t="inlineStr">
        <is>
          <t>芯材聚苯乙烯、絨布表面</t>
        </is>
      </c>
      <c r="M77" s="2" t="inlineStr">
        <is>
          <t>灰</t>
        </is>
      </c>
      <c r="N77" s="2" t="inlineStr"/>
      <c r="O77" s="2" t="inlineStr">
        <is>
          <t>N</t>
        </is>
      </c>
      <c r="P77" s="2" t="n">
        <v>139</v>
      </c>
      <c r="Q77" s="2" t="inlineStr">
        <is>
          <t>2026-10-26</t>
        </is>
      </c>
      <c r="R77" s="3" t="inlineStr">
        <is>
          <t>https://shop.muji.tw/SalePage/Index/8917062</t>
        </is>
      </c>
      <c r="S77" s="2" t="inlineStr">
        <is>
          <t>官網</t>
        </is>
      </c>
      <c r="T77" s="2" t="inlineStr">
        <is>
          <t>high</t>
        </is>
      </c>
      <c r="U77" s="2" t="inlineStr">
        <is>
          <t>左右對開型專用</t>
        </is>
      </c>
      <c r="V77" s="2" t="inlineStr"/>
    </row>
    <row r="78">
      <c r="A78" s="2" t="inlineStr">
        <is>
          <t>MUJI-077</t>
        </is>
      </c>
      <c r="B78" s="2" t="inlineStr">
        <is>
          <t>MUJI</t>
        </is>
      </c>
      <c r="C78" s="2" t="inlineStr">
        <is>
          <t>軟質聚乙烯收納盒</t>
        </is>
      </c>
      <c r="D78" s="2" t="inlineStr">
        <is>
          <t>軟質聚乙烯收納盒/小</t>
        </is>
      </c>
      <c r="E78" s="2" t="inlineStr">
        <is>
          <t>4547315197835</t>
        </is>
      </c>
      <c r="F78" s="2" t="n">
        <v>25.5</v>
      </c>
      <c r="G78" s="2" t="n">
        <v>36</v>
      </c>
      <c r="H78" s="2" t="n">
        <v>8</v>
      </c>
      <c r="I78" s="2" t="n">
        <v>19</v>
      </c>
      <c r="J78" s="2" t="n">
        <v>30</v>
      </c>
      <c r="K78" s="2" t="n">
        <v>7</v>
      </c>
      <c r="L78" s="2" t="inlineStr">
        <is>
          <t>聚乙烯</t>
        </is>
      </c>
      <c r="M78" s="2" t="inlineStr"/>
      <c r="N78" s="2" t="inlineStr"/>
      <c r="O78" s="2" t="inlineStr">
        <is>
          <t>N</t>
        </is>
      </c>
      <c r="P78" s="2" t="n">
        <v>199</v>
      </c>
      <c r="Q78" s="2" t="inlineStr">
        <is>
          <t>2026-10-26</t>
        </is>
      </c>
      <c r="R78" s="3" t="inlineStr">
        <is>
          <t>https://shop.muji.tw/SalePage/Index/8920900</t>
        </is>
      </c>
      <c r="S78" s="2" t="inlineStr">
        <is>
          <t>官網</t>
        </is>
      </c>
      <c r="T78" s="2" t="inlineStr">
        <is>
          <t>high</t>
        </is>
      </c>
      <c r="U78" s="2" t="inlineStr">
        <is>
          <t>圓角軟質；耐水耐冷；可放入SUS層架、自由組合層架；另售軟質聚乙烯收納盒用蓋(約26×36.5×1.5cm，89元)</t>
        </is>
      </c>
      <c r="V78" s="2" t="inlineStr"/>
    </row>
    <row r="79">
      <c r="A79" s="2" t="inlineStr">
        <is>
          <t>MUJI-078</t>
        </is>
      </c>
      <c r="B79" s="2" t="inlineStr">
        <is>
          <t>MUJI</t>
        </is>
      </c>
      <c r="C79" s="2" t="inlineStr">
        <is>
          <t>軟質聚乙烯收納盒</t>
        </is>
      </c>
      <c r="D79" s="2" t="inlineStr">
        <is>
          <t>軟質聚乙烯收納盒/中</t>
        </is>
      </c>
      <c r="E79" s="2" t="inlineStr">
        <is>
          <t>4547315197842</t>
        </is>
      </c>
      <c r="F79" s="2" t="n">
        <v>25.5</v>
      </c>
      <c r="G79" s="2" t="n">
        <v>36</v>
      </c>
      <c r="H79" s="2" t="n">
        <v>16</v>
      </c>
      <c r="I79" s="2" t="n">
        <v>18.5</v>
      </c>
      <c r="J79" s="2" t="n">
        <v>29</v>
      </c>
      <c r="K79" s="2" t="n">
        <v>15</v>
      </c>
      <c r="L79" s="2" t="inlineStr">
        <is>
          <t>聚乙烯</t>
        </is>
      </c>
      <c r="M79" s="2" t="inlineStr"/>
      <c r="N79" s="2" t="inlineStr"/>
      <c r="O79" s="2" t="inlineStr">
        <is>
          <t>N</t>
        </is>
      </c>
      <c r="P79" s="2" t="n">
        <v>239</v>
      </c>
      <c r="Q79" s="2" t="inlineStr">
        <is>
          <t>2026-10-26</t>
        </is>
      </c>
      <c r="R79" s="3" t="inlineStr">
        <is>
          <t>https://shop.muji.tw/SalePage/Index/8920890</t>
        </is>
      </c>
      <c r="S79" s="2" t="inlineStr">
        <is>
          <t>官網</t>
        </is>
      </c>
      <c r="T79" s="2" t="inlineStr">
        <is>
          <t>high</t>
        </is>
      </c>
      <c r="U79" s="2" t="inlineStr">
        <is>
          <t>圓角軟質；耐水耐冷；可放入SUS層架、自由組合層架；另售用蓋(89元)</t>
        </is>
      </c>
      <c r="V79" s="2" t="inlineStr"/>
    </row>
    <row r="80">
      <c r="A80" s="2" t="inlineStr">
        <is>
          <t>MUJI-079</t>
        </is>
      </c>
      <c r="B80" s="2" t="inlineStr">
        <is>
          <t>MUJI</t>
        </is>
      </c>
      <c r="C80" s="2" t="inlineStr">
        <is>
          <t>軟質聚乙烯收納盒</t>
        </is>
      </c>
      <c r="D80" s="2" t="inlineStr">
        <is>
          <t>軟質聚乙烯收納盒/大</t>
        </is>
      </c>
      <c r="E80" s="2" t="inlineStr">
        <is>
          <t>4547315197859</t>
        </is>
      </c>
      <c r="F80" s="2" t="n">
        <v>25.5</v>
      </c>
      <c r="G80" s="2" t="n">
        <v>36</v>
      </c>
      <c r="H80" s="2" t="n">
        <v>24</v>
      </c>
      <c r="I80" s="2" t="n">
        <v>18</v>
      </c>
      <c r="J80" s="2" t="n">
        <v>30</v>
      </c>
      <c r="K80" s="2" t="n">
        <v>23</v>
      </c>
      <c r="L80" s="2" t="inlineStr">
        <is>
          <t>聚乙烯</t>
        </is>
      </c>
      <c r="M80" s="2" t="inlineStr"/>
      <c r="N80" s="2" t="inlineStr">
        <is>
          <t>Y</t>
        </is>
      </c>
      <c r="O80" s="2" t="inlineStr">
        <is>
          <t>N</t>
        </is>
      </c>
      <c r="P80" s="2" t="n">
        <v>299</v>
      </c>
      <c r="Q80" s="2" t="inlineStr">
        <is>
          <t>2026-10-26</t>
        </is>
      </c>
      <c r="R80" s="3" t="inlineStr">
        <is>
          <t>https://shop.muji.tw/SalePage/Index/8920870</t>
        </is>
      </c>
      <c r="S80" s="2" t="inlineStr">
        <is>
          <t>官網</t>
        </is>
      </c>
      <c r="T80" s="2" t="inlineStr">
        <is>
          <t>high</t>
        </is>
      </c>
      <c r="U80" s="2" t="inlineStr">
        <is>
          <t>圓角軟質；耐水耐冷；可放入SUS層架、自由組合層架；型錄標示可堆疊2層(需加購專用蓋)；另售用蓋(89元)</t>
        </is>
      </c>
      <c r="V80" s="2" t="inlineStr"/>
    </row>
    <row r="81">
      <c r="A81" s="2" t="inlineStr">
        <is>
          <t>MUJI-080</t>
        </is>
      </c>
      <c r="B81" s="2" t="inlineStr">
        <is>
          <t>MUJI</t>
        </is>
      </c>
      <c r="C81" s="2" t="inlineStr">
        <is>
          <t>軟質聚乙烯收納盒</t>
        </is>
      </c>
      <c r="D81" s="2" t="inlineStr">
        <is>
          <t>軟質聚乙烯收納盒/深</t>
        </is>
      </c>
      <c r="E81" s="2" t="inlineStr">
        <is>
          <t>4547315197804</t>
        </is>
      </c>
      <c r="F81" s="2" t="n">
        <v>25.5</v>
      </c>
      <c r="G81" s="2" t="n">
        <v>36</v>
      </c>
      <c r="H81" s="2" t="n">
        <v>32</v>
      </c>
      <c r="I81" s="2" t="n">
        <v>17</v>
      </c>
      <c r="J81" s="2" t="n">
        <v>27</v>
      </c>
      <c r="K81" s="2" t="n">
        <v>31</v>
      </c>
      <c r="L81" s="2" t="inlineStr">
        <is>
          <t>聚乙烯</t>
        </is>
      </c>
      <c r="M81" s="2" t="inlineStr"/>
      <c r="N81" s="2" t="inlineStr">
        <is>
          <t>Y</t>
        </is>
      </c>
      <c r="O81" s="2" t="inlineStr">
        <is>
          <t>N</t>
        </is>
      </c>
      <c r="P81" s="2" t="n">
        <v>399</v>
      </c>
      <c r="Q81" s="2" t="inlineStr">
        <is>
          <t>2026-10-26</t>
        </is>
      </c>
      <c r="R81" s="3" t="inlineStr">
        <is>
          <t>https://shop.muji.tw/SalePage/Index/8920892</t>
        </is>
      </c>
      <c r="S81" s="2" t="inlineStr">
        <is>
          <t>官網</t>
        </is>
      </c>
      <c r="T81" s="2" t="inlineStr">
        <is>
          <t>high</t>
        </is>
      </c>
      <c r="U81" s="2" t="inlineStr">
        <is>
          <t>圓角軟質；耐水耐冷；可放入SUS層架、自由組合層架；型錄標示可堆疊2層(需加購專用蓋)</t>
        </is>
      </c>
      <c r="V81" s="2" t="inlineStr"/>
    </row>
    <row r="82">
      <c r="A82" s="2" t="inlineStr">
        <is>
          <t>MUJI-081</t>
        </is>
      </c>
      <c r="B82" s="2" t="inlineStr">
        <is>
          <t>MUJI</t>
        </is>
      </c>
      <c r="C82" s="2" t="inlineStr">
        <is>
          <t>軟質聚乙烯收納盒</t>
        </is>
      </c>
      <c r="D82" s="2" t="inlineStr">
        <is>
          <t>軟質聚乙烯收納盒/半/小</t>
        </is>
      </c>
      <c r="E82" s="2" t="inlineStr">
        <is>
          <t>4547315197774</t>
        </is>
      </c>
      <c r="F82" s="2" t="n">
        <v>18</v>
      </c>
      <c r="G82" s="2" t="n">
        <v>25.5</v>
      </c>
      <c r="H82" s="2" t="n">
        <v>8</v>
      </c>
      <c r="I82" s="2" t="n">
        <v>11</v>
      </c>
      <c r="J82" s="2" t="n">
        <v>19</v>
      </c>
      <c r="K82" s="2" t="n">
        <v>7</v>
      </c>
      <c r="L82" s="2" t="inlineStr">
        <is>
          <t>聚乙烯</t>
        </is>
      </c>
      <c r="M82" s="2" t="inlineStr"/>
      <c r="N82" s="2" t="inlineStr"/>
      <c r="O82" s="2" t="inlineStr">
        <is>
          <t>N</t>
        </is>
      </c>
      <c r="P82" s="2" t="n">
        <v>139</v>
      </c>
      <c r="Q82" s="2" t="inlineStr">
        <is>
          <t>2026-10-26</t>
        </is>
      </c>
      <c r="R82" s="3" t="inlineStr">
        <is>
          <t>https://shop.muji.tw/SalePage/Index/8921121</t>
        </is>
      </c>
      <c r="S82" s="2" t="inlineStr">
        <is>
          <t>官網</t>
        </is>
      </c>
      <c r="T82" s="2" t="inlineStr">
        <is>
          <t>high</t>
        </is>
      </c>
      <c r="U82" s="2" t="inlineStr">
        <is>
          <t>圓角軟質；耐水耐冷；可放入SUS層架、自由組合層架；半=寬度約一半，2個並排≈標準款深36；另售用蓋/半(約18.5×26×1.5cm，69元)</t>
        </is>
      </c>
      <c r="V82" s="2" t="inlineStr"/>
    </row>
    <row r="83">
      <c r="A83" s="2" t="inlineStr">
        <is>
          <t>MUJI-082</t>
        </is>
      </c>
      <c r="B83" s="2" t="inlineStr">
        <is>
          <t>MUJI</t>
        </is>
      </c>
      <c r="C83" s="2" t="inlineStr">
        <is>
          <t>軟質聚乙烯收納盒</t>
        </is>
      </c>
      <c r="D83" s="2" t="inlineStr">
        <is>
          <t>軟質聚乙烯收納盒/半/中</t>
        </is>
      </c>
      <c r="E83" s="2" t="inlineStr">
        <is>
          <t>4547315197781</t>
        </is>
      </c>
      <c r="F83" s="2" t="n">
        <v>18</v>
      </c>
      <c r="G83" s="2" t="n">
        <v>25.5</v>
      </c>
      <c r="H83" s="2" t="n">
        <v>16</v>
      </c>
      <c r="I83" s="2" t="n">
        <v>10</v>
      </c>
      <c r="J83" s="2" t="n">
        <v>18</v>
      </c>
      <c r="K83" s="2" t="n">
        <v>15</v>
      </c>
      <c r="L83" s="2" t="inlineStr">
        <is>
          <t>聚乙烯</t>
        </is>
      </c>
      <c r="M83" s="2" t="inlineStr"/>
      <c r="N83" s="2" t="inlineStr">
        <is>
          <t>Y</t>
        </is>
      </c>
      <c r="O83" s="2" t="inlineStr">
        <is>
          <t>N</t>
        </is>
      </c>
      <c r="P83" s="2" t="n">
        <v>199</v>
      </c>
      <c r="Q83" s="2" t="inlineStr">
        <is>
          <t>2026-10-26</t>
        </is>
      </c>
      <c r="R83" s="3" t="inlineStr">
        <is>
          <t>https://shop.muji.tw/SalePage/Index/8920873</t>
        </is>
      </c>
      <c r="S83" s="2" t="inlineStr">
        <is>
          <t>官網</t>
        </is>
      </c>
      <c r="T83" s="2" t="inlineStr">
        <is>
          <t>high</t>
        </is>
      </c>
      <c r="U83" s="2" t="inlineStr">
        <is>
          <t>圓角軟質；耐水耐冷；可放入SUS層架、自由組合層架；型錄標示可堆疊2層；另售用蓋/半(69元)</t>
        </is>
      </c>
      <c r="V83" s="2" t="inlineStr"/>
    </row>
    <row r="84">
      <c r="A84" s="2" t="inlineStr">
        <is>
          <t>MUJI-083</t>
        </is>
      </c>
      <c r="B84" s="2" t="inlineStr">
        <is>
          <t>MUJI</t>
        </is>
      </c>
      <c r="C84" s="2" t="inlineStr">
        <is>
          <t>軟質聚乙烯收納盒</t>
        </is>
      </c>
      <c r="D84" s="2" t="inlineStr">
        <is>
          <t>軟質聚乙烯收納盒/半/大</t>
        </is>
      </c>
      <c r="E84" s="2" t="inlineStr">
        <is>
          <t>4547315197798</t>
        </is>
      </c>
      <c r="F84" s="2" t="n">
        <v>18</v>
      </c>
      <c r="G84" s="2" t="n">
        <v>25.5</v>
      </c>
      <c r="H84" s="2" t="n">
        <v>24</v>
      </c>
      <c r="I84" s="2" t="n">
        <v>17</v>
      </c>
      <c r="J84" s="2" t="n">
        <v>24.5</v>
      </c>
      <c r="K84" s="2" t="n">
        <v>23</v>
      </c>
      <c r="L84" s="2" t="inlineStr">
        <is>
          <t>聚乙烯</t>
        </is>
      </c>
      <c r="M84" s="2" t="inlineStr"/>
      <c r="N84" s="2" t="inlineStr">
        <is>
          <t>Y</t>
        </is>
      </c>
      <c r="O84" s="2" t="inlineStr">
        <is>
          <t>N</t>
        </is>
      </c>
      <c r="P84" s="2" t="n">
        <v>239</v>
      </c>
      <c r="Q84" s="2" t="inlineStr">
        <is>
          <t>2026-10-26</t>
        </is>
      </c>
      <c r="R84" s="3" t="inlineStr">
        <is>
          <t>https://shop.muji.tw/SalePage/Index/8920943</t>
        </is>
      </c>
      <c r="S84" s="2" t="inlineStr">
        <is>
          <t>官網</t>
        </is>
      </c>
      <c r="T84" s="2" t="inlineStr">
        <is>
          <t>high</t>
        </is>
      </c>
      <c r="U84" s="2" t="inlineStr">
        <is>
          <t>圓角軟質；耐水耐冷；可放入SUS層架、自由組合層架；型錄標示可堆疊2層；另售用蓋/半(69元)</t>
        </is>
      </c>
      <c r="V84" s="2" t="inlineStr"/>
    </row>
    <row r="85">
      <c r="A85" s="2" t="inlineStr">
        <is>
          <t>MUJI-084</t>
        </is>
      </c>
      <c r="B85" s="2" t="inlineStr">
        <is>
          <t>MUJI</t>
        </is>
      </c>
      <c r="C85" s="2" t="inlineStr">
        <is>
          <t>聚酯纖維麻收納箱</t>
        </is>
      </c>
      <c r="D85" s="2" t="inlineStr">
        <is>
          <t>聚酯纖維麻收納箱/長方形/小</t>
        </is>
      </c>
      <c r="E85" s="2" t="inlineStr">
        <is>
          <t>4550512403432</t>
        </is>
      </c>
      <c r="F85" s="2" t="n">
        <v>37</v>
      </c>
      <c r="G85" s="2" t="n">
        <v>26</v>
      </c>
      <c r="H85" s="2" t="n">
        <v>16</v>
      </c>
      <c r="I85" s="2" t="n"/>
      <c r="J85" s="2" t="n"/>
      <c r="K85" s="2" t="n"/>
      <c r="L85" s="2" t="inlineStr">
        <is>
          <t>聚酯纖維77%、亞麻23%</t>
        </is>
      </c>
      <c r="M85" s="2" t="inlineStr"/>
      <c r="N85" s="2" t="inlineStr"/>
      <c r="O85" s="2" t="inlineStr">
        <is>
          <t>N</t>
        </is>
      </c>
      <c r="P85" s="2" t="n">
        <v>229</v>
      </c>
      <c r="Q85" s="2" t="inlineStr">
        <is>
          <t>2026-10-26</t>
        </is>
      </c>
      <c r="R85" s="3" t="inlineStr">
        <is>
          <t>https://shop.muji.tw/SalePage/Index/8920880</t>
        </is>
      </c>
      <c r="S85" s="2" t="inlineStr">
        <is>
          <t>官網</t>
        </is>
      </c>
      <c r="T85" s="2" t="inlineStr">
        <is>
          <t>high</t>
        </is>
      </c>
      <c r="U85" s="2" t="inlineStr">
        <is>
          <t>布製可折疊；不可洗滌；採基準寸法可與層架組合；耐重10kg</t>
        </is>
      </c>
      <c r="V85" s="2" t="inlineStr"/>
    </row>
    <row r="86">
      <c r="A86" s="2" t="inlineStr">
        <is>
          <t>MUJI-085</t>
        </is>
      </c>
      <c r="B86" s="2" t="inlineStr">
        <is>
          <t>MUJI</t>
        </is>
      </c>
      <c r="C86" s="2" t="inlineStr">
        <is>
          <t>聚酯纖維麻收納箱</t>
        </is>
      </c>
      <c r="D86" s="2" t="inlineStr">
        <is>
          <t>聚酯纖維麻收納箱/長方形/中</t>
        </is>
      </c>
      <c r="E86" s="2" t="inlineStr">
        <is>
          <t>4550512403487</t>
        </is>
      </c>
      <c r="F86" s="2" t="n">
        <v>37</v>
      </c>
      <c r="G86" s="2" t="n">
        <v>26</v>
      </c>
      <c r="H86" s="2" t="n">
        <v>26</v>
      </c>
      <c r="I86" s="2" t="n"/>
      <c r="J86" s="2" t="n"/>
      <c r="K86" s="2" t="n"/>
      <c r="L86" s="2" t="inlineStr">
        <is>
          <t>聚酯纖維77%、亞麻23%</t>
        </is>
      </c>
      <c r="M86" s="2" t="inlineStr"/>
      <c r="N86" s="2" t="inlineStr"/>
      <c r="O86" s="2" t="inlineStr">
        <is>
          <t>N</t>
        </is>
      </c>
      <c r="P86" s="2" t="n">
        <v>229</v>
      </c>
      <c r="Q86" s="2" t="inlineStr">
        <is>
          <t>2026-10-26</t>
        </is>
      </c>
      <c r="R86" s="3" t="inlineStr">
        <is>
          <t>https://shop.muji.tw/SalePage/Index/8920884</t>
        </is>
      </c>
      <c r="S86" s="2" t="inlineStr">
        <is>
          <t>官網</t>
        </is>
      </c>
      <c r="T86" s="2" t="inlineStr">
        <is>
          <t>high</t>
        </is>
      </c>
      <c r="U86" s="2" t="inlineStr">
        <is>
          <t>布製可折疊；不可洗滌；採基準寸法可與層架組合；耐重10kg</t>
        </is>
      </c>
      <c r="V86" s="2" t="inlineStr"/>
    </row>
    <row r="87">
      <c r="A87" s="2" t="inlineStr">
        <is>
          <t>MUJI-086</t>
        </is>
      </c>
      <c r="B87" s="2" t="inlineStr">
        <is>
          <t>MUJI</t>
        </is>
      </c>
      <c r="C87" s="2" t="inlineStr">
        <is>
          <t>聚酯纖維麻收納箱</t>
        </is>
      </c>
      <c r="D87" s="2" t="inlineStr">
        <is>
          <t>聚酯纖維麻收納箱/長方形/中/附蓋</t>
        </is>
      </c>
      <c r="E87" s="2" t="inlineStr">
        <is>
          <t>4550512428909</t>
        </is>
      </c>
      <c r="F87" s="2" t="n">
        <v>37</v>
      </c>
      <c r="G87" s="2" t="n">
        <v>26</v>
      </c>
      <c r="H87" s="2" t="n">
        <v>26</v>
      </c>
      <c r="I87" s="2" t="n"/>
      <c r="J87" s="2" t="n"/>
      <c r="K87" s="2" t="n"/>
      <c r="L87" s="2" t="inlineStr">
        <is>
          <t>聚酯纖維77%、亞麻23%</t>
        </is>
      </c>
      <c r="M87" s="2" t="inlineStr"/>
      <c r="N87" s="2" t="inlineStr"/>
      <c r="O87" s="2" t="inlineStr">
        <is>
          <t>Y</t>
        </is>
      </c>
      <c r="P87" s="2" t="n">
        <v>329</v>
      </c>
      <c r="Q87" s="2" t="inlineStr">
        <is>
          <t>2026-10-26</t>
        </is>
      </c>
      <c r="R87" s="3" t="inlineStr">
        <is>
          <t>https://shop.muji.tw/SalePage/Index/8920893</t>
        </is>
      </c>
      <c r="S87" s="2" t="inlineStr">
        <is>
          <t>官網</t>
        </is>
      </c>
      <c r="T87" s="2" t="inlineStr">
        <is>
          <t>high</t>
        </is>
      </c>
      <c r="U87" s="2" t="inlineStr">
        <is>
          <t>布製可折疊；不可洗滌；採基準寸法可與層架組合；附蓋；耐重10kg</t>
        </is>
      </c>
      <c r="V87" s="2" t="inlineStr"/>
    </row>
    <row r="88">
      <c r="A88" s="2" t="inlineStr">
        <is>
          <t>MUJI-087</t>
        </is>
      </c>
      <c r="B88" s="2" t="inlineStr">
        <is>
          <t>MUJI</t>
        </is>
      </c>
      <c r="C88" s="2" t="inlineStr">
        <is>
          <t>聚酯纖維麻收納箱</t>
        </is>
      </c>
      <c r="D88" s="2" t="inlineStr">
        <is>
          <t>聚酯纖維麻收納箱/長方形/大</t>
        </is>
      </c>
      <c r="E88" s="2" t="inlineStr">
        <is>
          <t>4550512403449</t>
        </is>
      </c>
      <c r="F88" s="2" t="n">
        <v>37</v>
      </c>
      <c r="G88" s="2" t="n">
        <v>26</v>
      </c>
      <c r="H88" s="2" t="n">
        <v>34</v>
      </c>
      <c r="I88" s="2" t="n"/>
      <c r="J88" s="2" t="n"/>
      <c r="K88" s="2" t="n"/>
      <c r="L88" s="2" t="inlineStr">
        <is>
          <t>聚酯纖維77%、亞麻23%</t>
        </is>
      </c>
      <c r="M88" s="2" t="inlineStr"/>
      <c r="N88" s="2" t="inlineStr"/>
      <c r="O88" s="2" t="inlineStr">
        <is>
          <t>N</t>
        </is>
      </c>
      <c r="P88" s="2" t="n">
        <v>329</v>
      </c>
      <c r="Q88" s="2" t="inlineStr">
        <is>
          <t>2026-10-26</t>
        </is>
      </c>
      <c r="R88" s="3" t="inlineStr">
        <is>
          <t>https://shop.muji.tw/SalePage/Index/8920897</t>
        </is>
      </c>
      <c r="S88" s="2" t="inlineStr">
        <is>
          <t>官網</t>
        </is>
      </c>
      <c r="T88" s="2" t="inlineStr">
        <is>
          <t>high</t>
        </is>
      </c>
      <c r="U88" s="2" t="inlineStr">
        <is>
          <t>布製可折疊；不可洗滌；採基準寸法可與層架組合；耐重10kg</t>
        </is>
      </c>
      <c r="V88" s="2" t="inlineStr"/>
    </row>
    <row r="89">
      <c r="A89" s="2" t="inlineStr">
        <is>
          <t>MUJI-088</t>
        </is>
      </c>
      <c r="B89" s="2" t="inlineStr">
        <is>
          <t>MUJI</t>
        </is>
      </c>
      <c r="C89" s="2" t="inlineStr">
        <is>
          <t>聚酯纖維麻收納箱</t>
        </is>
      </c>
      <c r="D89" s="2" t="inlineStr">
        <is>
          <t>聚酯纖維麻收納箱/正方形/小</t>
        </is>
      </c>
      <c r="E89" s="2" t="inlineStr">
        <is>
          <t>4550512403470</t>
        </is>
      </c>
      <c r="F89" s="2" t="n">
        <v>35</v>
      </c>
      <c r="G89" s="2" t="n">
        <v>35</v>
      </c>
      <c r="H89" s="2" t="n">
        <v>16</v>
      </c>
      <c r="I89" s="2" t="n"/>
      <c r="J89" s="2" t="n"/>
      <c r="K89" s="2" t="n"/>
      <c r="L89" s="2" t="inlineStr">
        <is>
          <t>聚酯纖維77%、亞麻23%</t>
        </is>
      </c>
      <c r="M89" s="2" t="inlineStr"/>
      <c r="N89" s="2" t="inlineStr"/>
      <c r="O89" s="2" t="inlineStr">
        <is>
          <t>N</t>
        </is>
      </c>
      <c r="P89" s="2" t="n">
        <v>329</v>
      </c>
      <c r="Q89" s="2" t="inlineStr">
        <is>
          <t>2026-10-26</t>
        </is>
      </c>
      <c r="R89" s="3" t="inlineStr">
        <is>
          <t>https://shop.muji.tw/SalePage/Index/8920910</t>
        </is>
      </c>
      <c r="S89" s="2" t="inlineStr">
        <is>
          <t>官網</t>
        </is>
      </c>
      <c r="T89" s="2" t="inlineStr">
        <is>
          <t>high</t>
        </is>
      </c>
      <c r="U89" s="2" t="inlineStr">
        <is>
          <t>布製可折疊；不可洗滌；採基準寸法可與層架組合；耐重10kg</t>
        </is>
      </c>
      <c r="V89" s="2" t="inlineStr"/>
    </row>
    <row r="90">
      <c r="A90" s="2" t="inlineStr">
        <is>
          <t>MUJI-089</t>
        </is>
      </c>
      <c r="B90" s="2" t="inlineStr">
        <is>
          <t>MUJI</t>
        </is>
      </c>
      <c r="C90" s="2" t="inlineStr">
        <is>
          <t>聚酯纖維麻收納箱</t>
        </is>
      </c>
      <c r="D90" s="2" t="inlineStr">
        <is>
          <t>聚酯纖維麻收納箱/正方形/小/附蓋</t>
        </is>
      </c>
      <c r="E90" s="2" t="inlineStr">
        <is>
          <t>4550512403463</t>
        </is>
      </c>
      <c r="F90" s="2" t="n">
        <v>35</v>
      </c>
      <c r="G90" s="2" t="n">
        <v>35</v>
      </c>
      <c r="H90" s="2" t="n">
        <v>16</v>
      </c>
      <c r="I90" s="2" t="n"/>
      <c r="J90" s="2" t="n"/>
      <c r="K90" s="2" t="n"/>
      <c r="L90" s="2" t="inlineStr">
        <is>
          <t>聚酯纖維77%、亞麻23%</t>
        </is>
      </c>
      <c r="M90" s="2" t="inlineStr"/>
      <c r="N90" s="2" t="inlineStr"/>
      <c r="O90" s="2" t="inlineStr">
        <is>
          <t>Y</t>
        </is>
      </c>
      <c r="P90" s="2" t="n">
        <v>329</v>
      </c>
      <c r="Q90" s="2" t="inlineStr">
        <is>
          <t>2026-10-26</t>
        </is>
      </c>
      <c r="R90" s="3" t="inlineStr">
        <is>
          <t>https://shop.muji.tw/SalePage/Index/8920911</t>
        </is>
      </c>
      <c r="S90" s="2" t="inlineStr">
        <is>
          <t>官網</t>
        </is>
      </c>
      <c r="T90" s="2" t="inlineStr">
        <is>
          <t>high</t>
        </is>
      </c>
      <c r="U90" s="2" t="inlineStr">
        <is>
          <t>布製可折疊；不可洗滌；採基準寸法可與層架組合；附蓋；耐重10kg</t>
        </is>
      </c>
      <c r="V90" s="2" t="inlineStr"/>
    </row>
    <row r="91">
      <c r="A91" s="2" t="inlineStr">
        <is>
          <t>MUJI-090</t>
        </is>
      </c>
      <c r="B91" s="2" t="inlineStr">
        <is>
          <t>MUJI</t>
        </is>
      </c>
      <c r="C91" s="2" t="inlineStr">
        <is>
          <t>聚酯纖維麻收納箱</t>
        </is>
      </c>
      <c r="D91" s="2" t="inlineStr">
        <is>
          <t>聚酯纖維麻收納箱/L</t>
        </is>
      </c>
      <c r="E91" s="2" t="inlineStr">
        <is>
          <t>4550512403456</t>
        </is>
      </c>
      <c r="F91" s="2" t="n">
        <v>35</v>
      </c>
      <c r="G91" s="2" t="n">
        <v>35</v>
      </c>
      <c r="H91" s="2" t="n">
        <v>32</v>
      </c>
      <c r="I91" s="2" t="n"/>
      <c r="J91" s="2" t="n"/>
      <c r="K91" s="2" t="n"/>
      <c r="L91" s="2" t="inlineStr">
        <is>
          <t>聚酯纖維77%、亞麻23%</t>
        </is>
      </c>
      <c r="M91" s="2" t="inlineStr"/>
      <c r="N91" s="2" t="inlineStr"/>
      <c r="O91" s="2" t="inlineStr">
        <is>
          <t>N</t>
        </is>
      </c>
      <c r="P91" s="2" t="n">
        <v>329</v>
      </c>
      <c r="Q91" s="2" t="inlineStr">
        <is>
          <t>2026-10-26</t>
        </is>
      </c>
      <c r="R91" s="3" t="inlineStr">
        <is>
          <t>https://shop.muji.tw/SalePage/Index/8920898</t>
        </is>
      </c>
      <c r="S91" s="2" t="inlineStr">
        <is>
          <t>官網</t>
        </is>
      </c>
      <c r="T91" s="2" t="inlineStr">
        <is>
          <t>high</t>
        </is>
      </c>
      <c r="U91" s="2" t="inlineStr">
        <is>
          <t>布製可折疊；不可洗滌；採基準寸法可與層架組合；耐重10kg</t>
        </is>
      </c>
      <c r="V91" s="2" t="inlineStr"/>
    </row>
    <row r="92">
      <c r="A92" s="2" t="inlineStr">
        <is>
          <t>MUJI-091</t>
        </is>
      </c>
      <c r="B92" s="2" t="inlineStr">
        <is>
          <t>MUJI</t>
        </is>
      </c>
      <c r="C92" s="2" t="inlineStr">
        <is>
          <t>聚酯纖維麻收納箱</t>
        </is>
      </c>
      <c r="D92" s="2" t="inlineStr">
        <is>
          <t>聚酯纖維麻收納箱/L/附蓋</t>
        </is>
      </c>
      <c r="E92" s="2" t="inlineStr">
        <is>
          <t>4550512403494</t>
        </is>
      </c>
      <c r="F92" s="2" t="n">
        <v>35</v>
      </c>
      <c r="G92" s="2" t="n">
        <v>35</v>
      </c>
      <c r="H92" s="2" t="n">
        <v>32</v>
      </c>
      <c r="I92" s="2" t="n"/>
      <c r="J92" s="2" t="n"/>
      <c r="K92" s="2" t="n"/>
      <c r="L92" s="2" t="inlineStr">
        <is>
          <t>聚酯纖維77%、亞麻23%</t>
        </is>
      </c>
      <c r="M92" s="2" t="inlineStr"/>
      <c r="N92" s="2" t="inlineStr"/>
      <c r="O92" s="2" t="inlineStr">
        <is>
          <t>Y</t>
        </is>
      </c>
      <c r="P92" s="2" t="n">
        <v>479</v>
      </c>
      <c r="Q92" s="2" t="inlineStr">
        <is>
          <t>2026-10-26</t>
        </is>
      </c>
      <c r="R92" s="3" t="inlineStr">
        <is>
          <t>https://shop.muji.tw/SalePage/Index/8920883</t>
        </is>
      </c>
      <c r="S92" s="2" t="inlineStr">
        <is>
          <t>官網</t>
        </is>
      </c>
      <c r="T92" s="2" t="inlineStr">
        <is>
          <t>high</t>
        </is>
      </c>
      <c r="U92" s="2" t="inlineStr">
        <is>
          <t>布製可折疊；不可洗滌；採基準寸法可與層架組合；附蓋；耐重10kg</t>
        </is>
      </c>
      <c r="V92" s="2" t="inlineStr"/>
    </row>
    <row r="93">
      <c r="A93" s="2" t="inlineStr">
        <is>
          <t>MUJI-092</t>
        </is>
      </c>
      <c r="B93" s="2" t="inlineStr">
        <is>
          <t>MUJI</t>
        </is>
      </c>
      <c r="C93" s="2" t="inlineStr">
        <is>
          <t>聚酯纖維麻收納箱</t>
        </is>
      </c>
      <c r="D93" s="2" t="inlineStr">
        <is>
          <t>聚酯纖維麻收納箱/長方形/小/半</t>
        </is>
      </c>
      <c r="E93" s="2" t="inlineStr">
        <is>
          <t>4550512403517</t>
        </is>
      </c>
      <c r="F93" s="2" t="n">
        <v>18.5</v>
      </c>
      <c r="G93" s="2" t="n">
        <v>26</v>
      </c>
      <c r="H93" s="2" t="n">
        <v>16</v>
      </c>
      <c r="I93" s="2" t="n"/>
      <c r="J93" s="2" t="n"/>
      <c r="K93" s="2" t="n"/>
      <c r="L93" s="2" t="inlineStr">
        <is>
          <t>聚酯纖維77%、亞麻23%</t>
        </is>
      </c>
      <c r="M93" s="2" t="inlineStr"/>
      <c r="N93" s="2" t="inlineStr"/>
      <c r="O93" s="2" t="inlineStr">
        <is>
          <t>N</t>
        </is>
      </c>
      <c r="P93" s="2" t="n">
        <v>179</v>
      </c>
      <c r="Q93" s="2" t="inlineStr">
        <is>
          <t>2026-10-26</t>
        </is>
      </c>
      <c r="R93" s="3" t="inlineStr">
        <is>
          <t>https://shop.muji.tw/SalePage/Index/8920895</t>
        </is>
      </c>
      <c r="S93" s="2" t="inlineStr">
        <is>
          <t>官網</t>
        </is>
      </c>
      <c r="T93" s="2" t="inlineStr">
        <is>
          <t>high</t>
        </is>
      </c>
      <c r="U93" s="2" t="inlineStr">
        <is>
          <t>布製可折疊；不可洗滌；採基準寸法可與層架組合；半=長方形款寬約一半；耐重10kg</t>
        </is>
      </c>
      <c r="V93" s="2" t="inlineStr"/>
    </row>
    <row r="94">
      <c r="A94" s="2" t="inlineStr">
        <is>
          <t>MUJI-093</t>
        </is>
      </c>
      <c r="B94" s="2" t="inlineStr">
        <is>
          <t>MUJI</t>
        </is>
      </c>
      <c r="C94" s="2" t="inlineStr">
        <is>
          <t>聚酯纖維麻收納箱</t>
        </is>
      </c>
      <c r="D94" s="2" t="inlineStr">
        <is>
          <t>聚酯纖維麻收納箱/長方形/中/半</t>
        </is>
      </c>
      <c r="E94" s="2" t="inlineStr">
        <is>
          <t>4550512428893</t>
        </is>
      </c>
      <c r="F94" s="2" t="n">
        <v>18.5</v>
      </c>
      <c r="G94" s="2" t="n">
        <v>26</v>
      </c>
      <c r="H94" s="2" t="n">
        <v>26</v>
      </c>
      <c r="I94" s="2" t="n"/>
      <c r="J94" s="2" t="n"/>
      <c r="K94" s="2" t="n"/>
      <c r="L94" s="2" t="inlineStr">
        <is>
          <t>聚酯纖維77%、亞麻23%</t>
        </is>
      </c>
      <c r="M94" s="2" t="inlineStr"/>
      <c r="N94" s="2" t="inlineStr"/>
      <c r="O94" s="2" t="inlineStr">
        <is>
          <t>N</t>
        </is>
      </c>
      <c r="P94" s="2" t="n">
        <v>229</v>
      </c>
      <c r="Q94" s="2" t="inlineStr">
        <is>
          <t>2026-10-26</t>
        </is>
      </c>
      <c r="R94" s="3" t="inlineStr">
        <is>
          <t>https://shop.muji.tw/SalePage/Index/8920938</t>
        </is>
      </c>
      <c r="S94" s="2" t="inlineStr">
        <is>
          <t>官網</t>
        </is>
      </c>
      <c r="T94" s="2" t="inlineStr">
        <is>
          <t>high</t>
        </is>
      </c>
      <c r="U94" s="2" t="inlineStr">
        <is>
          <t>布製可折疊；不可洗滌；採基準寸法可與層架組合；耐重10kg</t>
        </is>
      </c>
      <c r="V94" s="2" t="inlineStr"/>
    </row>
    <row r="95">
      <c r="A95" s="2" t="inlineStr">
        <is>
          <t>MUJI-094</t>
        </is>
      </c>
      <c r="B95" s="2" t="inlineStr">
        <is>
          <t>MUJI</t>
        </is>
      </c>
      <c r="C95" s="2" t="inlineStr">
        <is>
          <t>聚酯纖維麻收納箱</t>
        </is>
      </c>
      <c r="D95" s="2" t="inlineStr">
        <is>
          <t>聚酯纖維麻收納箱/長方形/中/半/附蓋</t>
        </is>
      </c>
      <c r="E95" s="2" t="inlineStr">
        <is>
          <t>4550512403500</t>
        </is>
      </c>
      <c r="F95" s="2" t="n">
        <v>18.5</v>
      </c>
      <c r="G95" s="2" t="n">
        <v>26</v>
      </c>
      <c r="H95" s="2" t="n">
        <v>26</v>
      </c>
      <c r="I95" s="2" t="n"/>
      <c r="J95" s="2" t="n"/>
      <c r="K95" s="2" t="n"/>
      <c r="L95" s="2" t="inlineStr">
        <is>
          <t>聚酯纖維77%、亞麻23%</t>
        </is>
      </c>
      <c r="M95" s="2" t="inlineStr"/>
      <c r="N95" s="2" t="inlineStr"/>
      <c r="O95" s="2" t="inlineStr">
        <is>
          <t>Y</t>
        </is>
      </c>
      <c r="P95" s="2" t="n">
        <v>329</v>
      </c>
      <c r="Q95" s="2" t="inlineStr">
        <is>
          <t>2026-10-26</t>
        </is>
      </c>
      <c r="R95" s="3" t="inlineStr">
        <is>
          <t>https://shop.muji.tw/SalePage/Index/8920950</t>
        </is>
      </c>
      <c r="S95" s="2" t="inlineStr">
        <is>
          <t>官網</t>
        </is>
      </c>
      <c r="T95" s="2" t="inlineStr">
        <is>
          <t>high</t>
        </is>
      </c>
      <c r="U95" s="2" t="inlineStr">
        <is>
          <t>布製可折疊；不可洗滌；採基準寸法可與層架組合；附蓋；耐重10kg</t>
        </is>
      </c>
      <c r="V95" s="2" t="inlineStr"/>
    </row>
    <row r="96">
      <c r="A96" s="2" t="inlineStr">
        <is>
          <t>MUJI-095</t>
        </is>
      </c>
      <c r="B96" s="2" t="inlineStr">
        <is>
          <t>MUJI</t>
        </is>
      </c>
      <c r="C96" s="2" t="inlineStr">
        <is>
          <t>聚酯纖維麻收納箱</t>
        </is>
      </c>
      <c r="D96" s="2" t="inlineStr">
        <is>
          <t>聚酯纖維麻收納箱/淺型/半</t>
        </is>
      </c>
      <c r="E96" s="2" t="inlineStr">
        <is>
          <t>4550512403548</t>
        </is>
      </c>
      <c r="F96" s="2" t="n">
        <v>13</v>
      </c>
      <c r="G96" s="2" t="n">
        <v>37</v>
      </c>
      <c r="H96" s="2" t="n">
        <v>12</v>
      </c>
      <c r="I96" s="2" t="n"/>
      <c r="J96" s="2" t="n"/>
      <c r="K96" s="2" t="n"/>
      <c r="L96" s="2" t="inlineStr">
        <is>
          <t>聚酯纖維77%、亞麻23%</t>
        </is>
      </c>
      <c r="M96" s="2" t="inlineStr"/>
      <c r="N96" s="2" t="inlineStr"/>
      <c r="O96" s="2" t="inlineStr">
        <is>
          <t>N</t>
        </is>
      </c>
      <c r="P96" s="2" t="n">
        <v>179</v>
      </c>
      <c r="Q96" s="2" t="inlineStr">
        <is>
          <t>2026-10-26</t>
        </is>
      </c>
      <c r="R96" s="3" t="inlineStr">
        <is>
          <t>https://shop.muji.tw/SalePage/Index/8920906</t>
        </is>
      </c>
      <c r="S96" s="2" t="inlineStr">
        <is>
          <t>官網</t>
        </is>
      </c>
      <c r="T96" s="2" t="inlineStr">
        <is>
          <t>high</t>
        </is>
      </c>
      <c r="U96" s="2" t="inlineStr">
        <is>
          <t>布製可折疊；不可洗滌；採基準寸法可與層架組合；適合領帶、襪子、手帕；耐重3.5kg</t>
        </is>
      </c>
      <c r="V96" s="2" t="inlineStr"/>
    </row>
    <row r="97">
      <c r="A97" s="2" t="inlineStr">
        <is>
          <t>MUJI-096</t>
        </is>
      </c>
      <c r="B97" s="2" t="inlineStr">
        <is>
          <t>MUJI</t>
        </is>
      </c>
      <c r="C97" s="2" t="inlineStr">
        <is>
          <t>黃麻收納袋</t>
        </is>
      </c>
      <c r="D97" s="2" t="inlineStr">
        <is>
          <t>黃麻收納袋/長方形/小</t>
        </is>
      </c>
      <c r="E97" s="2" t="inlineStr"/>
      <c r="F97" s="2" t="n">
        <v>37</v>
      </c>
      <c r="G97" s="2" t="n">
        <v>26</v>
      </c>
      <c r="H97" s="2" t="n">
        <v>16</v>
      </c>
      <c r="I97" s="2" t="n"/>
      <c r="J97" s="2" t="n"/>
      <c r="K97" s="2" t="n"/>
      <c r="L97" s="2" t="inlineStr">
        <is>
          <t>黃麻</t>
        </is>
      </c>
      <c r="M97" s="2" t="inlineStr"/>
      <c r="N97" s="2" t="inlineStr"/>
      <c r="O97" s="2" t="inlineStr">
        <is>
          <t>N</t>
        </is>
      </c>
      <c r="P97" s="2" t="n">
        <v>119</v>
      </c>
      <c r="Q97" s="2" t="inlineStr">
        <is>
          <t>2026-10-26</t>
        </is>
      </c>
      <c r="R97" s="3" t="inlineStr">
        <is>
          <t>https://shop.muji.tw/muji-journal/pdf/pdf/25AW-storage.pdf</t>
        </is>
      </c>
      <c r="S97" s="2" t="inlineStr">
        <is>
          <t>型錄PDF</t>
        </is>
      </c>
      <c r="T97" s="2" t="inlineStr">
        <is>
          <t>medium</t>
        </is>
      </c>
      <c r="U97" s="2" t="inlineStr">
        <is>
          <t>可摺疊收納袋；採基準寸法可與層架組合；網路商店查無，僅見於型錄P.34(貨號12831112)</t>
        </is>
      </c>
      <c r="V97" s="2" t="inlineStr"/>
    </row>
    <row r="98">
      <c r="A98" s="2" t="inlineStr">
        <is>
          <t>MUJI-097</t>
        </is>
      </c>
      <c r="B98" s="2" t="inlineStr">
        <is>
          <t>MUJI</t>
        </is>
      </c>
      <c r="C98" s="2" t="inlineStr">
        <is>
          <t>黃麻收納袋</t>
        </is>
      </c>
      <c r="D98" s="2" t="inlineStr">
        <is>
          <t>黃麻收納袋/長方形/中</t>
        </is>
      </c>
      <c r="E98" s="2" t="inlineStr"/>
      <c r="F98" s="2" t="n">
        <v>37</v>
      </c>
      <c r="G98" s="2" t="n">
        <v>26</v>
      </c>
      <c r="H98" s="2" t="n">
        <v>24</v>
      </c>
      <c r="I98" s="2" t="n"/>
      <c r="J98" s="2" t="n"/>
      <c r="K98" s="2" t="n"/>
      <c r="L98" s="2" t="inlineStr">
        <is>
          <t>黃麻</t>
        </is>
      </c>
      <c r="M98" s="2" t="inlineStr"/>
      <c r="N98" s="2" t="inlineStr"/>
      <c r="O98" s="2" t="inlineStr">
        <is>
          <t>N</t>
        </is>
      </c>
      <c r="P98" s="2" t="n">
        <v>119</v>
      </c>
      <c r="Q98" s="2" t="inlineStr">
        <is>
          <t>2026-10-26</t>
        </is>
      </c>
      <c r="R98" s="3" t="inlineStr">
        <is>
          <t>https://shop.muji.tw/muji-journal/pdf/pdf/25AW-storage.pdf</t>
        </is>
      </c>
      <c r="S98" s="2" t="inlineStr">
        <is>
          <t>型錄PDF</t>
        </is>
      </c>
      <c r="T98" s="2" t="inlineStr">
        <is>
          <t>medium</t>
        </is>
      </c>
      <c r="U98" s="2" t="inlineStr">
        <is>
          <t>可摺疊；網路商店查無，僅見於型錄P.34(貨號12831082)</t>
        </is>
      </c>
      <c r="V98" s="2" t="inlineStr"/>
    </row>
    <row r="99">
      <c r="A99" s="2" t="inlineStr">
        <is>
          <t>MUJI-098</t>
        </is>
      </c>
      <c r="B99" s="2" t="inlineStr">
        <is>
          <t>MUJI</t>
        </is>
      </c>
      <c r="C99" s="2" t="inlineStr">
        <is>
          <t>黃麻收納袋</t>
        </is>
      </c>
      <c r="D99" s="2" t="inlineStr">
        <is>
          <t>黃麻收納袋/長方形/大</t>
        </is>
      </c>
      <c r="E99" s="2" t="inlineStr"/>
      <c r="F99" s="2" t="n">
        <v>37</v>
      </c>
      <c r="G99" s="2" t="n">
        <v>26</v>
      </c>
      <c r="H99" s="2" t="n">
        <v>35</v>
      </c>
      <c r="I99" s="2" t="n"/>
      <c r="J99" s="2" t="n"/>
      <c r="K99" s="2" t="n"/>
      <c r="L99" s="2" t="inlineStr">
        <is>
          <t>黃麻</t>
        </is>
      </c>
      <c r="M99" s="2" t="inlineStr"/>
      <c r="N99" s="2" t="inlineStr"/>
      <c r="O99" s="2" t="inlineStr">
        <is>
          <t>N</t>
        </is>
      </c>
      <c r="P99" s="2" t="n">
        <v>119</v>
      </c>
      <c r="Q99" s="2" t="inlineStr">
        <is>
          <t>2026-10-26</t>
        </is>
      </c>
      <c r="R99" s="3" t="inlineStr">
        <is>
          <t>https://shop.muji.tw/muji-journal/pdf/pdf/25AW-storage.pdf</t>
        </is>
      </c>
      <c r="S99" s="2" t="inlineStr">
        <is>
          <t>型錄PDF</t>
        </is>
      </c>
      <c r="T99" s="2" t="inlineStr">
        <is>
          <t>medium</t>
        </is>
      </c>
      <c r="U99" s="2" t="inlineStr">
        <is>
          <t>可摺疊；網路商店查無，僅見於型錄P.34(貨號12831051)</t>
        </is>
      </c>
      <c r="V99" s="2" t="inlineStr"/>
    </row>
    <row r="100">
      <c r="A100" s="2" t="inlineStr">
        <is>
          <t>MUJI-099</t>
        </is>
      </c>
      <c r="B100" s="2" t="inlineStr">
        <is>
          <t>MUJI</t>
        </is>
      </c>
      <c r="C100" s="2" t="inlineStr">
        <is>
          <t>可堆疊竹材收納盒</t>
        </is>
      </c>
      <c r="D100" s="2" t="inlineStr">
        <is>
          <t>可堆疊竹材收納盒/大</t>
        </is>
      </c>
      <c r="E100" s="2" t="inlineStr">
        <is>
          <t>4550512047292</t>
        </is>
      </c>
      <c r="F100" s="2" t="n">
        <v>37</v>
      </c>
      <c r="G100" s="2" t="n">
        <v>26</v>
      </c>
      <c r="H100" s="2" t="n">
        <v>24.5</v>
      </c>
      <c r="I100" s="2" t="n"/>
      <c r="J100" s="2" t="n"/>
      <c r="K100" s="2" t="n"/>
      <c r="L100" s="2" t="inlineStr">
        <is>
          <t>本體竹纖維、丙烯樹脂塗裝</t>
        </is>
      </c>
      <c r="M100" s="2" t="inlineStr"/>
      <c r="N100" s="2" t="inlineStr">
        <is>
          <t>Y</t>
        </is>
      </c>
      <c r="O100" s="2" t="inlineStr">
        <is>
          <t>N</t>
        </is>
      </c>
      <c r="P100" s="2" t="n">
        <v>890</v>
      </c>
      <c r="Q100" s="2" t="inlineStr">
        <is>
          <t>2026-10-26</t>
        </is>
      </c>
      <c r="R100" s="3" t="inlineStr">
        <is>
          <t>https://shop.muji.tw/SalePage/Index/11781913</t>
        </is>
      </c>
      <c r="S100" s="2" t="inlineStr">
        <is>
          <t>官網</t>
        </is>
      </c>
      <c r="T100" s="2" t="inlineStr">
        <is>
          <t>high</t>
        </is>
      </c>
      <c r="U100" s="2" t="inlineStr">
        <is>
          <t>天然素材，個體顏色形狀有差異；可堆疊2層；耐重15kg；另售可堆疊竹材收納盒用蓋(約37×26×2.5cm，390元)；品號KG0NJA2A</t>
        </is>
      </c>
      <c r="V100" s="2" t="inlineStr"/>
    </row>
    <row r="101">
      <c r="A101" s="2" t="inlineStr">
        <is>
          <t>MUJI-100</t>
        </is>
      </c>
      <c r="B101" s="2" t="inlineStr">
        <is>
          <t>MUJI</t>
        </is>
      </c>
      <c r="C101" s="2" t="inlineStr">
        <is>
          <t>可堆疊竹材收納盒</t>
        </is>
      </c>
      <c r="D101" s="2" t="inlineStr">
        <is>
          <t>可堆疊竹材收納盒/中</t>
        </is>
      </c>
      <c r="E101" s="2" t="inlineStr">
        <is>
          <t>4550512047308</t>
        </is>
      </c>
      <c r="F101" s="2" t="n">
        <v>37</v>
      </c>
      <c r="G101" s="2" t="n">
        <v>26</v>
      </c>
      <c r="H101" s="2" t="n">
        <v>16.5</v>
      </c>
      <c r="I101" s="2" t="n"/>
      <c r="J101" s="2" t="n"/>
      <c r="K101" s="2" t="n"/>
      <c r="L101" s="2" t="inlineStr">
        <is>
          <t>本體竹纖維、丙烯樹脂塗裝</t>
        </is>
      </c>
      <c r="M101" s="2" t="inlineStr"/>
      <c r="N101" s="2" t="inlineStr">
        <is>
          <t>Y</t>
        </is>
      </c>
      <c r="O101" s="2" t="inlineStr">
        <is>
          <t>N</t>
        </is>
      </c>
      <c r="P101" s="2" t="n">
        <v>790</v>
      </c>
      <c r="Q101" s="2" t="inlineStr">
        <is>
          <t>2026-10-26</t>
        </is>
      </c>
      <c r="R101" s="3" t="inlineStr">
        <is>
          <t>https://shop.muji.tw/SalePage/Index/11781914</t>
        </is>
      </c>
      <c r="S101" s="2" t="inlineStr">
        <is>
          <t>官網</t>
        </is>
      </c>
      <c r="T101" s="2" t="inlineStr">
        <is>
          <t>high</t>
        </is>
      </c>
      <c r="U101" s="2" t="inlineStr">
        <is>
          <t>天然素材，個體顏色形狀有差異；可堆疊2層；耐重10kg；另售用蓋(390元)；品號KG0NKA2A</t>
        </is>
      </c>
      <c r="V101" s="2" t="inlineStr"/>
    </row>
    <row r="102">
      <c r="A102" s="2" t="inlineStr">
        <is>
          <t>MUJI-101</t>
        </is>
      </c>
      <c r="B102" s="2" t="inlineStr">
        <is>
          <t>MUJI</t>
        </is>
      </c>
      <c r="C102" s="2" t="inlineStr">
        <is>
          <t>可堆疊竹材收納盒</t>
        </is>
      </c>
      <c r="D102" s="2" t="inlineStr">
        <is>
          <t>可堆疊竹材收納盒/小</t>
        </is>
      </c>
      <c r="E102" s="2" t="inlineStr">
        <is>
          <t>4550512047315</t>
        </is>
      </c>
      <c r="F102" s="2" t="n">
        <v>37</v>
      </c>
      <c r="G102" s="2" t="n">
        <v>26</v>
      </c>
      <c r="H102" s="2" t="n">
        <v>8.5</v>
      </c>
      <c r="I102" s="2" t="n"/>
      <c r="J102" s="2" t="n"/>
      <c r="K102" s="2" t="n"/>
      <c r="L102" s="2" t="inlineStr">
        <is>
          <t>本體竹纖維、丙烯樹脂塗裝</t>
        </is>
      </c>
      <c r="M102" s="2" t="inlineStr"/>
      <c r="N102" s="2" t="inlineStr">
        <is>
          <t>Y</t>
        </is>
      </c>
      <c r="O102" s="2" t="inlineStr">
        <is>
          <t>N</t>
        </is>
      </c>
      <c r="P102" s="2" t="n">
        <v>690</v>
      </c>
      <c r="Q102" s="2" t="inlineStr">
        <is>
          <t>2026-10-26</t>
        </is>
      </c>
      <c r="R102" s="3" t="inlineStr">
        <is>
          <t>https://shop.muji.tw/SalePage/Index/11781915</t>
        </is>
      </c>
      <c r="S102" s="2" t="inlineStr">
        <is>
          <t>官網</t>
        </is>
      </c>
      <c r="T102" s="2" t="inlineStr">
        <is>
          <t>high</t>
        </is>
      </c>
      <c r="U102" s="2" t="inlineStr">
        <is>
          <t>天然素材，個體顏色形狀有差異；可堆疊2層；耐重5kg；另售用蓋(390元)；品號KG0NLA2A</t>
        </is>
      </c>
      <c r="V102" s="2" t="inlineStr"/>
    </row>
    <row r="103">
      <c r="A103" s="2" t="inlineStr">
        <is>
          <t>MUJI-102</t>
        </is>
      </c>
      <c r="B103" s="2" t="inlineStr">
        <is>
          <t>MUJI</t>
        </is>
      </c>
      <c r="C103" s="2" t="inlineStr">
        <is>
          <t>可堆疊竹材收納盒</t>
        </is>
      </c>
      <c r="D103" s="2" t="inlineStr">
        <is>
          <t>可堆疊竹材收納盒/半形/中</t>
        </is>
      </c>
      <c r="E103" s="2" t="inlineStr">
        <is>
          <t>4550512047254</t>
        </is>
      </c>
      <c r="F103" s="2" t="n">
        <v>26</v>
      </c>
      <c r="G103" s="2" t="n">
        <v>18.5</v>
      </c>
      <c r="H103" s="2" t="n">
        <v>16.5</v>
      </c>
      <c r="I103" s="2" t="n"/>
      <c r="J103" s="2" t="n"/>
      <c r="K103" s="2" t="n"/>
      <c r="L103" s="2" t="inlineStr">
        <is>
          <t>本體竹纖維、丙烯樹脂塗裝</t>
        </is>
      </c>
      <c r="M103" s="2" t="inlineStr"/>
      <c r="N103" s="2" t="inlineStr">
        <is>
          <t>Y</t>
        </is>
      </c>
      <c r="O103" s="2" t="inlineStr">
        <is>
          <t>N</t>
        </is>
      </c>
      <c r="P103" s="2" t="n">
        <v>490</v>
      </c>
      <c r="Q103" s="2" t="inlineStr">
        <is>
          <t>2026-10-26</t>
        </is>
      </c>
      <c r="R103" s="3" t="inlineStr">
        <is>
          <t>https://shop.muji.tw/SalePage/Index/11781909</t>
        </is>
      </c>
      <c r="S103" s="2" t="inlineStr">
        <is>
          <t>官網</t>
        </is>
      </c>
      <c r="T103" s="2" t="inlineStr">
        <is>
          <t>high</t>
        </is>
      </c>
      <c r="U103" s="2" t="inlineStr">
        <is>
          <t>天然素材，個體顏色形狀有差異；可堆疊2層；半形2個並排≈標準款37×26；耐重5kg；另售半形用蓋(約26×18.5×2.5cm，290元)；品號KG0NFA2A</t>
        </is>
      </c>
      <c r="V103" s="2" t="inlineStr"/>
    </row>
    <row r="104">
      <c r="A104" s="2" t="inlineStr">
        <is>
          <t>MUJI-103</t>
        </is>
      </c>
      <c r="B104" s="2" t="inlineStr">
        <is>
          <t>MUJI</t>
        </is>
      </c>
      <c r="C104" s="2" t="inlineStr">
        <is>
          <t>可堆疊竹材收納盒</t>
        </is>
      </c>
      <c r="D104" s="2" t="inlineStr">
        <is>
          <t>可堆疊竹材收納盒/半形/小</t>
        </is>
      </c>
      <c r="E104" s="2" t="inlineStr">
        <is>
          <t>4550512047261</t>
        </is>
      </c>
      <c r="F104" s="2" t="n">
        <v>26</v>
      </c>
      <c r="G104" s="2" t="n">
        <v>18.5</v>
      </c>
      <c r="H104" s="2" t="n">
        <v>8.5</v>
      </c>
      <c r="I104" s="2" t="n"/>
      <c r="J104" s="2" t="n"/>
      <c r="K104" s="2" t="n"/>
      <c r="L104" s="2" t="inlineStr">
        <is>
          <t>本體竹纖維、丙烯樹脂塗裝</t>
        </is>
      </c>
      <c r="M104" s="2" t="inlineStr"/>
      <c r="N104" s="2" t="inlineStr">
        <is>
          <t>Y</t>
        </is>
      </c>
      <c r="O104" s="2" t="inlineStr">
        <is>
          <t>N</t>
        </is>
      </c>
      <c r="P104" s="2" t="n">
        <v>490</v>
      </c>
      <c r="Q104" s="2" t="inlineStr">
        <is>
          <t>2026-10-26</t>
        </is>
      </c>
      <c r="R104" s="3" t="inlineStr">
        <is>
          <t>https://shop.muji.tw/SalePage/Index/11781910</t>
        </is>
      </c>
      <c r="S104" s="2" t="inlineStr">
        <is>
          <t>官網</t>
        </is>
      </c>
      <c r="T104" s="2" t="inlineStr">
        <is>
          <t>high</t>
        </is>
      </c>
      <c r="U104" s="2" t="inlineStr">
        <is>
          <t>天然素材，個體顏色形狀有差異；可堆疊2層；耐重3kg；另售半形用蓋(290元)；品號KG0NGA2A</t>
        </is>
      </c>
      <c r="V104" s="2" t="inlineStr"/>
    </row>
    <row r="105">
      <c r="A105" s="2" t="inlineStr">
        <is>
          <t>MUJI-104</t>
        </is>
      </c>
      <c r="B105" s="2" t="inlineStr">
        <is>
          <t>MUJI</t>
        </is>
      </c>
      <c r="C105" s="2" t="inlineStr">
        <is>
          <t>可吊掛薄型收納盒</t>
        </is>
      </c>
      <c r="D105" s="2" t="inlineStr">
        <is>
          <t>可吊掛薄型收納盒/深11*高16cm</t>
        </is>
      </c>
      <c r="E105" s="2" t="inlineStr">
        <is>
          <t>4550723388177</t>
        </is>
      </c>
      <c r="F105" s="2" t="n">
        <v>26</v>
      </c>
      <c r="G105" s="2" t="n">
        <v>11</v>
      </c>
      <c r="H105" s="2" t="n">
        <v>16</v>
      </c>
      <c r="I105" s="2" t="n"/>
      <c r="J105" s="2" t="n"/>
      <c r="K105" s="2" t="n"/>
      <c r="L105" s="2" t="inlineStr">
        <is>
          <t>聚丙烯</t>
        </is>
      </c>
      <c r="M105" s="2" t="inlineStr"/>
      <c r="N105" s="2" t="inlineStr"/>
      <c r="O105" s="2" t="inlineStr">
        <is>
          <t>N</t>
        </is>
      </c>
      <c r="P105" s="2" t="n">
        <v>150</v>
      </c>
      <c r="Q105" s="2" t="inlineStr">
        <is>
          <t>2026-10-26</t>
        </is>
      </c>
      <c r="R105" s="3" t="inlineStr">
        <is>
          <t>https://shop.muji.tw/SalePage/Index/12052439</t>
        </is>
      </c>
      <c r="S105" s="2" t="inlineStr">
        <is>
          <t>官網</t>
        </is>
      </c>
      <c r="T105" s="2" t="inlineStr">
        <is>
          <t>high</t>
        </is>
      </c>
      <c r="U105" s="2" t="inlineStr">
        <is>
          <t>寬26cm薄型，可吊掛；平放承重5kg、吊掛2kg；另售用蓋/深11cm(約26×12.5×2cm，89元)；品號KG17XB5A</t>
        </is>
      </c>
      <c r="V105" s="2" t="inlineStr"/>
    </row>
    <row r="106">
      <c r="A106" s="2" t="inlineStr">
        <is>
          <t>MUJI-105</t>
        </is>
      </c>
      <c r="B106" s="2" t="inlineStr">
        <is>
          <t>MUJI</t>
        </is>
      </c>
      <c r="C106" s="2" t="inlineStr">
        <is>
          <t>可吊掛薄型收納盒</t>
        </is>
      </c>
      <c r="D106" s="2" t="inlineStr">
        <is>
          <t>可吊掛薄型收納盒/深11*高24cm</t>
        </is>
      </c>
      <c r="E106" s="2" t="inlineStr">
        <is>
          <t>4550723388214</t>
        </is>
      </c>
      <c r="F106" s="2" t="n">
        <v>26</v>
      </c>
      <c r="G106" s="2" t="n">
        <v>11</v>
      </c>
      <c r="H106" s="2" t="n">
        <v>24</v>
      </c>
      <c r="I106" s="2" t="n"/>
      <c r="J106" s="2" t="n"/>
      <c r="K106" s="2" t="n"/>
      <c r="L106" s="2" t="inlineStr">
        <is>
          <t>聚丙烯</t>
        </is>
      </c>
      <c r="M106" s="2" t="inlineStr"/>
      <c r="N106" s="2" t="inlineStr"/>
      <c r="O106" s="2" t="inlineStr">
        <is>
          <t>N</t>
        </is>
      </c>
      <c r="P106" s="2" t="n">
        <v>190</v>
      </c>
      <c r="Q106" s="2" t="inlineStr">
        <is>
          <t>2026-10-26</t>
        </is>
      </c>
      <c r="R106" s="3" t="inlineStr">
        <is>
          <t>https://shop.muji.tw/SalePage/Index/12052443</t>
        </is>
      </c>
      <c r="S106" s="2" t="inlineStr">
        <is>
          <t>官網</t>
        </is>
      </c>
      <c r="T106" s="2" t="inlineStr">
        <is>
          <t>high</t>
        </is>
      </c>
      <c r="U106" s="2" t="inlineStr">
        <is>
          <t>寬26cm薄型，可吊掛；平放承重5kg、吊掛2kg；另售用蓋/深11cm(89元)；品號KG182B5A</t>
        </is>
      </c>
      <c r="V106" s="2" t="inlineStr"/>
    </row>
    <row r="107">
      <c r="A107" s="2" t="inlineStr">
        <is>
          <t>MUJI-106</t>
        </is>
      </c>
      <c r="B107" s="2" t="inlineStr">
        <is>
          <t>MUJI</t>
        </is>
      </c>
      <c r="C107" s="2" t="inlineStr">
        <is>
          <t>可吊掛薄型收納盒</t>
        </is>
      </c>
      <c r="D107" s="2" t="inlineStr">
        <is>
          <t>可吊掛薄型收納盒/深15*高16cm</t>
        </is>
      </c>
      <c r="E107" s="2" t="inlineStr">
        <is>
          <t>4550723388160</t>
        </is>
      </c>
      <c r="F107" s="2" t="n">
        <v>26</v>
      </c>
      <c r="G107" s="2" t="n">
        <v>15</v>
      </c>
      <c r="H107" s="2" t="n">
        <v>16</v>
      </c>
      <c r="I107" s="2" t="n"/>
      <c r="J107" s="2" t="n"/>
      <c r="K107" s="2" t="n"/>
      <c r="L107" s="2" t="inlineStr">
        <is>
          <t>聚丙烯</t>
        </is>
      </c>
      <c r="M107" s="2" t="inlineStr"/>
      <c r="N107" s="2" t="inlineStr"/>
      <c r="O107" s="2" t="inlineStr">
        <is>
          <t>N</t>
        </is>
      </c>
      <c r="P107" s="2" t="n">
        <v>190</v>
      </c>
      <c r="Q107" s="2" t="inlineStr">
        <is>
          <t>2026-10-26</t>
        </is>
      </c>
      <c r="R107" s="3" t="inlineStr">
        <is>
          <t>https://shop.muji.tw/SalePage/Index/12052438</t>
        </is>
      </c>
      <c r="S107" s="2" t="inlineStr">
        <is>
          <t>官網</t>
        </is>
      </c>
      <c r="T107" s="2" t="inlineStr">
        <is>
          <t>high</t>
        </is>
      </c>
      <c r="U107" s="2" t="inlineStr">
        <is>
          <t>寬26cm薄型，可吊掛；平放承重5kg、吊掛2kg；另售用蓋/深15cm(約26×16.5×2cm，99元)；品號KG17WB5A</t>
        </is>
      </c>
      <c r="V107" s="2" t="inlineStr"/>
    </row>
    <row r="108">
      <c r="A108" s="2" t="inlineStr">
        <is>
          <t>MUJI-107</t>
        </is>
      </c>
      <c r="B108" s="2" t="inlineStr">
        <is>
          <t>MUJI</t>
        </is>
      </c>
      <c r="C108" s="2" t="inlineStr">
        <is>
          <t>可吊掛薄型收納盒</t>
        </is>
      </c>
      <c r="D108" s="2" t="inlineStr">
        <is>
          <t>可吊掛薄型收納盒/深15*高24cm</t>
        </is>
      </c>
      <c r="E108" s="2" t="inlineStr">
        <is>
          <t>4550723388207</t>
        </is>
      </c>
      <c r="F108" s="2" t="n">
        <v>26</v>
      </c>
      <c r="G108" s="2" t="n">
        <v>15</v>
      </c>
      <c r="H108" s="2" t="n">
        <v>24</v>
      </c>
      <c r="I108" s="2" t="n"/>
      <c r="J108" s="2" t="n"/>
      <c r="K108" s="2" t="n"/>
      <c r="L108" s="2" t="inlineStr">
        <is>
          <t>聚丙烯</t>
        </is>
      </c>
      <c r="M108" s="2" t="inlineStr"/>
      <c r="N108" s="2" t="inlineStr"/>
      <c r="O108" s="2" t="inlineStr">
        <is>
          <t>N</t>
        </is>
      </c>
      <c r="P108" s="2" t="n">
        <v>250</v>
      </c>
      <c r="Q108" s="2" t="inlineStr">
        <is>
          <t>2026-10-26</t>
        </is>
      </c>
      <c r="R108" s="3" t="inlineStr">
        <is>
          <t>https://shop.muji.tw/SalePage/Index/12052442</t>
        </is>
      </c>
      <c r="S108" s="2" t="inlineStr">
        <is>
          <t>官網</t>
        </is>
      </c>
      <c r="T108" s="2" t="inlineStr">
        <is>
          <t>high</t>
        </is>
      </c>
      <c r="U108" s="2" t="inlineStr">
        <is>
          <t>寬26cm薄型，可吊掛；平放承重5kg、吊掛2kg；另售用蓋/深15cm(99元)；品號KG181B5A</t>
        </is>
      </c>
      <c r="V108" s="2" t="inlineStr"/>
    </row>
    <row r="109">
      <c r="A109" s="2" t="inlineStr">
        <is>
          <t>MUJI-108</t>
        </is>
      </c>
      <c r="B109" s="2" t="inlineStr">
        <is>
          <t>MUJI</t>
        </is>
      </c>
      <c r="C109" s="2" t="inlineStr">
        <is>
          <t>不鏽鋼收納籃</t>
        </is>
      </c>
      <c r="D109" s="2" t="inlineStr">
        <is>
          <t>不鏽鋼收納籃1</t>
        </is>
      </c>
      <c r="E109" s="2" t="inlineStr">
        <is>
          <t>4550344831731</t>
        </is>
      </c>
      <c r="F109" s="2" t="n">
        <v>26</v>
      </c>
      <c r="G109" s="2" t="n">
        <v>18</v>
      </c>
      <c r="H109" s="2" t="n">
        <v>18</v>
      </c>
      <c r="I109" s="2" t="n"/>
      <c r="J109" s="2" t="n"/>
      <c r="K109" s="2" t="n"/>
      <c r="L109" s="2" t="inlineStr">
        <is>
          <t>不鏽鋼</t>
        </is>
      </c>
      <c r="M109" s="2" t="inlineStr"/>
      <c r="N109" s="2" t="inlineStr">
        <is>
          <t>Y</t>
        </is>
      </c>
      <c r="O109" s="2" t="inlineStr">
        <is>
          <t>N</t>
        </is>
      </c>
      <c r="P109" s="2" t="n">
        <v>399</v>
      </c>
      <c r="Q109" s="2" t="inlineStr">
        <is>
          <t>2026-10-26</t>
        </is>
      </c>
      <c r="R109" s="3" t="inlineStr">
        <is>
          <t>https://shop.muji.tw/SalePage/Index/8920981</t>
        </is>
      </c>
      <c r="S109" s="2" t="inlineStr">
        <is>
          <t>官網</t>
        </is>
      </c>
      <c r="T109" s="2" t="inlineStr">
        <is>
          <t>high</t>
        </is>
      </c>
      <c r="U109" s="2" t="inlineStr">
        <is>
          <t>附把手，把手內收可堆疊；可放入SUS層架、自由組合層架；可堆疊2層；耐重5kg</t>
        </is>
      </c>
      <c r="V109" s="2" t="inlineStr"/>
    </row>
    <row r="110">
      <c r="A110" s="2" t="inlineStr">
        <is>
          <t>MUJI-109</t>
        </is>
      </c>
      <c r="B110" s="2" t="inlineStr">
        <is>
          <t>MUJI</t>
        </is>
      </c>
      <c r="C110" s="2" t="inlineStr">
        <is>
          <t>不鏽鋼收納籃</t>
        </is>
      </c>
      <c r="D110" s="2" t="inlineStr">
        <is>
          <t>不鏽鋼收納籃2</t>
        </is>
      </c>
      <c r="E110" s="2" t="inlineStr">
        <is>
          <t>4550344831748</t>
        </is>
      </c>
      <c r="F110" s="2" t="n">
        <v>37</v>
      </c>
      <c r="G110" s="2" t="n">
        <v>26</v>
      </c>
      <c r="H110" s="2" t="n">
        <v>8</v>
      </c>
      <c r="I110" s="2" t="n"/>
      <c r="J110" s="2" t="n"/>
      <c r="K110" s="2" t="n"/>
      <c r="L110" s="2" t="inlineStr">
        <is>
          <t>不鏽鋼</t>
        </is>
      </c>
      <c r="M110" s="2" t="inlineStr"/>
      <c r="N110" s="2" t="inlineStr">
        <is>
          <t>Y</t>
        </is>
      </c>
      <c r="O110" s="2" t="inlineStr">
        <is>
          <t>N</t>
        </is>
      </c>
      <c r="P110" s="2" t="n">
        <v>499</v>
      </c>
      <c r="Q110" s="2" t="inlineStr">
        <is>
          <t>2026-10-26</t>
        </is>
      </c>
      <c r="R110" s="3" t="inlineStr">
        <is>
          <t>https://shop.muji.tw/SalePage/Index/8920964</t>
        </is>
      </c>
      <c r="S110" s="2" t="inlineStr">
        <is>
          <t>官網</t>
        </is>
      </c>
      <c r="T110" s="2" t="inlineStr">
        <is>
          <t>high</t>
        </is>
      </c>
      <c r="U110" s="2" t="inlineStr">
        <is>
          <t>附把手，把手內收可堆疊；可放入SUS層架、自由組合層架；可堆疊2層；耐重5kg</t>
        </is>
      </c>
      <c r="V110" s="2" t="inlineStr"/>
    </row>
    <row r="111">
      <c r="A111" s="2" t="inlineStr">
        <is>
          <t>MUJI-110</t>
        </is>
      </c>
      <c r="B111" s="2" t="inlineStr">
        <is>
          <t>MUJI</t>
        </is>
      </c>
      <c r="C111" s="2" t="inlineStr">
        <is>
          <t>不鏽鋼收納籃</t>
        </is>
      </c>
      <c r="D111" s="2" t="inlineStr">
        <is>
          <t>不鏽鋼收納籃3</t>
        </is>
      </c>
      <c r="E111" s="2" t="inlineStr">
        <is>
          <t>4550344831755</t>
        </is>
      </c>
      <c r="F111" s="2" t="n">
        <v>37</v>
      </c>
      <c r="G111" s="2" t="n">
        <v>26</v>
      </c>
      <c r="H111" s="2" t="n">
        <v>12</v>
      </c>
      <c r="I111" s="2" t="n"/>
      <c r="J111" s="2" t="n"/>
      <c r="K111" s="2" t="n"/>
      <c r="L111" s="2" t="inlineStr">
        <is>
          <t>不鏽鋼</t>
        </is>
      </c>
      <c r="M111" s="2" t="inlineStr"/>
      <c r="N111" s="2" t="inlineStr">
        <is>
          <t>Y</t>
        </is>
      </c>
      <c r="O111" s="2" t="inlineStr">
        <is>
          <t>N</t>
        </is>
      </c>
      <c r="P111" s="2" t="n">
        <v>599</v>
      </c>
      <c r="Q111" s="2" t="inlineStr">
        <is>
          <t>2026-10-26</t>
        </is>
      </c>
      <c r="R111" s="3" t="inlineStr">
        <is>
          <t>https://shop.muji.tw/SalePage/Index/8920940</t>
        </is>
      </c>
      <c r="S111" s="2" t="inlineStr">
        <is>
          <t>官網</t>
        </is>
      </c>
      <c r="T111" s="2" t="inlineStr">
        <is>
          <t>high</t>
        </is>
      </c>
      <c r="U111" s="2" t="inlineStr">
        <is>
          <t>附把手，把手內收可堆疊；可放入SUS層架、自由組合層架；可堆疊2層；耐重5kg</t>
        </is>
      </c>
      <c r="V111" s="2" t="inlineStr"/>
    </row>
    <row r="112">
      <c r="A112" s="2" t="inlineStr">
        <is>
          <t>MUJI-111</t>
        </is>
      </c>
      <c r="B112" s="2" t="inlineStr">
        <is>
          <t>MUJI</t>
        </is>
      </c>
      <c r="C112" s="2" t="inlineStr">
        <is>
          <t>不鏽鋼收納籃</t>
        </is>
      </c>
      <c r="D112" s="2" t="inlineStr">
        <is>
          <t>不鏽鋼收納籃4</t>
        </is>
      </c>
      <c r="E112" s="2" t="inlineStr">
        <is>
          <t>4550344831496</t>
        </is>
      </c>
      <c r="F112" s="2" t="n">
        <v>37</v>
      </c>
      <c r="G112" s="2" t="n">
        <v>26</v>
      </c>
      <c r="H112" s="2" t="n">
        <v>18</v>
      </c>
      <c r="I112" s="2" t="n"/>
      <c r="J112" s="2" t="n"/>
      <c r="K112" s="2" t="n"/>
      <c r="L112" s="2" t="inlineStr">
        <is>
          <t>不鏽鋼</t>
        </is>
      </c>
      <c r="M112" s="2" t="inlineStr"/>
      <c r="N112" s="2" t="inlineStr">
        <is>
          <t>Y</t>
        </is>
      </c>
      <c r="O112" s="2" t="inlineStr">
        <is>
          <t>N</t>
        </is>
      </c>
      <c r="P112" s="2" t="n">
        <v>699</v>
      </c>
      <c r="Q112" s="2" t="inlineStr">
        <is>
          <t>2026-10-26</t>
        </is>
      </c>
      <c r="R112" s="3" t="inlineStr">
        <is>
          <t>https://shop.muji.tw/SalePage/Index/8920946</t>
        </is>
      </c>
      <c r="S112" s="2" t="inlineStr">
        <is>
          <t>官網</t>
        </is>
      </c>
      <c r="T112" s="2" t="inlineStr">
        <is>
          <t>high</t>
        </is>
      </c>
      <c r="U112" s="2" t="inlineStr">
        <is>
          <t>附把手，把手內收可堆疊；可放入SUS層架、自由組合層架；可堆疊2層；耐重5kg</t>
        </is>
      </c>
      <c r="V112" s="2" t="inlineStr"/>
    </row>
    <row r="113">
      <c r="A113" s="2" t="inlineStr">
        <is>
          <t>MUJI-112</t>
        </is>
      </c>
      <c r="B113" s="2" t="inlineStr">
        <is>
          <t>MUJI</t>
        </is>
      </c>
      <c r="C113" s="2" t="inlineStr">
        <is>
          <t>不鏽鋼收納籃</t>
        </is>
      </c>
      <c r="D113" s="2" t="inlineStr">
        <is>
          <t>不鏽鋼收納籃5</t>
        </is>
      </c>
      <c r="E113" s="2" t="inlineStr">
        <is>
          <t>4550344831502</t>
        </is>
      </c>
      <c r="F113" s="2" t="n">
        <v>37</v>
      </c>
      <c r="G113" s="2" t="n">
        <v>26</v>
      </c>
      <c r="H113" s="2" t="n">
        <v>24</v>
      </c>
      <c r="I113" s="2" t="n"/>
      <c r="J113" s="2" t="n"/>
      <c r="K113" s="2" t="n"/>
      <c r="L113" s="2" t="inlineStr">
        <is>
          <t>不鏽鋼</t>
        </is>
      </c>
      <c r="M113" s="2" t="inlineStr"/>
      <c r="N113" s="2" t="inlineStr">
        <is>
          <t>Y</t>
        </is>
      </c>
      <c r="O113" s="2" t="inlineStr">
        <is>
          <t>N</t>
        </is>
      </c>
      <c r="P113" s="2" t="n">
        <v>799</v>
      </c>
      <c r="Q113" s="2" t="inlineStr">
        <is>
          <t>2026-10-26</t>
        </is>
      </c>
      <c r="R113" s="3" t="inlineStr">
        <is>
          <t>https://shop.muji.tw/SalePage/Index/8920939</t>
        </is>
      </c>
      <c r="S113" s="2" t="inlineStr">
        <is>
          <t>官網</t>
        </is>
      </c>
      <c r="T113" s="2" t="inlineStr">
        <is>
          <t>high</t>
        </is>
      </c>
      <c r="U113" s="2" t="inlineStr">
        <is>
          <t>附把手，把手內收可堆疊；可放入SUS層架、自由組合層架；可堆疊2層；耐重10kg</t>
        </is>
      </c>
      <c r="V113" s="2" t="inlineStr"/>
    </row>
    <row r="114">
      <c r="A114" s="2" t="inlineStr">
        <is>
          <t>MUJI-113</t>
        </is>
      </c>
      <c r="B114" s="2" t="inlineStr">
        <is>
          <t>MUJI</t>
        </is>
      </c>
      <c r="C114" s="2" t="inlineStr">
        <is>
          <t>聚丙烯折疊收納箱</t>
        </is>
      </c>
      <c r="D114" s="2" t="inlineStr">
        <is>
          <t>聚丙烯折疊收納箱/20L/半透明</t>
        </is>
      </c>
      <c r="E114" s="2" t="inlineStr">
        <is>
          <t>4550584461996</t>
        </is>
      </c>
      <c r="F114" s="2" t="n">
        <v>37</v>
      </c>
      <c r="G114" s="2" t="n">
        <v>27</v>
      </c>
      <c r="H114" s="2" t="n">
        <v>27.5</v>
      </c>
      <c r="I114" s="2" t="n"/>
      <c r="J114" s="2" t="n"/>
      <c r="K114" s="2" t="n"/>
      <c r="L114" s="2" t="inlineStr">
        <is>
          <t>聚丙烯(含10%以上再生聚丙烯)</t>
        </is>
      </c>
      <c r="M114" s="2" t="inlineStr">
        <is>
          <t>半透明</t>
        </is>
      </c>
      <c r="N114" s="2" t="inlineStr">
        <is>
          <t>Y</t>
        </is>
      </c>
      <c r="O114" s="2" t="inlineStr"/>
      <c r="P114" s="2" t="n">
        <v>590</v>
      </c>
      <c r="Q114" s="2" t="inlineStr">
        <is>
          <t>2026-10-26</t>
        </is>
      </c>
      <c r="R114" s="3" t="inlineStr">
        <is>
          <t>https://shop.muji.tw/SalePage/Index/11851158</t>
        </is>
      </c>
      <c r="S114" s="2" t="inlineStr">
        <is>
          <t>官網</t>
        </is>
      </c>
      <c r="T114" s="2" t="inlineStr">
        <is>
          <t>high</t>
        </is>
      </c>
      <c r="U114" s="2" t="inlineStr">
        <is>
          <t>可折疊；可堆疊4層；耐重約10kg；是否附蓋官方文字未明寫；品號KG13OA4A</t>
        </is>
      </c>
      <c r="V114" s="2" t="inlineStr"/>
    </row>
    <row r="115">
      <c r="A115" s="2" t="inlineStr">
        <is>
          <t>MUJI-114</t>
        </is>
      </c>
      <c r="B115" s="2" t="inlineStr">
        <is>
          <t>MUJI</t>
        </is>
      </c>
      <c r="C115" s="2" t="inlineStr">
        <is>
          <t>耐壓收納箱</t>
        </is>
      </c>
      <c r="D115" s="2" t="inlineStr">
        <is>
          <t>耐壓收納箱/小</t>
        </is>
      </c>
      <c r="E115" s="2" t="inlineStr">
        <is>
          <t>4550584484469</t>
        </is>
      </c>
      <c r="F115" s="2" t="n">
        <v>40</v>
      </c>
      <c r="G115" s="2" t="n">
        <v>39</v>
      </c>
      <c r="H115" s="2" t="n">
        <v>37</v>
      </c>
      <c r="I115" s="2" t="n">
        <v>29</v>
      </c>
      <c r="J115" s="2" t="n">
        <v>29</v>
      </c>
      <c r="K115" s="2" t="n">
        <v>29</v>
      </c>
      <c r="L115" s="2" t="inlineStr">
        <is>
          <t>聚丙烯</t>
        </is>
      </c>
      <c r="M115" s="2" t="inlineStr">
        <is>
          <t>未標示/黑</t>
        </is>
      </c>
      <c r="N115" s="2" t="inlineStr">
        <is>
          <t>Y</t>
        </is>
      </c>
      <c r="O115" s="2" t="inlineStr">
        <is>
          <t>Y</t>
        </is>
      </c>
      <c r="P115" s="2" t="n">
        <v>599</v>
      </c>
      <c r="Q115" s="2" t="inlineStr">
        <is>
          <t>2026-10-26</t>
        </is>
      </c>
      <c r="R115" s="3" t="inlineStr">
        <is>
          <t>https://shop.muji.tw/SalePage/Index/11341048</t>
        </is>
      </c>
      <c r="S115" s="2" t="inlineStr">
        <is>
          <t>官網</t>
        </is>
      </c>
      <c r="T115" s="2" t="inlineStr">
        <is>
          <t>high</t>
        </is>
      </c>
      <c r="U115" s="2" t="inlineStr">
        <is>
          <t>容量約30L；蓋耐重約100kg；最多堆疊3層；黑色另為SalePage 10576798(JAN 4550584272998)；內寸取自型錄P.29；收納空間耐重：網路商店標示約20kg、型錄標示約13.5kg，兩者不一致</t>
        </is>
      </c>
      <c r="V115" s="2" t="inlineStr"/>
    </row>
    <row r="116">
      <c r="A116" s="2" t="inlineStr">
        <is>
          <t>MUJI-115</t>
        </is>
      </c>
      <c r="B116" s="2" t="inlineStr">
        <is>
          <t>MUJI</t>
        </is>
      </c>
      <c r="C116" s="2" t="inlineStr">
        <is>
          <t>耐壓收納箱</t>
        </is>
      </c>
      <c r="D116" s="2" t="inlineStr">
        <is>
          <t>耐壓收納箱/迷你</t>
        </is>
      </c>
      <c r="E116" s="2" t="inlineStr"/>
      <c r="F116" s="2" t="n">
        <v>39.5</v>
      </c>
      <c r="G116" s="2" t="n">
        <v>29.5</v>
      </c>
      <c r="H116" s="2" t="n">
        <v>37</v>
      </c>
      <c r="I116" s="2" t="n">
        <v>29</v>
      </c>
      <c r="J116" s="2" t="n">
        <v>20</v>
      </c>
      <c r="K116" s="2" t="n">
        <v>29</v>
      </c>
      <c r="L116" s="2" t="inlineStr">
        <is>
          <t>聚丙烯</t>
        </is>
      </c>
      <c r="M116" s="2" t="inlineStr">
        <is>
          <t>未標示/黑</t>
        </is>
      </c>
      <c r="N116" s="2" t="inlineStr">
        <is>
          <t>Y</t>
        </is>
      </c>
      <c r="O116" s="2" t="inlineStr">
        <is>
          <t>Y</t>
        </is>
      </c>
      <c r="P116" s="2" t="n">
        <v>559</v>
      </c>
      <c r="Q116" s="2" t="inlineStr">
        <is>
          <t>2026-10-26</t>
        </is>
      </c>
      <c r="R116" s="3" t="inlineStr">
        <is>
          <t>https://shop.muji.tw/muji-journal/pdf/pdf/25AW-storage.pdf</t>
        </is>
      </c>
      <c r="S116" s="2" t="inlineStr">
        <is>
          <t>型錄PDF</t>
        </is>
      </c>
      <c r="T116" s="2" t="inlineStr">
        <is>
          <t>medium</t>
        </is>
      </c>
      <c r="U116" s="2" t="inlineStr">
        <is>
          <t>容量約22L；最多堆疊2層；不可將大尺寸疊在迷你上；網路商店查無，僅見於型錄P.29(型錄列貨號44620816、84272981 迷你·黑)</t>
        </is>
      </c>
      <c r="V116" s="2" t="inlineStr"/>
    </row>
    <row r="117">
      <c r="A117" s="2" t="inlineStr">
        <is>
          <t>NITORI-001</t>
        </is>
      </c>
      <c r="B117" s="2" t="inlineStr">
        <is>
          <t>NITORI</t>
        </is>
      </c>
      <c r="C117" s="2" t="inlineStr">
        <is>
          <t>N INBOX</t>
        </is>
      </c>
      <c r="D117" s="2" t="inlineStr">
        <is>
          <t>收納盒 N INBOX (W) 寬高型 標準型</t>
        </is>
      </c>
      <c r="E117" s="2" t="inlineStr">
        <is>
          <t>8422231/8422261/8422291/8422371</t>
        </is>
      </c>
      <c r="F117" s="2" t="n">
        <v>39</v>
      </c>
      <c r="G117" s="2" t="n">
        <v>26.5</v>
      </c>
      <c r="H117" s="2" t="n">
        <v>23.5</v>
      </c>
      <c r="I117" s="2" t="n"/>
      <c r="J117" s="2" t="n"/>
      <c r="K117" s="2" t="n"/>
      <c r="L117" s="2" t="inlineStr">
        <is>
          <t>聚丙烯</t>
        </is>
      </c>
      <c r="M117" s="2" t="inlineStr">
        <is>
          <t>白色/透明色/黑色/淡摩卡色</t>
        </is>
      </c>
      <c r="N117" s="2" t="inlineStr">
        <is>
          <t>Y</t>
        </is>
      </c>
      <c r="O117" s="2" t="inlineStr">
        <is>
          <t>N</t>
        </is>
      </c>
      <c r="P117" s="2" t="n">
        <v>249</v>
      </c>
      <c r="Q117" s="2" t="inlineStr">
        <is>
          <t>2026-10-26</t>
        </is>
      </c>
      <c r="R117" s="3" t="inlineStr">
        <is>
          <t>https://www.nitori-net.tw/product/8422231</t>
        </is>
      </c>
      <c r="S117" s="2" t="inlineStr">
        <is>
          <t>官網</t>
        </is>
      </c>
      <c r="T117" s="2" t="inlineStr">
        <is>
          <t>high</t>
        </is>
      </c>
      <c r="U117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寬型用(8422265，約39×26.5×1.5公分)；淡摩卡色為DECO HOME商品；黑色(8422291)官網標示約寬38.9×深26.6×高23.6公分；淡摩卡色(8422371)官網標示約寬38.9×深26.6×高23.6公分；價格：查詢日售價249（原價299）、淡摩卡色 259元</t>
        </is>
      </c>
      <c r="V117" s="2" t="inlineStr"/>
    </row>
    <row r="118">
      <c r="A118" s="2" t="inlineStr">
        <is>
          <t>NITORI-002</t>
        </is>
      </c>
      <c r="B118" s="2" t="inlineStr">
        <is>
          <t>NITORI</t>
        </is>
      </c>
      <c r="C118" s="2" t="inlineStr">
        <is>
          <t>N INBOX</t>
        </is>
      </c>
      <c r="D118" s="2" t="inlineStr">
        <is>
          <t>收納盒 N INBOX (W) 寬低型 橫式半格型</t>
        </is>
      </c>
      <c r="E118" s="2" t="inlineStr">
        <is>
          <t>8422262/8422292/8422372</t>
        </is>
      </c>
      <c r="F118" s="2" t="n">
        <v>39</v>
      </c>
      <c r="G118" s="2" t="n">
        <v>26.5</v>
      </c>
      <c r="H118" s="2" t="n">
        <v>12</v>
      </c>
      <c r="I118" s="2" t="n"/>
      <c r="J118" s="2" t="n"/>
      <c r="K118" s="2" t="n"/>
      <c r="L118" s="2" t="inlineStr">
        <is>
          <t>聚丙烯</t>
        </is>
      </c>
      <c r="M118" s="2" t="inlineStr">
        <is>
          <t>透明色/黑色/淡摩卡色</t>
        </is>
      </c>
      <c r="N118" s="2" t="inlineStr">
        <is>
          <t>Y</t>
        </is>
      </c>
      <c r="O118" s="2" t="inlineStr">
        <is>
          <t>N</t>
        </is>
      </c>
      <c r="P118" s="2" t="n">
        <v>179</v>
      </c>
      <c r="Q118" s="2" t="inlineStr">
        <is>
          <t>2026-10-26</t>
        </is>
      </c>
      <c r="R118" s="3" t="inlineStr">
        <is>
          <t>https://www.nitori-net.tw/product/8422262</t>
        </is>
      </c>
      <c r="S118" s="2" t="inlineStr">
        <is>
          <t>官網</t>
        </is>
      </c>
      <c r="T118" s="2" t="inlineStr">
        <is>
          <t>high</t>
        </is>
      </c>
      <c r="U118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寬型用(8422265，約39×26.5×1.5公分)；白色寬低型線上查無販售；黑色(8422292)官網標示約寬38.9×深26.6×高12公分；淡摩卡色(8422372)官網標示約寬38.9×深26.6×高12公分；價格：查詢日售價179（原價249）、淡摩卡色 219元</t>
        </is>
      </c>
      <c r="V118" s="2" t="inlineStr"/>
    </row>
    <row r="119">
      <c r="A119" s="2" t="inlineStr">
        <is>
          <t>NITORI-003</t>
        </is>
      </c>
      <c r="B119" s="2" t="inlineStr">
        <is>
          <t>NITORI</t>
        </is>
      </c>
      <c r="C119" s="2" t="inlineStr">
        <is>
          <t>N INBOX</t>
        </is>
      </c>
      <c r="D119" s="2" t="inlineStr">
        <is>
          <t>收納盒 N INBOX (W) 窄高型 直式半格型</t>
        </is>
      </c>
      <c r="E119" s="2" t="inlineStr">
        <is>
          <t>8422233/8422263/8422293/8422373</t>
        </is>
      </c>
      <c r="F119" s="2" t="n">
        <v>19</v>
      </c>
      <c r="G119" s="2" t="n">
        <v>26.5</v>
      </c>
      <c r="H119" s="2" t="n">
        <v>23.5</v>
      </c>
      <c r="I119" s="2" t="n"/>
      <c r="J119" s="2" t="n"/>
      <c r="K119" s="2" t="n"/>
      <c r="L119" s="2" t="inlineStr">
        <is>
          <t>聚丙烯</t>
        </is>
      </c>
      <c r="M119" s="2" t="inlineStr">
        <is>
          <t>白色/透明色/黑色/淡摩卡色</t>
        </is>
      </c>
      <c r="N119" s="2" t="inlineStr">
        <is>
          <t>Y</t>
        </is>
      </c>
      <c r="O119" s="2" t="inlineStr">
        <is>
          <t>N</t>
        </is>
      </c>
      <c r="P119" s="2" t="n">
        <v>179</v>
      </c>
      <c r="Q119" s="2" t="inlineStr">
        <is>
          <t>2026-10-26</t>
        </is>
      </c>
      <c r="R119" s="3" t="inlineStr">
        <is>
          <t>https://www.nitori-net.tw/product/8422233</t>
        </is>
      </c>
      <c r="S119" s="2" t="inlineStr">
        <is>
          <t>官網</t>
        </is>
      </c>
      <c r="T119" s="2" t="inlineStr">
        <is>
          <t>high</t>
        </is>
      </c>
      <c r="U119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窄型用(8422266 CL/8422236 WH，約26.5×19.5×1.5公分)；黑色(8422293)官網標示約寬19.2×深26.4×高23.6公分；淡摩卡色(8422373)官網標示約寬19.2×深26.4×高23.6公分；價格：查詢日售價179（原價249）、淡摩卡色 219元</t>
        </is>
      </c>
      <c r="V119" s="2" t="inlineStr"/>
    </row>
    <row r="120">
      <c r="A120" s="2" t="inlineStr">
        <is>
          <t>NITORI-004</t>
        </is>
      </c>
      <c r="B120" s="2" t="inlineStr">
        <is>
          <t>NITORI</t>
        </is>
      </c>
      <c r="C120" s="2" t="inlineStr">
        <is>
          <t>N INBOX</t>
        </is>
      </c>
      <c r="D120" s="2" t="inlineStr">
        <is>
          <t>收納盒 N INBOX (W) 窄低型 四分之一型</t>
        </is>
      </c>
      <c r="E120" s="2" t="inlineStr">
        <is>
          <t>8422264/8422294/8422374</t>
        </is>
      </c>
      <c r="F120" s="2" t="n">
        <v>19</v>
      </c>
      <c r="G120" s="2" t="n">
        <v>26.5</v>
      </c>
      <c r="H120" s="2" t="n">
        <v>12</v>
      </c>
      <c r="I120" s="2" t="n"/>
      <c r="J120" s="2" t="n"/>
      <c r="K120" s="2" t="n"/>
      <c r="L120" s="2" t="inlineStr">
        <is>
          <t>聚丙烯</t>
        </is>
      </c>
      <c r="M120" s="2" t="inlineStr">
        <is>
          <t>透明色/黑色/淡摩卡色</t>
        </is>
      </c>
      <c r="N120" s="2" t="inlineStr">
        <is>
          <t>Y</t>
        </is>
      </c>
      <c r="O120" s="2" t="inlineStr">
        <is>
          <t>N</t>
        </is>
      </c>
      <c r="P120" s="2" t="n">
        <v>129</v>
      </c>
      <c r="Q120" s="2" t="inlineStr">
        <is>
          <t>2026-10-26</t>
        </is>
      </c>
      <c r="R120" s="3" t="inlineStr">
        <is>
          <t>https://www.nitori-net.tw/product/8422264</t>
        </is>
      </c>
      <c r="S120" s="2" t="inlineStr">
        <is>
          <t>官網</t>
        </is>
      </c>
      <c r="T120" s="2" t="inlineStr">
        <is>
          <t>high</t>
        </is>
      </c>
      <c r="U120" s="2" t="inlineStr">
        <is>
          <t>官網：與舊系列INBOX同尺寸，本體與蓋可互換及堆疊；可搭配彩色櫃COLOBO；依官方尺寸，2個窄型並排=1個寬型（寬19→39），2個低型疊放≈1個高型（高12→23.5）；另售蓋：N INBOX收納盒蓋 窄型用(8422266 CL/8422236 WH，約26.5×19.5×1.5公分)；白色窄低型線上查無販售；黑色(8422294)官網標示約寬19.2×深26.4×高12公分；淡摩卡色(8422374)官網標示約寬19.2×深26.4×高12公分；價格：查詢日售價129（原價179）、淡摩卡色 159元</t>
        </is>
      </c>
      <c r="V120" s="2" t="inlineStr"/>
    </row>
    <row r="121">
      <c r="A121" s="2" t="inlineStr">
        <is>
          <t>NITORI-005</t>
        </is>
      </c>
      <c r="B121" s="2" t="inlineStr">
        <is>
          <t>NITORI</t>
        </is>
      </c>
      <c r="C121" s="2" t="inlineStr">
        <is>
          <t>N INBOX</t>
        </is>
      </c>
      <c r="D121" s="2" t="inlineStr">
        <is>
          <t>附蓋收納盒 窄高型 N INBOX (W)</t>
        </is>
      </c>
      <c r="E121" s="2" t="inlineStr">
        <is>
          <t>8422233-8422236</t>
        </is>
      </c>
      <c r="F121" s="2" t="n">
        <v>19.2</v>
      </c>
      <c r="G121" s="2" t="n">
        <v>26.4</v>
      </c>
      <c r="H121" s="2" t="n">
        <v>23.6</v>
      </c>
      <c r="I121" s="2" t="n"/>
      <c r="J121" s="2" t="n"/>
      <c r="K121" s="2" t="n"/>
      <c r="L121" s="2" t="inlineStr">
        <is>
          <t>聚丙烯</t>
        </is>
      </c>
      <c r="M121" s="2" t="inlineStr">
        <is>
          <t>純白色</t>
        </is>
      </c>
      <c r="N121" s="2" t="inlineStr">
        <is>
          <t>Y</t>
        </is>
      </c>
      <c r="O121" s="2" t="inlineStr">
        <is>
          <t>Y</t>
        </is>
      </c>
      <c r="P121" s="2" t="n">
        <v>238</v>
      </c>
      <c r="Q121" s="2" t="inlineStr">
        <is>
          <t>2026-10-26</t>
        </is>
      </c>
      <c r="R121" s="3" t="inlineStr">
        <is>
          <t>https://www.nitori-net.tw/product/8422233-8422236</t>
        </is>
      </c>
      <c r="S121" s="2" t="inlineStr">
        <is>
          <t>官網</t>
        </is>
      </c>
      <c r="T121" s="2" t="inlineStr">
        <is>
          <t>high</t>
        </is>
      </c>
      <c r="U121" s="2" t="inlineStr">
        <is>
          <t>組合：窄高型WH本體+窄型用蓋WH各1；外寸為規格欄數值（未說明是否含蓋）；價格：查詢日售價238（原價318）</t>
        </is>
      </c>
      <c r="V121" s="2" t="inlineStr"/>
    </row>
    <row r="122">
      <c r="A122" s="2" t="inlineStr">
        <is>
          <t>NITORI-006</t>
        </is>
      </c>
      <c r="B122" s="2" t="inlineStr">
        <is>
          <t>NITORI</t>
        </is>
      </c>
      <c r="C122" s="2" t="inlineStr">
        <is>
          <t>N INBOX</t>
        </is>
      </c>
      <c r="D122" s="2" t="inlineStr">
        <is>
          <t>抽屜式收納盒 窄低型 N INBOX 2DR</t>
        </is>
      </c>
      <c r="E122" s="2" t="inlineStr">
        <is>
          <t>8732701/8732711</t>
        </is>
      </c>
      <c r="F122" s="2" t="n">
        <v>19.2</v>
      </c>
      <c r="G122" s="2" t="n">
        <v>26.6</v>
      </c>
      <c r="H122" s="2" t="n">
        <v>23.6</v>
      </c>
      <c r="I122" s="2" t="n"/>
      <c r="J122" s="2" t="n"/>
      <c r="K122" s="2" t="n"/>
      <c r="L122" s="2" t="inlineStr">
        <is>
          <t>聚丙烯</t>
        </is>
      </c>
      <c r="M122" s="2" t="inlineStr">
        <is>
          <t>白色/透明</t>
        </is>
      </c>
      <c r="N122" s="2" t="inlineStr">
        <is>
          <t>Y</t>
        </is>
      </c>
      <c r="O122" s="2" t="inlineStr">
        <is>
          <t>N</t>
        </is>
      </c>
      <c r="P122" s="2" t="n">
        <v>279</v>
      </c>
      <c r="Q122" s="2" t="inlineStr">
        <is>
          <t>2026-10-26</t>
        </is>
      </c>
      <c r="R122" s="3" t="inlineStr">
        <is>
          <t>https://www.nitori-net.tw/product/8732701</t>
        </is>
      </c>
      <c r="S122" s="2" t="inlineStr">
        <is>
          <t>官網</t>
        </is>
      </c>
      <c r="T122" s="2" t="inlineStr">
        <is>
          <t>high</t>
        </is>
      </c>
      <c r="U122" s="2" t="inlineStr">
        <is>
          <t>官網：可輕鬆堆疊，可與N INBOX系列自由排列、堆疊、組合；2抽；品名為窄低型但官網標示高23.6公分（與N INBOX高型同高）；價格：查詢日售價279（原價299）</t>
        </is>
      </c>
      <c r="V122" s="2" t="inlineStr"/>
    </row>
    <row r="123">
      <c r="A123" s="2" t="inlineStr">
        <is>
          <t>NITORI-007</t>
        </is>
      </c>
      <c r="B123" s="2" t="inlineStr">
        <is>
          <t>NITORI</t>
        </is>
      </c>
      <c r="C123" s="2" t="inlineStr">
        <is>
          <t>N INBOX</t>
        </is>
      </c>
      <c r="D123" s="2" t="inlineStr">
        <is>
          <t>抽屜式收納盒 窄低型 N INBOX 3DR</t>
        </is>
      </c>
      <c r="E123" s="2" t="inlineStr">
        <is>
          <t>8732702/8732712</t>
        </is>
      </c>
      <c r="F123" s="2" t="n">
        <v>19.2</v>
      </c>
      <c r="G123" s="2" t="n">
        <v>26.6</v>
      </c>
      <c r="H123" s="2" t="n">
        <v>23.6</v>
      </c>
      <c r="I123" s="2" t="n"/>
      <c r="J123" s="2" t="n"/>
      <c r="K123" s="2" t="n"/>
      <c r="L123" s="2" t="inlineStr">
        <is>
          <t>聚丙烯</t>
        </is>
      </c>
      <c r="M123" s="2" t="inlineStr">
        <is>
          <t>白色/透明</t>
        </is>
      </c>
      <c r="N123" s="2" t="inlineStr">
        <is>
          <t>Y</t>
        </is>
      </c>
      <c r="O123" s="2" t="inlineStr">
        <is>
          <t>N</t>
        </is>
      </c>
      <c r="P123" s="2" t="n">
        <v>279</v>
      </c>
      <c r="Q123" s="2" t="inlineStr">
        <is>
          <t>2026-10-26</t>
        </is>
      </c>
      <c r="R123" s="3" t="inlineStr">
        <is>
          <t>https://www.nitori-net.tw/product/8732702</t>
        </is>
      </c>
      <c r="S123" s="2" t="inlineStr">
        <is>
          <t>官網</t>
        </is>
      </c>
      <c r="T123" s="2" t="inlineStr">
        <is>
          <t>high</t>
        </is>
      </c>
      <c r="U123" s="2" t="inlineStr">
        <is>
          <t>官網：可輕鬆堆疊，可與N INBOX系列自由排列、堆疊、組合；3抽；品名為窄低型但官網標示高23.6公分；價格：查詢日售價279（原價299）</t>
        </is>
      </c>
      <c r="V123" s="2" t="inlineStr"/>
    </row>
    <row r="124">
      <c r="A124" s="2" t="inlineStr">
        <is>
          <t>NITORI-008</t>
        </is>
      </c>
      <c r="B124" s="2" t="inlineStr">
        <is>
          <t>NITORI</t>
        </is>
      </c>
      <c r="C124" s="2" t="inlineStr">
        <is>
          <t>N INBOX</t>
        </is>
      </c>
      <c r="D124" s="2" t="inlineStr">
        <is>
          <t>抽屜式收納盒 寬低型 N INBOX R 2D2DR</t>
        </is>
      </c>
      <c r="E124" s="2" t="inlineStr">
        <is>
          <t>8732703</t>
        </is>
      </c>
      <c r="F124" s="2" t="n">
        <v>38.9</v>
      </c>
      <c r="G124" s="2" t="n">
        <v>26.6</v>
      </c>
      <c r="H124" s="2" t="n">
        <v>23.6</v>
      </c>
      <c r="I124" s="2" t="n"/>
      <c r="J124" s="2" t="n"/>
      <c r="K124" s="2" t="n"/>
      <c r="L124" s="2" t="inlineStr">
        <is>
          <t>聚丙烯</t>
        </is>
      </c>
      <c r="M124" s="2" t="inlineStr">
        <is>
          <t>白色</t>
        </is>
      </c>
      <c r="N124" s="2" t="inlineStr">
        <is>
          <t>Y</t>
        </is>
      </c>
      <c r="O124" s="2" t="inlineStr">
        <is>
          <t>N</t>
        </is>
      </c>
      <c r="P124" s="2" t="n">
        <v>479</v>
      </c>
      <c r="Q124" s="2" t="inlineStr">
        <is>
          <t>2026-10-26</t>
        </is>
      </c>
      <c r="R124" s="3" t="inlineStr">
        <is>
          <t>https://www.nitori-net.tw/product/8732703</t>
        </is>
      </c>
      <c r="S124" s="2" t="inlineStr">
        <is>
          <t>官網</t>
        </is>
      </c>
      <c r="T124" s="2" t="inlineStr">
        <is>
          <t>high</t>
        </is>
      </c>
      <c r="U124" s="2" t="inlineStr">
        <is>
          <t>官網：可輕鬆堆疊，可與N INBOX系列自由排列、堆疊、組合；價格：查詢日售價479（原價499）</t>
        </is>
      </c>
      <c r="V124" s="2" t="inlineStr"/>
    </row>
    <row r="125">
      <c r="A125" s="2" t="inlineStr">
        <is>
          <t>NITORI-009</t>
        </is>
      </c>
      <c r="B125" s="2" t="inlineStr">
        <is>
          <t>NITORI</t>
        </is>
      </c>
      <c r="C125" s="2" t="inlineStr">
        <is>
          <t>N INBOX</t>
        </is>
      </c>
      <c r="D125" s="2" t="inlineStr">
        <is>
          <t>抽屜式收納盒 寬低型 N INBOX R 2D3DR</t>
        </is>
      </c>
      <c r="E125" s="2" t="inlineStr">
        <is>
          <t>8732704</t>
        </is>
      </c>
      <c r="F125" s="2" t="n">
        <v>38.9</v>
      </c>
      <c r="G125" s="2" t="n">
        <v>26.6</v>
      </c>
      <c r="H125" s="2" t="n">
        <v>23.6</v>
      </c>
      <c r="I125" s="2" t="n"/>
      <c r="J125" s="2" t="n"/>
      <c r="K125" s="2" t="n"/>
      <c r="L125" s="2" t="inlineStr">
        <is>
          <t>聚丙烯</t>
        </is>
      </c>
      <c r="M125" s="2" t="inlineStr">
        <is>
          <t>白色</t>
        </is>
      </c>
      <c r="N125" s="2" t="inlineStr">
        <is>
          <t>Y</t>
        </is>
      </c>
      <c r="O125" s="2" t="inlineStr">
        <is>
          <t>N</t>
        </is>
      </c>
      <c r="P125" s="2" t="n">
        <v>479</v>
      </c>
      <c r="Q125" s="2" t="inlineStr">
        <is>
          <t>2026-10-26</t>
        </is>
      </c>
      <c r="R125" s="3" t="inlineStr">
        <is>
          <t>https://www.nitori-net.tw/product/8732704</t>
        </is>
      </c>
      <c r="S125" s="2" t="inlineStr">
        <is>
          <t>官網</t>
        </is>
      </c>
      <c r="T125" s="2" t="inlineStr">
        <is>
          <t>high</t>
        </is>
      </c>
      <c r="U125" s="2" t="inlineStr">
        <is>
          <t>官網：可輕鬆堆疊，可與N INBOX系列自由排列、堆疊、組合；價格：查詢日售價479（原價499）</t>
        </is>
      </c>
      <c r="V125" s="2" t="inlineStr"/>
    </row>
    <row r="126">
      <c r="A126" s="2" t="inlineStr">
        <is>
          <t>NITORI-010</t>
        </is>
      </c>
      <c r="B126" s="2" t="inlineStr">
        <is>
          <t>NITORI</t>
        </is>
      </c>
      <c r="C126" s="2" t="inlineStr">
        <is>
          <t>N INBOX</t>
        </is>
      </c>
      <c r="D126" s="2" t="inlineStr">
        <is>
          <t>抽屜式收納盒 窄高型 N INBOX 3DR</t>
        </is>
      </c>
      <c r="E126" s="2" t="inlineStr">
        <is>
          <t>8732705/8732715</t>
        </is>
      </c>
      <c r="F126" s="2" t="n">
        <v>19.2</v>
      </c>
      <c r="G126" s="2" t="n">
        <v>26.6</v>
      </c>
      <c r="H126" s="2" t="n">
        <v>35.4</v>
      </c>
      <c r="I126" s="2" t="n"/>
      <c r="J126" s="2" t="n"/>
      <c r="K126" s="2" t="n"/>
      <c r="L126" s="2" t="inlineStr">
        <is>
          <t>聚丙烯</t>
        </is>
      </c>
      <c r="M126" s="2" t="inlineStr">
        <is>
          <t>白色/透明</t>
        </is>
      </c>
      <c r="N126" s="2" t="inlineStr">
        <is>
          <t>Y</t>
        </is>
      </c>
      <c r="O126" s="2" t="inlineStr">
        <is>
          <t>N</t>
        </is>
      </c>
      <c r="P126" s="2" t="n">
        <v>379</v>
      </c>
      <c r="Q126" s="2" t="inlineStr">
        <is>
          <t>2026-10-26</t>
        </is>
      </c>
      <c r="R126" s="3" t="inlineStr">
        <is>
          <t>https://www.nitori-net.tw/product/8732705</t>
        </is>
      </c>
      <c r="S126" s="2" t="inlineStr">
        <is>
          <t>官網</t>
        </is>
      </c>
      <c r="T126" s="2" t="inlineStr">
        <is>
          <t>high</t>
        </is>
      </c>
      <c r="U126" s="2" t="inlineStr">
        <is>
          <t>官網：可輕鬆堆疊，可與N INBOX系列自由排列、堆疊、組合；3抽；價格：查詢日售價379（原價399）</t>
        </is>
      </c>
      <c r="V126" s="2" t="inlineStr"/>
    </row>
    <row r="127">
      <c r="A127" s="2" t="inlineStr">
        <is>
          <t>NITORI-011</t>
        </is>
      </c>
      <c r="B127" s="2" t="inlineStr">
        <is>
          <t>NITORI</t>
        </is>
      </c>
      <c r="C127" s="2" t="inlineStr">
        <is>
          <t>N INBOX</t>
        </is>
      </c>
      <c r="D127" s="2" t="inlineStr">
        <is>
          <t>抽屜式收納盒 寬高型 N INBOX LR 3D4DR</t>
        </is>
      </c>
      <c r="E127" s="2" t="inlineStr">
        <is>
          <t>8732706/8732716</t>
        </is>
      </c>
      <c r="F127" s="2" t="n">
        <v>38.9</v>
      </c>
      <c r="G127" s="2" t="n">
        <v>26.6</v>
      </c>
      <c r="H127" s="2" t="n">
        <v>35.4</v>
      </c>
      <c r="I127" s="2" t="n"/>
      <c r="J127" s="2" t="n"/>
      <c r="K127" s="2" t="n"/>
      <c r="L127" s="2" t="inlineStr">
        <is>
          <t>聚丙烯</t>
        </is>
      </c>
      <c r="M127" s="2" t="inlineStr">
        <is>
          <t>白色/透明</t>
        </is>
      </c>
      <c r="N127" s="2" t="inlineStr">
        <is>
          <t>Y</t>
        </is>
      </c>
      <c r="O127" s="2" t="inlineStr">
        <is>
          <t>N</t>
        </is>
      </c>
      <c r="P127" s="2" t="n">
        <v>579</v>
      </c>
      <c r="Q127" s="2" t="inlineStr">
        <is>
          <t>2026-10-26</t>
        </is>
      </c>
      <c r="R127" s="3" t="inlineStr">
        <is>
          <t>https://www.nitori-net.tw/product/8732706</t>
        </is>
      </c>
      <c r="S127" s="2" t="inlineStr">
        <is>
          <t>官網</t>
        </is>
      </c>
      <c r="T127" s="2" t="inlineStr">
        <is>
          <t>high</t>
        </is>
      </c>
      <c r="U127" s="2" t="inlineStr">
        <is>
          <t>官網：可輕鬆堆疊，可與N INBOX系列自由排列、堆疊、組合；價格：查詢日售價579（原價599）</t>
        </is>
      </c>
      <c r="V127" s="2" t="inlineStr"/>
    </row>
    <row r="128">
      <c r="A128" s="2" t="inlineStr">
        <is>
          <t>NITORI-012</t>
        </is>
      </c>
      <c r="B128" s="2" t="inlineStr">
        <is>
          <t>NITORI</t>
        </is>
      </c>
      <c r="C128" s="2" t="inlineStr">
        <is>
          <t>N INBOX</t>
        </is>
      </c>
      <c r="D128" s="2" t="inlineStr">
        <is>
          <t>手提收納盒 N INBOX2</t>
        </is>
      </c>
      <c r="E128" s="2" t="inlineStr">
        <is>
          <t>2113200005459/2113200005466/2113200005473</t>
        </is>
      </c>
      <c r="F128" s="2" t="n">
        <v>24.6</v>
      </c>
      <c r="G128" s="2" t="n">
        <v>15.5</v>
      </c>
      <c r="H128" s="2" t="n">
        <v>17.8</v>
      </c>
      <c r="I128" s="2" t="n"/>
      <c r="J128" s="2" t="n"/>
      <c r="K128" s="2" t="n"/>
      <c r="L128" s="2" t="inlineStr">
        <is>
          <t>聚丙烯</t>
        </is>
      </c>
      <c r="M128" s="2" t="inlineStr">
        <is>
          <t>白色/淺灰色/淺摩卡色</t>
        </is>
      </c>
      <c r="N128" s="2" t="inlineStr"/>
      <c r="O128" s="2" t="inlineStr">
        <is>
          <t>N</t>
        </is>
      </c>
      <c r="P128" s="2" t="n">
        <v>149</v>
      </c>
      <c r="Q128" s="2" t="inlineStr">
        <is>
          <t>2026-10-26</t>
        </is>
      </c>
      <c r="R128" s="3" t="inlineStr">
        <is>
          <t>https://www.nitori-net.tw/product/2113200005459</t>
        </is>
      </c>
      <c r="S128" s="2" t="inlineStr">
        <is>
          <t>官網</t>
        </is>
      </c>
      <c r="T128" s="2" t="inlineStr">
        <is>
          <t>high</t>
        </is>
      </c>
      <c r="U128" s="2" t="inlineStr">
        <is>
          <t>高度含把手；可拆式分隔板；產地日本</t>
        </is>
      </c>
      <c r="V128" s="2" t="inlineStr"/>
    </row>
    <row r="129">
      <c r="A129" s="2" t="inlineStr">
        <is>
          <t>NITORI-013</t>
        </is>
      </c>
      <c r="B129" s="2" t="inlineStr">
        <is>
          <t>NITORI</t>
        </is>
      </c>
      <c r="C129" s="2" t="inlineStr">
        <is>
          <t>N INBOX</t>
        </is>
      </c>
      <c r="D129" s="2" t="inlineStr">
        <is>
          <t>文具用 手提收納盒 N INBOX</t>
        </is>
      </c>
      <c r="E129" s="2" t="inlineStr">
        <is>
          <t>8734041/8734042</t>
        </is>
      </c>
      <c r="F129" s="2" t="n">
        <v>32</v>
      </c>
      <c r="G129" s="2" t="n">
        <v>14.5</v>
      </c>
      <c r="H129" s="2" t="n">
        <v>12.3</v>
      </c>
      <c r="I129" s="2" t="n"/>
      <c r="J129" s="2" t="n"/>
      <c r="K129" s="2" t="n"/>
      <c r="L129" s="2" t="inlineStr">
        <is>
          <t>聚丙烯</t>
        </is>
      </c>
      <c r="M129" s="2" t="inlineStr">
        <is>
          <t>白色/透明</t>
        </is>
      </c>
      <c r="N129" s="2" t="inlineStr">
        <is>
          <t>Y</t>
        </is>
      </c>
      <c r="O129" s="2" t="inlineStr">
        <is>
          <t>N</t>
        </is>
      </c>
      <c r="P129" s="2" t="n">
        <v>199</v>
      </c>
      <c r="Q129" s="2" t="inlineStr">
        <is>
          <t>2026-10-26</t>
        </is>
      </c>
      <c r="R129" s="3" t="inlineStr">
        <is>
          <t>https://www.nitori-net.tw/product/8734041</t>
        </is>
      </c>
      <c r="S129" s="2" t="inlineStr">
        <is>
          <t>官網</t>
        </is>
      </c>
      <c r="T129" s="2" t="inlineStr">
        <is>
          <t>high</t>
        </is>
      </c>
      <c r="U129" s="2" t="inlineStr">
        <is>
          <t>高12.3公分含提把（不含提把高8.2公分）；提把可收起後堆疊；耐重約10kg；寬度與資料檔案整理架吻合；價格：查詢日售價199（原價219）</t>
        </is>
      </c>
      <c r="V129" s="2" t="inlineStr"/>
    </row>
    <row r="130">
      <c r="A130" s="2" t="inlineStr">
        <is>
          <t>NITORI-014</t>
        </is>
      </c>
      <c r="B130" s="2" t="inlineStr">
        <is>
          <t>NITORI</t>
        </is>
      </c>
      <c r="C130" s="2" t="inlineStr">
        <is>
          <t>D INBOX</t>
        </is>
      </c>
      <c r="D130" s="2" t="inlineStr">
        <is>
          <t>【DECO HOME商品】文具用 手提收納盒 D INBOX</t>
        </is>
      </c>
      <c r="E130" s="2" t="inlineStr">
        <is>
          <t>2113200000294/2113200002427</t>
        </is>
      </c>
      <c r="F130" s="2" t="n">
        <v>31.6</v>
      </c>
      <c r="G130" s="2" t="n">
        <v>15.7</v>
      </c>
      <c r="H130" s="2" t="n">
        <v>10.6</v>
      </c>
      <c r="I130" s="2" t="n"/>
      <c r="J130" s="2" t="n"/>
      <c r="K130" s="2" t="n"/>
      <c r="L130" s="2" t="inlineStr">
        <is>
          <t>聚丙烯</t>
        </is>
      </c>
      <c r="M130" s="2" t="inlineStr">
        <is>
          <t>摩卡色/本白</t>
        </is>
      </c>
      <c r="N130" s="2" t="inlineStr"/>
      <c r="O130" s="2" t="inlineStr">
        <is>
          <t>N</t>
        </is>
      </c>
      <c r="P130" s="2" t="n">
        <v>219</v>
      </c>
      <c r="Q130" s="2" t="inlineStr">
        <is>
          <t>2026-10-26</t>
        </is>
      </c>
      <c r="R130" s="3" t="inlineStr">
        <is>
          <t>https://www.nitori-net.tw/product/2113200000294</t>
        </is>
      </c>
      <c r="S130" s="2" t="inlineStr">
        <is>
          <t>官網</t>
        </is>
      </c>
      <c r="T130" s="2" t="inlineStr">
        <is>
          <t>high</t>
        </is>
      </c>
      <c r="U130" s="2" t="inlineStr">
        <is>
          <t>DECO HOME商品</t>
        </is>
      </c>
      <c r="V130" s="2" t="inlineStr"/>
    </row>
    <row r="131">
      <c r="A131" s="2" t="inlineStr">
        <is>
          <t>NITORI-015</t>
        </is>
      </c>
      <c r="B131" s="2" t="inlineStr">
        <is>
          <t>NITORI</t>
        </is>
      </c>
      <c r="C131" s="2" t="inlineStr">
        <is>
          <t>SOFT N INBOX</t>
        </is>
      </c>
      <c r="D131" s="2" t="inlineStr">
        <is>
          <t>收納盒 標準型 寬高型 SOFT N INBOX</t>
        </is>
      </c>
      <c r="E131" s="2" t="inlineStr">
        <is>
          <t>8421411</t>
        </is>
      </c>
      <c r="F131" s="2" t="n">
        <v>38.5</v>
      </c>
      <c r="G131" s="2" t="n">
        <v>26.5</v>
      </c>
      <c r="H131" s="2" t="n">
        <v>23.5</v>
      </c>
      <c r="I131" s="2" t="n"/>
      <c r="J131" s="2" t="n"/>
      <c r="K131" s="2" t="n"/>
      <c r="L131" s="2" t="inlineStr">
        <is>
          <t>聚乙烯</t>
        </is>
      </c>
      <c r="M131" s="2" t="inlineStr">
        <is>
          <t>淺灰色</t>
        </is>
      </c>
      <c r="N131" s="2" t="inlineStr"/>
      <c r="O131" s="2" t="inlineStr">
        <is>
          <t>N</t>
        </is>
      </c>
      <c r="P131" s="2" t="n">
        <v>249</v>
      </c>
      <c r="Q131" s="2" t="inlineStr">
        <is>
          <t>2026-10-26</t>
        </is>
      </c>
      <c r="R131" s="3" t="inlineStr">
        <is>
          <t>https://www.nitori-net.tw/product/8421411</t>
        </is>
      </c>
      <c r="S131" s="2" t="inlineStr">
        <is>
          <t>官網</t>
        </is>
      </c>
      <c r="T131" s="2" t="inlineStr">
        <is>
          <t>high</t>
        </is>
      </c>
      <c r="U131" s="2" t="inlineStr">
        <is>
          <t>官網：可搭配彩色櫃COLOBO；依官方尺寸，2個窄型並排≈1個寬型；另售蓋：收納盒上蓋 寬型用 SOFT N INBOX(8421405，約39×27公分)；價格：查詢日售價249（原價299）</t>
        </is>
      </c>
      <c r="V131" s="2" t="inlineStr"/>
    </row>
    <row r="132">
      <c r="A132" s="2" t="inlineStr">
        <is>
          <t>NITORI-016</t>
        </is>
      </c>
      <c r="B132" s="2" t="inlineStr">
        <is>
          <t>NITORI</t>
        </is>
      </c>
      <c r="C132" s="2" t="inlineStr">
        <is>
          <t>SOFT N INBOX</t>
        </is>
      </c>
      <c r="D132" s="2" t="inlineStr">
        <is>
          <t>收納盒 橫式半格型 寬低型 SOFT N INBOX</t>
        </is>
      </c>
      <c r="E132" s="2" t="inlineStr">
        <is>
          <t>8421413</t>
        </is>
      </c>
      <c r="F132" s="2" t="n">
        <v>38.5</v>
      </c>
      <c r="G132" s="2" t="n">
        <v>26.5</v>
      </c>
      <c r="H132" s="2" t="n">
        <v>11.5</v>
      </c>
      <c r="I132" s="2" t="n"/>
      <c r="J132" s="2" t="n"/>
      <c r="K132" s="2" t="n"/>
      <c r="L132" s="2" t="inlineStr">
        <is>
          <t>聚乙烯</t>
        </is>
      </c>
      <c r="M132" s="2" t="inlineStr">
        <is>
          <t>淺灰色</t>
        </is>
      </c>
      <c r="N132" s="2" t="inlineStr"/>
      <c r="O132" s="2" t="inlineStr">
        <is>
          <t>N</t>
        </is>
      </c>
      <c r="P132" s="2" t="n">
        <v>179</v>
      </c>
      <c r="Q132" s="2" t="inlineStr">
        <is>
          <t>2026-10-26</t>
        </is>
      </c>
      <c r="R132" s="3" t="inlineStr">
        <is>
          <t>https://www.nitori-net.tw/product/8421413</t>
        </is>
      </c>
      <c r="S132" s="2" t="inlineStr">
        <is>
          <t>官網</t>
        </is>
      </c>
      <c r="T132" s="2" t="inlineStr">
        <is>
          <t>high</t>
        </is>
      </c>
      <c r="U132" s="2" t="inlineStr">
        <is>
          <t>官網：可搭配彩色櫃COLOBO；依官方尺寸，2個窄型並排≈1個寬型；另售蓋：收納盒上蓋 寬型用 SOFT N INBOX(8421405，約39×27公分)</t>
        </is>
      </c>
      <c r="V132" s="2" t="inlineStr"/>
    </row>
    <row r="133">
      <c r="A133" s="2" t="inlineStr">
        <is>
          <t>NITORI-017</t>
        </is>
      </c>
      <c r="B133" s="2" t="inlineStr">
        <is>
          <t>NITORI</t>
        </is>
      </c>
      <c r="C133" s="2" t="inlineStr">
        <is>
          <t>SOFT N INBOX</t>
        </is>
      </c>
      <c r="D133" s="2" t="inlineStr">
        <is>
          <t>收納盒 直式半格型 窄高型 SOFT N INBOX</t>
        </is>
      </c>
      <c r="E133" s="2" t="inlineStr">
        <is>
          <t>8421412</t>
        </is>
      </c>
      <c r="F133" s="2" t="n">
        <v>19</v>
      </c>
      <c r="G133" s="2" t="n">
        <v>26.5</v>
      </c>
      <c r="H133" s="2" t="n">
        <v>23.5</v>
      </c>
      <c r="I133" s="2" t="n"/>
      <c r="J133" s="2" t="n"/>
      <c r="K133" s="2" t="n"/>
      <c r="L133" s="2" t="inlineStr">
        <is>
          <t>聚乙烯</t>
        </is>
      </c>
      <c r="M133" s="2" t="inlineStr">
        <is>
          <t>淺灰色</t>
        </is>
      </c>
      <c r="N133" s="2" t="inlineStr"/>
      <c r="O133" s="2" t="inlineStr">
        <is>
          <t>N</t>
        </is>
      </c>
      <c r="P133" s="2" t="n">
        <v>179</v>
      </c>
      <c r="Q133" s="2" t="inlineStr">
        <is>
          <t>2026-10-26</t>
        </is>
      </c>
      <c r="R133" s="3" t="inlineStr">
        <is>
          <t>https://www.nitori-net.tw/product/8421412</t>
        </is>
      </c>
      <c r="S133" s="2" t="inlineStr">
        <is>
          <t>官網</t>
        </is>
      </c>
      <c r="T133" s="2" t="inlineStr">
        <is>
          <t>high</t>
        </is>
      </c>
      <c r="U133" s="2" t="inlineStr">
        <is>
          <t>官網：可搭配彩色櫃COLOBO；依官方尺寸，2個窄型並排≈1個寬型；另售蓋：收納盒上蓋 窄型用 SOFT N INBOX(8421406，約19.5×27公分)；價格：查詢日售價179（原價219）</t>
        </is>
      </c>
      <c r="V133" s="2" t="inlineStr"/>
    </row>
    <row r="134">
      <c r="A134" s="2" t="inlineStr">
        <is>
          <t>NITORI-018</t>
        </is>
      </c>
      <c r="B134" s="2" t="inlineStr">
        <is>
          <t>NITORI</t>
        </is>
      </c>
      <c r="C134" s="2" t="inlineStr">
        <is>
          <t>SOFT N INBOX</t>
        </is>
      </c>
      <c r="D134" s="2" t="inlineStr">
        <is>
          <t>收納盒 四分之一型 窄低型 SOFT N INBOX</t>
        </is>
      </c>
      <c r="E134" s="2" t="inlineStr">
        <is>
          <t>8421414</t>
        </is>
      </c>
      <c r="F134" s="2" t="n">
        <v>19</v>
      </c>
      <c r="G134" s="2" t="n">
        <v>26.5</v>
      </c>
      <c r="H134" s="2" t="n">
        <v>11.5</v>
      </c>
      <c r="I134" s="2" t="n"/>
      <c r="J134" s="2" t="n"/>
      <c r="K134" s="2" t="n"/>
      <c r="L134" s="2" t="inlineStr">
        <is>
          <t>聚乙烯</t>
        </is>
      </c>
      <c r="M134" s="2" t="inlineStr">
        <is>
          <t>淺灰色</t>
        </is>
      </c>
      <c r="N134" s="2" t="inlineStr"/>
      <c r="O134" s="2" t="inlineStr">
        <is>
          <t>N</t>
        </is>
      </c>
      <c r="P134" s="2" t="n">
        <v>129</v>
      </c>
      <c r="Q134" s="2" t="inlineStr">
        <is>
          <t>2026-10-26</t>
        </is>
      </c>
      <c r="R134" s="3" t="inlineStr">
        <is>
          <t>https://www.nitori-net.tw/product/8421414</t>
        </is>
      </c>
      <c r="S134" s="2" t="inlineStr">
        <is>
          <t>官網</t>
        </is>
      </c>
      <c r="T134" s="2" t="inlineStr">
        <is>
          <t>high</t>
        </is>
      </c>
      <c r="U134" s="2" t="inlineStr">
        <is>
          <t>官網：可搭配彩色櫃COLOBO；依官方尺寸，2個窄型並排≈1個寬型；另售蓋：收納盒上蓋 窄型用 SOFT N INBOX(8421406，約19.5×27公分)；價格：查詢日售價129（原價179）</t>
        </is>
      </c>
      <c r="V134" s="2" t="inlineStr"/>
    </row>
    <row r="135">
      <c r="A135" s="2" t="inlineStr">
        <is>
          <t>NITORI-019</t>
        </is>
      </c>
      <c r="B135" s="2" t="inlineStr">
        <is>
          <t>NITORI</t>
        </is>
      </c>
      <c r="C135" s="2" t="inlineStr">
        <is>
          <t>SOFT N INBOX</t>
        </is>
      </c>
      <c r="D135" s="2" t="inlineStr">
        <is>
          <t>收納盒 寬高型 SOFT N INBOX V</t>
        </is>
      </c>
      <c r="E135" s="2" t="inlineStr">
        <is>
          <t>2113200002892</t>
        </is>
      </c>
      <c r="F135" s="2" t="n">
        <v>38.7</v>
      </c>
      <c r="G135" s="2" t="n">
        <v>26.5</v>
      </c>
      <c r="H135" s="2" t="n">
        <v>23.5</v>
      </c>
      <c r="I135" s="2" t="n"/>
      <c r="J135" s="2" t="n"/>
      <c r="K135" s="2" t="n"/>
      <c r="L135" s="2" t="inlineStr">
        <is>
          <t>聚乙烯</t>
        </is>
      </c>
      <c r="M135" s="2" t="inlineStr">
        <is>
          <t>白色</t>
        </is>
      </c>
      <c r="N135" s="2" t="inlineStr"/>
      <c r="O135" s="2" t="inlineStr">
        <is>
          <t>N</t>
        </is>
      </c>
      <c r="P135" s="2" t="n">
        <v>249</v>
      </c>
      <c r="Q135" s="2" t="inlineStr">
        <is>
          <t>2026-10-26</t>
        </is>
      </c>
      <c r="R135" s="3" t="inlineStr">
        <is>
          <t>https://www.nitori-net.tw/product/2113200002892</t>
        </is>
      </c>
      <c r="S135" s="2" t="inlineStr">
        <is>
          <t>官網</t>
        </is>
      </c>
      <c r="T135" s="2" t="inlineStr">
        <is>
          <t>high</t>
        </is>
      </c>
      <c r="U135" s="2" t="inlineStr">
        <is>
          <t>另售蓋：收納盒蓋 寬型用 SOFT N INBOX V(2113200002939，約39.2×27×1.3公分)</t>
        </is>
      </c>
      <c r="V135" s="2" t="inlineStr"/>
    </row>
    <row r="136">
      <c r="A136" s="2" t="inlineStr">
        <is>
          <t>NITORI-020</t>
        </is>
      </c>
      <c r="B136" s="2" t="inlineStr">
        <is>
          <t>NITORI</t>
        </is>
      </c>
      <c r="C136" s="2" t="inlineStr">
        <is>
          <t>SOFT N INBOX</t>
        </is>
      </c>
      <c r="D136" s="2" t="inlineStr">
        <is>
          <t>收納盒 寬低型 SOFT N INBOX V</t>
        </is>
      </c>
      <c r="E136" s="2" t="inlineStr">
        <is>
          <t>2113200002915</t>
        </is>
      </c>
      <c r="F136" s="2" t="n">
        <v>38.7</v>
      </c>
      <c r="G136" s="2" t="n">
        <v>26.5</v>
      </c>
      <c r="H136" s="2" t="n">
        <v>11.7</v>
      </c>
      <c r="I136" s="2" t="n"/>
      <c r="J136" s="2" t="n"/>
      <c r="K136" s="2" t="n"/>
      <c r="L136" s="2" t="inlineStr">
        <is>
          <t>聚乙烯</t>
        </is>
      </c>
      <c r="M136" s="2" t="inlineStr">
        <is>
          <t>白色</t>
        </is>
      </c>
      <c r="N136" s="2" t="inlineStr"/>
      <c r="O136" s="2" t="inlineStr">
        <is>
          <t>N</t>
        </is>
      </c>
      <c r="P136" s="2" t="n">
        <v>179</v>
      </c>
      <c r="Q136" s="2" t="inlineStr">
        <is>
          <t>2026-10-26</t>
        </is>
      </c>
      <c r="R136" s="3" t="inlineStr">
        <is>
          <t>https://www.nitori-net.tw/product/2113200002915</t>
        </is>
      </c>
      <c r="S136" s="2" t="inlineStr">
        <is>
          <t>官網</t>
        </is>
      </c>
      <c r="T136" s="2" t="inlineStr">
        <is>
          <t>high</t>
        </is>
      </c>
      <c r="U136" s="2" t="inlineStr">
        <is>
          <t>另售蓋：收納盒蓋 寬型用 SOFT N INBOX V(2113200002939，約39.2×27×1.3公分)</t>
        </is>
      </c>
      <c r="V136" s="2" t="inlineStr"/>
    </row>
    <row r="137">
      <c r="A137" s="2" t="inlineStr">
        <is>
          <t>NITORI-021</t>
        </is>
      </c>
      <c r="B137" s="2" t="inlineStr">
        <is>
          <t>NITORI</t>
        </is>
      </c>
      <c r="C137" s="2" t="inlineStr">
        <is>
          <t>SOFT N INBOX</t>
        </is>
      </c>
      <c r="D137" s="2" t="inlineStr">
        <is>
          <t>收納盒 窄高型 SOFT N INBOX V</t>
        </is>
      </c>
      <c r="E137" s="2" t="inlineStr">
        <is>
          <t>2113200002908/2113200005305/2113200005367</t>
        </is>
      </c>
      <c r="F137" s="2" t="n">
        <v>19.1</v>
      </c>
      <c r="G137" s="2" t="n">
        <v>26.5</v>
      </c>
      <c r="H137" s="2" t="n">
        <v>23.5</v>
      </c>
      <c r="I137" s="2" t="n"/>
      <c r="J137" s="2" t="n"/>
      <c r="K137" s="2" t="n"/>
      <c r="L137" s="2" t="inlineStr">
        <is>
          <t>聚乙烯</t>
        </is>
      </c>
      <c r="M137" s="2" t="inlineStr">
        <is>
          <t>白色/類白色/淺摩卡色</t>
        </is>
      </c>
      <c r="N137" s="2" t="inlineStr"/>
      <c r="O137" s="2" t="inlineStr">
        <is>
          <t>N</t>
        </is>
      </c>
      <c r="P137" s="2" t="n">
        <v>179</v>
      </c>
      <c r="Q137" s="2" t="inlineStr">
        <is>
          <t>2026-10-26</t>
        </is>
      </c>
      <c r="R137" s="3" t="inlineStr">
        <is>
          <t>https://www.nitori-net.tw/product/2113200002908</t>
        </is>
      </c>
      <c r="S137" s="2" t="inlineStr">
        <is>
          <t>官網</t>
        </is>
      </c>
      <c r="T137" s="2" t="inlineStr">
        <is>
          <t>high</t>
        </is>
      </c>
      <c r="U137" s="2" t="inlineStr">
        <is>
          <t>另售蓋：收納盒蓋 窄型用 SOFT N INBOX V(2113200002946，約19.6×27×1.3公分)；類白色、淺摩卡色為DECO HOME商品</t>
        </is>
      </c>
      <c r="V137" s="2" t="inlineStr"/>
    </row>
    <row r="138">
      <c r="A138" s="2" t="inlineStr">
        <is>
          <t>NITORI-022</t>
        </is>
      </c>
      <c r="B138" s="2" t="inlineStr">
        <is>
          <t>NITORI</t>
        </is>
      </c>
      <c r="C138" s="2" t="inlineStr">
        <is>
          <t>SOFT N INBOX</t>
        </is>
      </c>
      <c r="D138" s="2" t="inlineStr">
        <is>
          <t>收納盒 窄低型 SOFT N INBOX V</t>
        </is>
      </c>
      <c r="E138" s="2" t="inlineStr">
        <is>
          <t>2113200002922/2113200005381</t>
        </is>
      </c>
      <c r="F138" s="2" t="n">
        <v>19.1</v>
      </c>
      <c r="G138" s="2" t="n">
        <v>26.5</v>
      </c>
      <c r="H138" s="2" t="n">
        <v>11.7</v>
      </c>
      <c r="I138" s="2" t="n"/>
      <c r="J138" s="2" t="n"/>
      <c r="K138" s="2" t="n"/>
      <c r="L138" s="2" t="inlineStr">
        <is>
          <t>聚乙烯</t>
        </is>
      </c>
      <c r="M138" s="2" t="inlineStr">
        <is>
          <t>白色/淺摩卡色</t>
        </is>
      </c>
      <c r="N138" s="2" t="inlineStr"/>
      <c r="O138" s="2" t="inlineStr">
        <is>
          <t>N</t>
        </is>
      </c>
      <c r="P138" s="2" t="n">
        <v>129</v>
      </c>
      <c r="Q138" s="2" t="inlineStr">
        <is>
          <t>2026-10-26</t>
        </is>
      </c>
      <c r="R138" s="3" t="inlineStr">
        <is>
          <t>https://www.nitori-net.tw/product/2113200002922</t>
        </is>
      </c>
      <c r="S138" s="2" t="inlineStr">
        <is>
          <t>官網</t>
        </is>
      </c>
      <c r="T138" s="2" t="inlineStr">
        <is>
          <t>high</t>
        </is>
      </c>
      <c r="U138" s="2" t="inlineStr">
        <is>
          <t>另售蓋：收納盒蓋 窄型用 SOFT N INBOX V(2113200002946，約19.6×27×1.3公分)；淺摩卡色為DECO HOME商品；價格：淺摩卡色 119元</t>
        </is>
      </c>
      <c r="V138" s="2" t="inlineStr"/>
    </row>
    <row r="139">
      <c r="A139" s="2" t="inlineStr">
        <is>
          <t>NITORI-023</t>
        </is>
      </c>
      <c r="B139" s="2" t="inlineStr">
        <is>
          <t>NITORI</t>
        </is>
      </c>
      <c r="C139" s="2" t="inlineStr">
        <is>
          <t>SOFT N INBOX</t>
        </is>
      </c>
      <c r="D139" s="2" t="inlineStr">
        <is>
          <t>【DECO HOME商品】收納盒 細長型 SOFT N INBOX</t>
        </is>
      </c>
      <c r="E139" s="2" t="inlineStr">
        <is>
          <t>5842257/5842263</t>
        </is>
      </c>
      <c r="F139" s="2" t="n">
        <v>38</v>
      </c>
      <c r="G139" s="2" t="n">
        <v>13</v>
      </c>
      <c r="H139" s="2" t="n">
        <v>11.8</v>
      </c>
      <c r="I139" s="2" t="n"/>
      <c r="J139" s="2" t="n"/>
      <c r="K139" s="2" t="n"/>
      <c r="L139" s="2" t="inlineStr">
        <is>
          <t>聚乙烯</t>
        </is>
      </c>
      <c r="M139" s="2" t="inlineStr">
        <is>
          <t>米白色/淺摩卡</t>
        </is>
      </c>
      <c r="N139" s="2" t="inlineStr"/>
      <c r="O139" s="2" t="inlineStr">
        <is>
          <t>N</t>
        </is>
      </c>
      <c r="P139" s="2" t="n">
        <v>99</v>
      </c>
      <c r="Q139" s="2" t="inlineStr">
        <is>
          <t>2026-10-26</t>
        </is>
      </c>
      <c r="R139" s="3" t="inlineStr">
        <is>
          <t>https://www.nitori-net.tw/product/5842257</t>
        </is>
      </c>
      <c r="S139" s="2" t="inlineStr">
        <is>
          <t>官網</t>
        </is>
      </c>
      <c r="T139" s="2" t="inlineStr">
        <is>
          <t>high</t>
        </is>
      </c>
      <c r="U139" s="2" t="inlineStr">
        <is>
          <t>官網：深度為寬低型的一半；可搭配另售收納盒分隔板 SOFT N INBOX(8421417)</t>
        </is>
      </c>
      <c r="V139" s="2" t="inlineStr"/>
    </row>
    <row r="140">
      <c r="A140" s="2" t="inlineStr">
        <is>
          <t>NITORI-024</t>
        </is>
      </c>
      <c r="B140" s="2" t="inlineStr">
        <is>
          <t>NITORI</t>
        </is>
      </c>
      <c r="C140" s="2" t="inlineStr">
        <is>
          <t>SOFT N INBOX</t>
        </is>
      </c>
      <c r="D140" s="2" t="inlineStr">
        <is>
          <t>【DECO HOME商品】收納盒 小 SOFT N INBOX</t>
        </is>
      </c>
      <c r="E140" s="2" t="inlineStr">
        <is>
          <t>5842258/5842264</t>
        </is>
      </c>
      <c r="F140" s="2" t="n">
        <v>19</v>
      </c>
      <c r="G140" s="2" t="n">
        <v>13</v>
      </c>
      <c r="H140" s="2" t="n">
        <v>11.8</v>
      </c>
      <c r="I140" s="2" t="n"/>
      <c r="J140" s="2" t="n"/>
      <c r="K140" s="2" t="n"/>
      <c r="L140" s="2" t="inlineStr">
        <is>
          <t>聚乙烯</t>
        </is>
      </c>
      <c r="M140" s="2" t="inlineStr">
        <is>
          <t>米白色/淺摩卡</t>
        </is>
      </c>
      <c r="N140" s="2" t="inlineStr"/>
      <c r="O140" s="2" t="inlineStr">
        <is>
          <t>N</t>
        </is>
      </c>
      <c r="P140" s="2" t="n">
        <v>69</v>
      </c>
      <c r="Q140" s="2" t="inlineStr">
        <is>
          <t>2026-10-26</t>
        </is>
      </c>
      <c r="R140" s="3" t="inlineStr">
        <is>
          <t>https://www.nitori-net.tw/product/5842258</t>
        </is>
      </c>
      <c r="S140" s="2" t="inlineStr">
        <is>
          <t>官網</t>
        </is>
      </c>
      <c r="T140" s="2" t="inlineStr">
        <is>
          <t>high</t>
        </is>
      </c>
      <c r="U140" s="2" t="inlineStr">
        <is>
          <t>官網：深度為窄低型的一半；可搭配另售收納盒分隔板 SOFT N INBOX(8421417)</t>
        </is>
      </c>
      <c r="V140" s="2" t="inlineStr"/>
    </row>
    <row r="141">
      <c r="A141" s="2" t="inlineStr">
        <is>
          <t>NITORI-025</t>
        </is>
      </c>
      <c r="B141" s="2" t="inlineStr">
        <is>
          <t>NITORI</t>
        </is>
      </c>
      <c r="C141" s="2" t="inlineStr">
        <is>
          <t>SOFT N INBOX</t>
        </is>
      </c>
      <c r="D141" s="2" t="inlineStr">
        <is>
          <t>分隔用收納盒 寬型用 SOFT N INBOX</t>
        </is>
      </c>
      <c r="E141" s="2" t="inlineStr">
        <is>
          <t>2113200010408</t>
        </is>
      </c>
      <c r="F141" s="2" t="n">
        <v>38</v>
      </c>
      <c r="G141" s="2" t="n">
        <v>13</v>
      </c>
      <c r="H141" s="2" t="n">
        <v>11.8</v>
      </c>
      <c r="I141" s="2" t="n"/>
      <c r="J141" s="2" t="n"/>
      <c r="K141" s="2" t="n"/>
      <c r="L141" s="2" t="inlineStr">
        <is>
          <t>聚乙烯</t>
        </is>
      </c>
      <c r="M141" s="2" t="inlineStr">
        <is>
          <t>白色</t>
        </is>
      </c>
      <c r="N141" s="2" t="inlineStr"/>
      <c r="O141" s="2" t="inlineStr">
        <is>
          <t>N</t>
        </is>
      </c>
      <c r="P141" s="2" t="n">
        <v>99</v>
      </c>
      <c r="Q141" s="2" t="inlineStr">
        <is>
          <t>2026-10-26</t>
        </is>
      </c>
      <c r="R141" s="3" t="inlineStr">
        <is>
          <t>https://www.nitori-net.tw/product/2113200010408</t>
        </is>
      </c>
      <c r="S141" s="2" t="inlineStr">
        <is>
          <t>官網</t>
        </is>
      </c>
      <c r="T141" s="2" t="inlineStr">
        <is>
          <t>high</t>
        </is>
      </c>
      <c r="U141" s="2" t="inlineStr">
        <is>
          <t>尺寸同細長型；依官方尺寸2個前後並排≈1個寬低型</t>
        </is>
      </c>
      <c r="V141" s="2" t="inlineStr"/>
    </row>
    <row r="142">
      <c r="A142" s="2" t="inlineStr">
        <is>
          <t>NITORI-026</t>
        </is>
      </c>
      <c r="B142" s="2" t="inlineStr">
        <is>
          <t>NITORI</t>
        </is>
      </c>
      <c r="C142" s="2" t="inlineStr">
        <is>
          <t>SOFT N INBOX</t>
        </is>
      </c>
      <c r="D142" s="2" t="inlineStr">
        <is>
          <t>分隔用收納盒 窄型用 SOFT N INBOX</t>
        </is>
      </c>
      <c r="E142" s="2" t="inlineStr">
        <is>
          <t>2113200010392</t>
        </is>
      </c>
      <c r="F142" s="2" t="n">
        <v>19</v>
      </c>
      <c r="G142" s="2" t="n">
        <v>13</v>
      </c>
      <c r="H142" s="2" t="n">
        <v>11.8</v>
      </c>
      <c r="I142" s="2" t="n"/>
      <c r="J142" s="2" t="n"/>
      <c r="K142" s="2" t="n"/>
      <c r="L142" s="2" t="inlineStr">
        <is>
          <t>聚乙烯</t>
        </is>
      </c>
      <c r="M142" s="2" t="inlineStr">
        <is>
          <t>白色</t>
        </is>
      </c>
      <c r="N142" s="2" t="inlineStr"/>
      <c r="O142" s="2" t="inlineStr">
        <is>
          <t>N</t>
        </is>
      </c>
      <c r="P142" s="2" t="n">
        <v>69</v>
      </c>
      <c r="Q142" s="2" t="inlineStr">
        <is>
          <t>2026-10-26</t>
        </is>
      </c>
      <c r="R142" s="3" t="inlineStr">
        <is>
          <t>https://www.nitori-net.tw/product/2113200010392</t>
        </is>
      </c>
      <c r="S142" s="2" t="inlineStr">
        <is>
          <t>官網</t>
        </is>
      </c>
      <c r="T142" s="2" t="inlineStr">
        <is>
          <t>high</t>
        </is>
      </c>
      <c r="U142" s="2" t="inlineStr">
        <is>
          <t>尺寸同「小」；依官方尺寸2個前後並排≈1個窄低型</t>
        </is>
      </c>
      <c r="V142" s="2" t="inlineStr"/>
    </row>
    <row r="143">
      <c r="A143" s="2" t="inlineStr">
        <is>
          <t>NITORI-027</t>
        </is>
      </c>
      <c r="B143" s="2" t="inlineStr">
        <is>
          <t>NITORI</t>
        </is>
      </c>
      <c r="C143" s="2" t="inlineStr">
        <is>
          <t>多功能抽屜收納盒</t>
        </is>
      </c>
      <c r="D143" s="2" t="inlineStr">
        <is>
          <t>寬19cm 多功能抽屜收納盒 白色S 半格型</t>
        </is>
      </c>
      <c r="E143" s="2" t="inlineStr">
        <is>
          <t>8732215</t>
        </is>
      </c>
      <c r="F143" s="2" t="n">
        <v>18.5</v>
      </c>
      <c r="G143" s="2" t="n">
        <v>35.5</v>
      </c>
      <c r="H143" s="2" t="n">
        <v>12.5</v>
      </c>
      <c r="I143" s="2" t="n">
        <v>14.5</v>
      </c>
      <c r="J143" s="2" t="n">
        <v>32.5</v>
      </c>
      <c r="K143" s="2" t="n">
        <v>8</v>
      </c>
      <c r="L143" s="2" t="inlineStr">
        <is>
          <t>PP（本體、隔板、連結部分）、橡膠（止滑部）</t>
        </is>
      </c>
      <c r="M143" s="2" t="inlineStr">
        <is>
          <t>白色</t>
        </is>
      </c>
      <c r="N143" s="2" t="inlineStr">
        <is>
          <t>Y</t>
        </is>
      </c>
      <c r="O143" s="2" t="inlineStr">
        <is>
          <t>N</t>
        </is>
      </c>
      <c r="P143" s="2" t="n">
        <v>249</v>
      </c>
      <c r="Q143" s="2" t="inlineStr">
        <is>
          <t>2026-10-26</t>
        </is>
      </c>
      <c r="R143" s="3" t="inlineStr">
        <is>
          <t>https://www.nitori-net.tw/product/8732215</t>
        </is>
      </c>
      <c r="S143" s="2" t="inlineStr">
        <is>
          <t>官網</t>
        </is>
      </c>
      <c r="T143" s="2" t="inlineStr">
        <is>
          <t>high</t>
        </is>
      </c>
      <c r="U143" s="2" t="inlineStr">
        <is>
          <t>官網：堆疊使用時收納物品總重約15kg以下；外寸與內寸取自商品說明（說明以「長×寬×高」標示）</t>
        </is>
      </c>
      <c r="V143" s="2" t="inlineStr"/>
    </row>
    <row r="144">
      <c r="A144" s="2" t="inlineStr">
        <is>
          <t>NITORI-028</t>
        </is>
      </c>
      <c r="B144" s="2" t="inlineStr">
        <is>
          <t>NITORI</t>
        </is>
      </c>
      <c r="C144" s="2" t="inlineStr">
        <is>
          <t>多功能抽屜收納盒</t>
        </is>
      </c>
      <c r="D144" s="2" t="inlineStr">
        <is>
          <t>寬19cm 多功能抽屜收納盒 白色M 半格型</t>
        </is>
      </c>
      <c r="E144" s="2" t="inlineStr">
        <is>
          <t>8732216</t>
        </is>
      </c>
      <c r="F144" s="2" t="n">
        <v>18.5</v>
      </c>
      <c r="G144" s="2" t="n">
        <v>35.5</v>
      </c>
      <c r="H144" s="2" t="n">
        <v>19</v>
      </c>
      <c r="I144" s="2" t="n">
        <v>14.5</v>
      </c>
      <c r="J144" s="2" t="n">
        <v>32.5</v>
      </c>
      <c r="K144" s="2" t="n">
        <v>14.5</v>
      </c>
      <c r="L144" s="2" t="inlineStr">
        <is>
          <t>PP（本體、隔板、連結部分）、橡膠（止滑部）</t>
        </is>
      </c>
      <c r="M144" s="2" t="inlineStr">
        <is>
          <t>白色</t>
        </is>
      </c>
      <c r="N144" s="2" t="inlineStr">
        <is>
          <t>Y</t>
        </is>
      </c>
      <c r="O144" s="2" t="inlineStr">
        <is>
          <t>N</t>
        </is>
      </c>
      <c r="P144" s="2" t="n">
        <v>349</v>
      </c>
      <c r="Q144" s="2" t="inlineStr">
        <is>
          <t>2026-10-26</t>
        </is>
      </c>
      <c r="R144" s="3" t="inlineStr">
        <is>
          <t>https://www.nitori-net.tw/product/8732216</t>
        </is>
      </c>
      <c r="S144" s="2" t="inlineStr">
        <is>
          <t>官網</t>
        </is>
      </c>
      <c r="T144" s="2" t="inlineStr">
        <is>
          <t>high</t>
        </is>
      </c>
      <c r="U144" s="2" t="inlineStr">
        <is>
          <t>官網：堆疊使用時收納物品總重約15kg以下；外寸與內寸取自商品說明</t>
        </is>
      </c>
      <c r="V144" s="2" t="inlineStr"/>
    </row>
    <row r="145">
      <c r="A145" s="2" t="inlineStr">
        <is>
          <t>NITORI-029</t>
        </is>
      </c>
      <c r="B145" s="2" t="inlineStr">
        <is>
          <t>NITORI</t>
        </is>
      </c>
      <c r="C145" s="2" t="inlineStr">
        <is>
          <t>多功能抽屜收納盒</t>
        </is>
      </c>
      <c r="D145" s="2" t="inlineStr">
        <is>
          <t>寬19cm 多功能抽屜收納盒 白色L 半格型</t>
        </is>
      </c>
      <c r="E145" s="2" t="inlineStr">
        <is>
          <t>8732217</t>
        </is>
      </c>
      <c r="F145" s="2" t="n">
        <v>18.5</v>
      </c>
      <c r="G145" s="2" t="n">
        <v>35.5</v>
      </c>
      <c r="H145" s="2" t="n">
        <v>25</v>
      </c>
      <c r="I145" s="2" t="n">
        <v>14.5</v>
      </c>
      <c r="J145" s="2" t="n">
        <v>32.5</v>
      </c>
      <c r="K145" s="2" t="n">
        <v>20.5</v>
      </c>
      <c r="L145" s="2" t="inlineStr">
        <is>
          <t>PP（本體、隔板、連結部分）、橡膠（止滑部）</t>
        </is>
      </c>
      <c r="M145" s="2" t="inlineStr">
        <is>
          <t>白色</t>
        </is>
      </c>
      <c r="N145" s="2" t="inlineStr">
        <is>
          <t>Y</t>
        </is>
      </c>
      <c r="O145" s="2" t="inlineStr">
        <is>
          <t>N</t>
        </is>
      </c>
      <c r="P145" s="2" t="n">
        <v>399</v>
      </c>
      <c r="Q145" s="2" t="inlineStr">
        <is>
          <t>2026-10-26</t>
        </is>
      </c>
      <c r="R145" s="3" t="inlineStr">
        <is>
          <t>https://www.nitori-net.tw/product/8732217</t>
        </is>
      </c>
      <c r="S145" s="2" t="inlineStr">
        <is>
          <t>官網</t>
        </is>
      </c>
      <c r="T145" s="2" t="inlineStr">
        <is>
          <t>high</t>
        </is>
      </c>
      <c r="U145" s="2" t="inlineStr">
        <is>
          <t>官網：堆疊使用時收納物品總重約15kg以下；外寸與內寸取自商品說明</t>
        </is>
      </c>
      <c r="V145" s="2" t="inlineStr"/>
    </row>
    <row r="146">
      <c r="A146" s="2" t="inlineStr">
        <is>
          <t>NITORI-030</t>
        </is>
      </c>
      <c r="B146" s="2" t="inlineStr">
        <is>
          <t>NITORI</t>
        </is>
      </c>
      <c r="C146" s="2" t="inlineStr">
        <is>
          <t>多功能抽屜收納盒</t>
        </is>
      </c>
      <c r="D146" s="2" t="inlineStr">
        <is>
          <t>多功能抽屜收納盒 白色S 寬型 寬38cm</t>
        </is>
      </c>
      <c r="E146" s="2" t="inlineStr">
        <is>
          <t>8732218</t>
        </is>
      </c>
      <c r="F146" s="2" t="n">
        <v>37.5</v>
      </c>
      <c r="G146" s="2" t="n">
        <v>35.5</v>
      </c>
      <c r="H146" s="2" t="n">
        <v>12.5</v>
      </c>
      <c r="I146" s="2" t="n">
        <v>32.5</v>
      </c>
      <c r="J146" s="2" t="n">
        <v>32.5</v>
      </c>
      <c r="K146" s="2" t="n">
        <v>8</v>
      </c>
      <c r="L146" s="2" t="inlineStr">
        <is>
          <t>PP（本體、隔板、連結部分）、橡膠（止滑部）</t>
        </is>
      </c>
      <c r="M146" s="2" t="inlineStr">
        <is>
          <t>白色</t>
        </is>
      </c>
      <c r="N146" s="2" t="inlineStr">
        <is>
          <t>Y</t>
        </is>
      </c>
      <c r="O146" s="2" t="inlineStr">
        <is>
          <t>N</t>
        </is>
      </c>
      <c r="P146" s="2" t="n">
        <v>399</v>
      </c>
      <c r="Q146" s="2" t="inlineStr">
        <is>
          <t>2026-10-26</t>
        </is>
      </c>
      <c r="R146" s="3" t="inlineStr">
        <is>
          <t>https://www.nitori-net.tw/product/8732218</t>
        </is>
      </c>
      <c r="S146" s="2" t="inlineStr">
        <is>
          <t>官網</t>
        </is>
      </c>
      <c r="T146" s="2" t="inlineStr">
        <is>
          <t>high</t>
        </is>
      </c>
      <c r="U146" s="2" t="inlineStr">
        <is>
          <t>官網：堆疊使用時收納物品總重約15kg以下；外寸與內寸取自商品說明；規格欄僅標示約寬38公分</t>
        </is>
      </c>
      <c r="V146" s="2" t="inlineStr"/>
    </row>
    <row r="147">
      <c r="A147" s="2" t="inlineStr">
        <is>
          <t>NITORI-031</t>
        </is>
      </c>
      <c r="B147" s="2" t="inlineStr">
        <is>
          <t>NITORI</t>
        </is>
      </c>
      <c r="C147" s="2" t="inlineStr">
        <is>
          <t>多功能抽屜收納盒</t>
        </is>
      </c>
      <c r="D147" s="2" t="inlineStr">
        <is>
          <t>多功能抽屜收納盒 白色M 寬型 寬38cm</t>
        </is>
      </c>
      <c r="E147" s="2" t="inlineStr">
        <is>
          <t>8732219</t>
        </is>
      </c>
      <c r="F147" s="2" t="n">
        <v>38</v>
      </c>
      <c r="G147" s="2" t="n">
        <v>36</v>
      </c>
      <c r="H147" s="2" t="n">
        <v>19</v>
      </c>
      <c r="I147" s="2" t="n">
        <v>33</v>
      </c>
      <c r="J147" s="2" t="n">
        <v>33</v>
      </c>
      <c r="K147" s="2" t="n">
        <v>15</v>
      </c>
      <c r="L147" s="2" t="inlineStr">
        <is>
          <t>PP（本體、隔板、連結部分）、橡膠（止滑部）</t>
        </is>
      </c>
      <c r="M147" s="2" t="inlineStr">
        <is>
          <t>白色</t>
        </is>
      </c>
      <c r="N147" s="2" t="inlineStr">
        <is>
          <t>Y</t>
        </is>
      </c>
      <c r="O147" s="2" t="inlineStr">
        <is>
          <t>N</t>
        </is>
      </c>
      <c r="P147" s="2" t="n">
        <v>599</v>
      </c>
      <c r="Q147" s="2" t="inlineStr">
        <is>
          <t>2026-10-26</t>
        </is>
      </c>
      <c r="R147" s="3" t="inlineStr">
        <is>
          <t>https://www.nitori-net.tw/product/8732219</t>
        </is>
      </c>
      <c r="S147" s="2" t="inlineStr">
        <is>
          <t>官網</t>
        </is>
      </c>
      <c r="T147" s="2" t="inlineStr">
        <is>
          <t>medium</t>
        </is>
      </c>
      <c r="U147" s="2" t="inlineStr">
        <is>
          <t>官網：堆疊使用時收納物品總重約15kg以下；外寸與內寸取自商品說明；資料衝突：M頁說明列S/M/L皆寬38×深36（S/L頁為37.5×35.5），此列依M頁</t>
        </is>
      </c>
      <c r="V147" s="2" t="inlineStr"/>
    </row>
    <row r="148">
      <c r="A148" s="2" t="inlineStr">
        <is>
          <t>NITORI-032</t>
        </is>
      </c>
      <c r="B148" s="2" t="inlineStr">
        <is>
          <t>NITORI</t>
        </is>
      </c>
      <c r="C148" s="2" t="inlineStr">
        <is>
          <t>多功能抽屜收納盒</t>
        </is>
      </c>
      <c r="D148" s="2" t="inlineStr">
        <is>
          <t>多功能抽屜收納盒 白色L 寬型 寬38cm</t>
        </is>
      </c>
      <c r="E148" s="2" t="inlineStr">
        <is>
          <t>8732221</t>
        </is>
      </c>
      <c r="F148" s="2" t="n">
        <v>37.5</v>
      </c>
      <c r="G148" s="2" t="n">
        <v>35.5</v>
      </c>
      <c r="H148" s="2" t="n">
        <v>25</v>
      </c>
      <c r="I148" s="2" t="n">
        <v>32.5</v>
      </c>
      <c r="J148" s="2" t="n">
        <v>32.5</v>
      </c>
      <c r="K148" s="2" t="n">
        <v>20.5</v>
      </c>
      <c r="L148" s="2" t="inlineStr">
        <is>
          <t>PP（本體、隔板、連結部分）、橡膠（止滑部）</t>
        </is>
      </c>
      <c r="M148" s="2" t="inlineStr">
        <is>
          <t>白色</t>
        </is>
      </c>
      <c r="N148" s="2" t="inlineStr">
        <is>
          <t>Y</t>
        </is>
      </c>
      <c r="O148" s="2" t="inlineStr">
        <is>
          <t>N</t>
        </is>
      </c>
      <c r="P148" s="2" t="n">
        <v>599</v>
      </c>
      <c r="Q148" s="2" t="inlineStr">
        <is>
          <t>2026-10-26</t>
        </is>
      </c>
      <c r="R148" s="3" t="inlineStr">
        <is>
          <t>https://www.nitori-net.tw/product/8732221</t>
        </is>
      </c>
      <c r="S148" s="2" t="inlineStr">
        <is>
          <t>官網</t>
        </is>
      </c>
      <c r="T148" s="2" t="inlineStr">
        <is>
          <t>high</t>
        </is>
      </c>
      <c r="U148" s="2" t="inlineStr">
        <is>
          <t>官網：堆疊使用時收納物品總重約15kg以下；外寸與內寸取自商品說明；規格欄僅標示約寬38公分</t>
        </is>
      </c>
      <c r="V148" s="2" t="inlineStr"/>
    </row>
    <row r="149">
      <c r="A149" s="2" t="inlineStr">
        <is>
          <t>NITORI-033</t>
        </is>
      </c>
      <c r="B149" s="2" t="inlineStr">
        <is>
          <t>NITORI</t>
        </is>
      </c>
      <c r="C149" s="2" t="inlineStr">
        <is>
          <t>多功能收納盒</t>
        </is>
      </c>
      <c r="D149" s="2" t="inlineStr">
        <is>
          <t>多功能收納盒 六格</t>
        </is>
      </c>
      <c r="E149" s="2" t="inlineStr">
        <is>
          <t>8732683</t>
        </is>
      </c>
      <c r="F149" s="2" t="n">
        <v>15</v>
      </c>
      <c r="G149" s="2" t="n">
        <v>11</v>
      </c>
      <c r="H149" s="2" t="n">
        <v>4.5</v>
      </c>
      <c r="I149" s="2" t="n"/>
      <c r="J149" s="2" t="n"/>
      <c r="K149" s="2" t="n"/>
      <c r="L149" s="2" t="inlineStr">
        <is>
          <t>聚丙烯</t>
        </is>
      </c>
      <c r="M149" s="2" t="inlineStr">
        <is>
          <t>透明色</t>
        </is>
      </c>
      <c r="N149" s="2" t="inlineStr">
        <is>
          <t>Y</t>
        </is>
      </c>
      <c r="O149" s="2" t="inlineStr">
        <is>
          <t>N</t>
        </is>
      </c>
      <c r="P149" s="2" t="n">
        <v>49</v>
      </c>
      <c r="Q149" s="2" t="inlineStr">
        <is>
          <t>2026-10-26</t>
        </is>
      </c>
      <c r="R149" s="3" t="inlineStr">
        <is>
          <t>https://www.nitori-net.tw/product/8732683</t>
        </is>
      </c>
      <c r="S149" s="2" t="inlineStr">
        <is>
          <t>官網</t>
        </is>
      </c>
      <c r="T149" s="2" t="inlineStr">
        <is>
          <t>high</t>
        </is>
      </c>
      <c r="U149" s="2" t="inlineStr">
        <is>
          <t>官網：不同尺寸可推疊使用；價格：查詢日售價49（原價59）</t>
        </is>
      </c>
      <c r="V149" s="2" t="inlineStr"/>
    </row>
    <row r="150">
      <c r="A150" s="2" t="inlineStr">
        <is>
          <t>NITORI-034</t>
        </is>
      </c>
      <c r="B150" s="2" t="inlineStr">
        <is>
          <t>NITORI</t>
        </is>
      </c>
      <c r="C150" s="2" t="inlineStr">
        <is>
          <t>多功能收納盒</t>
        </is>
      </c>
      <c r="D150" s="2" t="inlineStr">
        <is>
          <t>多功能收納盒 六格加高</t>
        </is>
      </c>
      <c r="E150" s="2" t="inlineStr">
        <is>
          <t>8732684</t>
        </is>
      </c>
      <c r="F150" s="2" t="n">
        <v>15</v>
      </c>
      <c r="G150" s="2" t="n">
        <v>11</v>
      </c>
      <c r="H150" s="2" t="n">
        <v>8.5</v>
      </c>
      <c r="I150" s="2" t="n"/>
      <c r="J150" s="2" t="n"/>
      <c r="K150" s="2" t="n"/>
      <c r="L150" s="2" t="inlineStr">
        <is>
          <t>聚丙烯</t>
        </is>
      </c>
      <c r="M150" s="2" t="inlineStr">
        <is>
          <t>透明色</t>
        </is>
      </c>
      <c r="N150" s="2" t="inlineStr">
        <is>
          <t>Y</t>
        </is>
      </c>
      <c r="O150" s="2" t="inlineStr">
        <is>
          <t>N</t>
        </is>
      </c>
      <c r="P150" s="2" t="n">
        <v>59</v>
      </c>
      <c r="Q150" s="2" t="inlineStr">
        <is>
          <t>2026-10-26</t>
        </is>
      </c>
      <c r="R150" s="3" t="inlineStr">
        <is>
          <t>https://www.nitori-net.tw/product/8732684</t>
        </is>
      </c>
      <c r="S150" s="2" t="inlineStr">
        <is>
          <t>官網</t>
        </is>
      </c>
      <c r="T150" s="2" t="inlineStr">
        <is>
          <t>high</t>
        </is>
      </c>
      <c r="U150" s="2" t="inlineStr">
        <is>
          <t>官網：不同尺寸可推疊使用；價格：查詢日售價59（原價69）</t>
        </is>
      </c>
      <c r="V150" s="2" t="inlineStr"/>
    </row>
    <row r="151">
      <c r="A151" s="2" t="inlineStr">
        <is>
          <t>NITORI-035</t>
        </is>
      </c>
      <c r="B151" s="2" t="inlineStr">
        <is>
          <t>NITORI</t>
        </is>
      </c>
      <c r="C151" s="2" t="inlineStr">
        <is>
          <t>多功能收納盒</t>
        </is>
      </c>
      <c r="D151" s="2" t="inlineStr">
        <is>
          <t>多功能收納盒 淺型 S</t>
        </is>
      </c>
      <c r="E151" s="2" t="inlineStr">
        <is>
          <t>8732681</t>
        </is>
      </c>
      <c r="F151" s="2" t="n">
        <v>15</v>
      </c>
      <c r="G151" s="2" t="n">
        <v>11</v>
      </c>
      <c r="H151" s="2" t="n">
        <v>2</v>
      </c>
      <c r="I151" s="2" t="n"/>
      <c r="J151" s="2" t="n"/>
      <c r="K151" s="2" t="n"/>
      <c r="L151" s="2" t="inlineStr">
        <is>
          <t>聚丙烯</t>
        </is>
      </c>
      <c r="M151" s="2" t="inlineStr">
        <is>
          <t>透明色</t>
        </is>
      </c>
      <c r="N151" s="2" t="inlineStr">
        <is>
          <t>Y</t>
        </is>
      </c>
      <c r="O151" s="2" t="inlineStr">
        <is>
          <t>N</t>
        </is>
      </c>
      <c r="P151" s="2" t="n">
        <v>29</v>
      </c>
      <c r="Q151" s="2" t="inlineStr">
        <is>
          <t>2026-10-26</t>
        </is>
      </c>
      <c r="R151" s="3" t="inlineStr">
        <is>
          <t>https://www.nitori-net.tw/product/8732681</t>
        </is>
      </c>
      <c r="S151" s="2" t="inlineStr">
        <is>
          <t>官網</t>
        </is>
      </c>
      <c r="T151" s="2" t="inlineStr">
        <is>
          <t>high</t>
        </is>
      </c>
      <c r="U151" s="2" t="inlineStr">
        <is>
          <t>官網：不同尺寸可推疊使用</t>
        </is>
      </c>
      <c r="V151" s="2" t="inlineStr"/>
    </row>
    <row r="152">
      <c r="A152" s="2" t="inlineStr">
        <is>
          <t>NITORI-036</t>
        </is>
      </c>
      <c r="B152" s="2" t="inlineStr">
        <is>
          <t>NITORI</t>
        </is>
      </c>
      <c r="C152" s="2" t="inlineStr">
        <is>
          <t>多功能收納盒</t>
        </is>
      </c>
      <c r="D152" s="2" t="inlineStr">
        <is>
          <t>多功能收納盒 淺型 M</t>
        </is>
      </c>
      <c r="E152" s="2" t="inlineStr">
        <is>
          <t>8732685</t>
        </is>
      </c>
      <c r="F152" s="2" t="n">
        <v>22</v>
      </c>
      <c r="G152" s="2" t="n">
        <v>15</v>
      </c>
      <c r="H152" s="2" t="n">
        <v>2</v>
      </c>
      <c r="I152" s="2" t="n"/>
      <c r="J152" s="2" t="n"/>
      <c r="K152" s="2" t="n"/>
      <c r="L152" s="2" t="inlineStr">
        <is>
          <t>聚丙烯</t>
        </is>
      </c>
      <c r="M152" s="2" t="inlineStr">
        <is>
          <t>透明色</t>
        </is>
      </c>
      <c r="N152" s="2" t="inlineStr">
        <is>
          <t>Y</t>
        </is>
      </c>
      <c r="O152" s="2" t="inlineStr">
        <is>
          <t>N</t>
        </is>
      </c>
      <c r="P152" s="2" t="n">
        <v>39</v>
      </c>
      <c r="Q152" s="2" t="inlineStr">
        <is>
          <t>2026-10-26</t>
        </is>
      </c>
      <c r="R152" s="3" t="inlineStr">
        <is>
          <t>https://www.nitori-net.tw/product/8732685</t>
        </is>
      </c>
      <c r="S152" s="2" t="inlineStr">
        <is>
          <t>官網</t>
        </is>
      </c>
      <c r="T152" s="2" t="inlineStr">
        <is>
          <t>high</t>
        </is>
      </c>
      <c r="U152" s="2" t="inlineStr">
        <is>
          <t>官網：不同尺寸可推疊使用；價格：查詢日售價39（原價49）</t>
        </is>
      </c>
      <c r="V152" s="2" t="inlineStr"/>
    </row>
    <row r="153">
      <c r="A153" s="2" t="inlineStr">
        <is>
          <t>NITORI-037</t>
        </is>
      </c>
      <c r="B153" s="2" t="inlineStr">
        <is>
          <t>NITORI</t>
        </is>
      </c>
      <c r="C153" s="2" t="inlineStr">
        <is>
          <t>多功能收納盒</t>
        </is>
      </c>
      <c r="D153" s="2" t="inlineStr">
        <is>
          <t>多功能收納盒 小盒</t>
        </is>
      </c>
      <c r="E153" s="2" t="inlineStr">
        <is>
          <t>8732682</t>
        </is>
      </c>
      <c r="F153" s="2" t="n">
        <v>15</v>
      </c>
      <c r="G153" s="2" t="n">
        <v>11</v>
      </c>
      <c r="H153" s="2" t="n">
        <v>4.5</v>
      </c>
      <c r="I153" s="2" t="n"/>
      <c r="J153" s="2" t="n"/>
      <c r="K153" s="2" t="n"/>
      <c r="L153" s="2" t="inlineStr">
        <is>
          <t>聚丙烯</t>
        </is>
      </c>
      <c r="M153" s="2" t="inlineStr">
        <is>
          <t>透明色</t>
        </is>
      </c>
      <c r="N153" s="2" t="inlineStr">
        <is>
          <t>Y</t>
        </is>
      </c>
      <c r="O153" s="2" t="inlineStr">
        <is>
          <t>N</t>
        </is>
      </c>
      <c r="P153" s="2" t="n">
        <v>29</v>
      </c>
      <c r="Q153" s="2" t="inlineStr">
        <is>
          <t>2026-10-26</t>
        </is>
      </c>
      <c r="R153" s="3" t="inlineStr">
        <is>
          <t>https://www.nitori-net.tw/product/8732682</t>
        </is>
      </c>
      <c r="S153" s="2" t="inlineStr">
        <is>
          <t>官網</t>
        </is>
      </c>
      <c r="T153" s="2" t="inlineStr">
        <is>
          <t>high</t>
        </is>
      </c>
      <c r="U153" s="2" t="inlineStr">
        <is>
          <t>官網：不同尺寸可推疊使用；價格：查詢日售價29（原價49）</t>
        </is>
      </c>
      <c r="V153" s="2" t="inlineStr"/>
    </row>
    <row r="154">
      <c r="A154" s="2" t="inlineStr">
        <is>
          <t>NITORI-038</t>
        </is>
      </c>
      <c r="B154" s="2" t="inlineStr">
        <is>
          <t>NITORI</t>
        </is>
      </c>
      <c r="C154" s="2" t="inlineStr">
        <is>
          <t>多功能收納盒</t>
        </is>
      </c>
      <c r="D154" s="2" t="inlineStr">
        <is>
          <t>多功能收納盒 大盒</t>
        </is>
      </c>
      <c r="E154" s="2" t="inlineStr">
        <is>
          <t>8732686</t>
        </is>
      </c>
      <c r="F154" s="2" t="n">
        <v>22</v>
      </c>
      <c r="G154" s="2" t="n">
        <v>15</v>
      </c>
      <c r="H154" s="2" t="n">
        <v>9</v>
      </c>
      <c r="I154" s="2" t="n"/>
      <c r="J154" s="2" t="n"/>
      <c r="K154" s="2" t="n"/>
      <c r="L154" s="2" t="inlineStr">
        <is>
          <t>聚丙烯</t>
        </is>
      </c>
      <c r="M154" s="2" t="inlineStr">
        <is>
          <t>透明色</t>
        </is>
      </c>
      <c r="N154" s="2" t="inlineStr">
        <is>
          <t>Y</t>
        </is>
      </c>
      <c r="O154" s="2" t="inlineStr">
        <is>
          <t>N</t>
        </is>
      </c>
      <c r="P154" s="2" t="n">
        <v>69</v>
      </c>
      <c r="Q154" s="2" t="inlineStr">
        <is>
          <t>2026-10-26</t>
        </is>
      </c>
      <c r="R154" s="3" t="inlineStr">
        <is>
          <t>https://www.nitori-net.tw/product/8732686</t>
        </is>
      </c>
      <c r="S154" s="2" t="inlineStr">
        <is>
          <t>官網</t>
        </is>
      </c>
      <c r="T154" s="2" t="inlineStr">
        <is>
          <t>high</t>
        </is>
      </c>
      <c r="U154" s="2" t="inlineStr">
        <is>
          <t>官網：不同尺寸可推疊使用；價格：查詢日售價69（原價89）</t>
        </is>
      </c>
      <c r="V154" s="2" t="inlineStr"/>
    </row>
    <row r="155">
      <c r="A155" s="2" t="inlineStr">
        <is>
          <t>NITORI-039</t>
        </is>
      </c>
      <c r="B155" s="2" t="inlineStr">
        <is>
          <t>NITORI</t>
        </is>
      </c>
      <c r="C155" s="2" t="inlineStr">
        <is>
          <t>多功能收納盒</t>
        </is>
      </c>
      <c r="D155" s="2" t="inlineStr">
        <is>
          <t>多功能收納盒 大盒加高</t>
        </is>
      </c>
      <c r="E155" s="2" t="inlineStr">
        <is>
          <t>8732687</t>
        </is>
      </c>
      <c r="F155" s="2" t="n">
        <v>22</v>
      </c>
      <c r="G155" s="2" t="n">
        <v>15</v>
      </c>
      <c r="H155" s="2" t="n">
        <v>17</v>
      </c>
      <c r="I155" s="2" t="n"/>
      <c r="J155" s="2" t="n"/>
      <c r="K155" s="2" t="n"/>
      <c r="L155" s="2" t="inlineStr">
        <is>
          <t>聚丙烯</t>
        </is>
      </c>
      <c r="M155" s="2" t="inlineStr">
        <is>
          <t>透明色</t>
        </is>
      </c>
      <c r="N155" s="2" t="inlineStr">
        <is>
          <t>Y</t>
        </is>
      </c>
      <c r="O155" s="2" t="inlineStr">
        <is>
          <t>N</t>
        </is>
      </c>
      <c r="P155" s="2" t="n">
        <v>89</v>
      </c>
      <c r="Q155" s="2" t="inlineStr">
        <is>
          <t>2026-10-26</t>
        </is>
      </c>
      <c r="R155" s="3" t="inlineStr">
        <is>
          <t>https://www.nitori-net.tw/product/8732687</t>
        </is>
      </c>
      <c r="S155" s="2" t="inlineStr">
        <is>
          <t>官網</t>
        </is>
      </c>
      <c r="T155" s="2" t="inlineStr">
        <is>
          <t>high</t>
        </is>
      </c>
      <c r="U155" s="2" t="inlineStr">
        <is>
          <t>官網：不同尺寸可推疊使用；價格：查詢日售價89（原價99）</t>
        </is>
      </c>
      <c r="V155" s="2" t="inlineStr"/>
    </row>
    <row r="156">
      <c r="A156" s="2" t="inlineStr">
        <is>
          <t>NITORI-040</t>
        </is>
      </c>
      <c r="B156" s="2" t="inlineStr">
        <is>
          <t>NITORI</t>
        </is>
      </c>
      <c r="C156" s="2" t="inlineStr">
        <is>
          <t>RT</t>
        </is>
      </c>
      <c r="D156" s="2" t="inlineStr">
        <is>
          <t>抽屜收納盒 RT1711 S 2入</t>
        </is>
      </c>
      <c r="E156" s="2" t="inlineStr">
        <is>
          <t>8490226</t>
        </is>
      </c>
      <c r="F156" s="2" t="n">
        <v>17</v>
      </c>
      <c r="G156" s="2" t="n">
        <v>11.4</v>
      </c>
      <c r="H156" s="2" t="n">
        <v>10</v>
      </c>
      <c r="I156" s="2" t="n"/>
      <c r="J156" s="2" t="n"/>
      <c r="K156" s="2" t="n"/>
      <c r="L156" s="2" t="inlineStr">
        <is>
          <t>聚酯纖維</t>
        </is>
      </c>
      <c r="M156" s="2" t="inlineStr">
        <is>
          <t>白色</t>
        </is>
      </c>
      <c r="N156" s="2" t="inlineStr"/>
      <c r="O156" s="2" t="inlineStr">
        <is>
          <t>N</t>
        </is>
      </c>
      <c r="P156" s="2" t="n"/>
      <c r="Q156" s="2" t="inlineStr">
        <is>
          <t>2026-10-26</t>
        </is>
      </c>
      <c r="R156" s="3" t="inlineStr">
        <is>
          <t>https://www.nitori-net.tw/product/8490226</t>
        </is>
      </c>
      <c r="S156" s="2" t="inlineStr">
        <is>
          <t>官網</t>
        </is>
      </c>
      <c r="T156" s="2" t="inlineStr">
        <is>
          <t>high</t>
        </is>
      </c>
      <c r="U156" s="2" t="inlineStr">
        <is>
          <t>SET:8490226|89|2|2;2入一組（尺寸為每件）；說明欄標示寬11.4×深17×高10；官網：可與相同深度、高度的其他尺寸組合</t>
        </is>
      </c>
      <c r="V156" s="2" t="inlineStr">
        <is>
          <t>整組 NT$89，此尺寸 2 件／共 2 件</t>
        </is>
      </c>
    </row>
    <row r="157">
      <c r="A157" s="2" t="inlineStr">
        <is>
          <t>NITORI-041</t>
        </is>
      </c>
      <c r="B157" s="2" t="inlineStr">
        <is>
          <t>NITORI</t>
        </is>
      </c>
      <c r="C157" s="2" t="inlineStr">
        <is>
          <t>RT</t>
        </is>
      </c>
      <c r="D157" s="2" t="inlineStr">
        <is>
          <t>抽屜收納盒 RT1734 M 2入</t>
        </is>
      </c>
      <c r="E157" s="2" t="inlineStr">
        <is>
          <t>8490227</t>
        </is>
      </c>
      <c r="F157" s="2" t="n">
        <v>17</v>
      </c>
      <c r="G157" s="2" t="n">
        <v>34</v>
      </c>
      <c r="H157" s="2" t="n">
        <v>10</v>
      </c>
      <c r="I157" s="2" t="n"/>
      <c r="J157" s="2" t="n"/>
      <c r="K157" s="2" t="n"/>
      <c r="L157" s="2" t="inlineStr">
        <is>
          <t>聚酯纖維</t>
        </is>
      </c>
      <c r="M157" s="2" t="inlineStr">
        <is>
          <t>白色</t>
        </is>
      </c>
      <c r="N157" s="2" t="inlineStr"/>
      <c r="O157" s="2" t="inlineStr">
        <is>
          <t>N</t>
        </is>
      </c>
      <c r="P157" s="2" t="n"/>
      <c r="Q157" s="2" t="inlineStr">
        <is>
          <t>2026-10-26</t>
        </is>
      </c>
      <c r="R157" s="3" t="inlineStr">
        <is>
          <t>https://www.nitori-net.tw/product/8490227</t>
        </is>
      </c>
      <c r="S157" s="2" t="inlineStr">
        <is>
          <t>官網</t>
        </is>
      </c>
      <c r="T157" s="2" t="inlineStr">
        <is>
          <t>high</t>
        </is>
      </c>
      <c r="U157" s="2" t="inlineStr">
        <is>
          <t>SET:8490227|119|2|2;2入一組（尺寸為每件）；官網：可與相同深度、高度的其他尺寸組合</t>
        </is>
      </c>
      <c r="V157" s="2" t="inlineStr">
        <is>
          <t>整組 NT$119，此尺寸 2 件／共 2 件</t>
        </is>
      </c>
    </row>
    <row r="158">
      <c r="A158" s="2" t="inlineStr">
        <is>
          <t>NITORI-042</t>
        </is>
      </c>
      <c r="B158" s="2" t="inlineStr">
        <is>
          <t>NITORI</t>
        </is>
      </c>
      <c r="C158" s="2" t="inlineStr">
        <is>
          <t>RT</t>
        </is>
      </c>
      <c r="D158" s="2" t="inlineStr">
        <is>
          <t>抽屜收納盒 RT2234</t>
        </is>
      </c>
      <c r="E158" s="2" t="inlineStr">
        <is>
          <t>8490228/8490229/8490231</t>
        </is>
      </c>
      <c r="F158" s="2" t="n">
        <v>22.5</v>
      </c>
      <c r="G158" s="2" t="n">
        <v>34</v>
      </c>
      <c r="H158" s="2" t="n">
        <v>10</v>
      </c>
      <c r="I158" s="2" t="n"/>
      <c r="J158" s="2" t="n"/>
      <c r="K158" s="2" t="n"/>
      <c r="L158" s="2" t="inlineStr">
        <is>
          <t>聚酯纖維</t>
        </is>
      </c>
      <c r="M158" s="2" t="inlineStr">
        <is>
          <t>白色</t>
        </is>
      </c>
      <c r="N158" s="2" t="inlineStr"/>
      <c r="O158" s="2" t="inlineStr">
        <is>
          <t>N</t>
        </is>
      </c>
      <c r="P158" s="2" t="n">
        <v>69</v>
      </c>
      <c r="Q158" s="2" t="inlineStr">
        <is>
          <t>2026-10-26</t>
        </is>
      </c>
      <c r="R158" s="3" t="inlineStr">
        <is>
          <t>https://www.nitori-net.tw/product/8490228</t>
        </is>
      </c>
      <c r="S158" s="2" t="inlineStr">
        <is>
          <t>官網</t>
        </is>
      </c>
      <c r="T158" s="2" t="inlineStr">
        <is>
          <t>high</t>
        </is>
      </c>
      <c r="U158" s="2" t="inlineStr">
        <is>
          <t>8格(8490228)/15格(8490229)/24格(8490231)三款同尺寸；價格：8格69（原價79）、15格89（原價99）、24格109（原價119）</t>
        </is>
      </c>
      <c r="V158" s="2" t="inlineStr"/>
    </row>
    <row r="159">
      <c r="A159" s="2" t="inlineStr">
        <is>
          <t>NITORI-043</t>
        </is>
      </c>
      <c r="B159" s="2" t="inlineStr">
        <is>
          <t>NITORI</t>
        </is>
      </c>
      <c r="C159" s="2" t="inlineStr">
        <is>
          <t>CLANE</t>
        </is>
      </c>
      <c r="D159" s="2" t="inlineStr">
        <is>
          <t>收納整理盒 CLANE HALF 直式半格型</t>
        </is>
      </c>
      <c r="E159" s="2" t="inlineStr">
        <is>
          <t>8511532/8511544</t>
        </is>
      </c>
      <c r="F159" s="2" t="n">
        <v>13</v>
      </c>
      <c r="G159" s="2" t="n">
        <v>16</v>
      </c>
      <c r="H159" s="2" t="n">
        <v>12.2</v>
      </c>
      <c r="I159" s="2" t="n"/>
      <c r="J159" s="2" t="n"/>
      <c r="K159" s="2" t="n"/>
      <c r="L159" s="2" t="inlineStr">
        <is>
          <t>聚丙烯</t>
        </is>
      </c>
      <c r="M159" s="2" t="inlineStr">
        <is>
          <t>白色/透明</t>
        </is>
      </c>
      <c r="N159" s="2" t="inlineStr"/>
      <c r="O159" s="2" t="inlineStr">
        <is>
          <t>N</t>
        </is>
      </c>
      <c r="P159" s="2" t="n">
        <v>99</v>
      </c>
      <c r="Q159" s="2" t="inlineStr">
        <is>
          <t>2026-10-26</t>
        </is>
      </c>
      <c r="R159" s="3" t="inlineStr">
        <is>
          <t>https://www.nitori-net.tw/product/8511532</t>
        </is>
      </c>
      <c r="S159" s="2" t="inlineStr">
        <is>
          <t>官網</t>
        </is>
      </c>
      <c r="T159" s="2" t="inlineStr">
        <is>
          <t>high</t>
        </is>
      </c>
      <c r="U159" s="2" t="inlineStr">
        <is>
          <t>另售：收納整理盒隔板 CLANE(8511543)；依官方尺寸，2個HALF(深16)≈1個LOW(深32.1)</t>
        </is>
      </c>
      <c r="V159" s="2" t="inlineStr"/>
    </row>
    <row r="160">
      <c r="A160" s="2" t="inlineStr">
        <is>
          <t>NITORI-044</t>
        </is>
      </c>
      <c r="B160" s="2" t="inlineStr">
        <is>
          <t>NITORI</t>
        </is>
      </c>
      <c r="C160" s="2" t="inlineStr">
        <is>
          <t>CLANE</t>
        </is>
      </c>
      <c r="D160" s="2" t="inlineStr">
        <is>
          <t>收納整理盒 CLANE LOW 橫式半格型</t>
        </is>
      </c>
      <c r="E160" s="2" t="inlineStr">
        <is>
          <t>8511533/8511545</t>
        </is>
      </c>
      <c r="F160" s="2" t="n">
        <v>13</v>
      </c>
      <c r="G160" s="2" t="n">
        <v>32.1</v>
      </c>
      <c r="H160" s="2" t="n">
        <v>12.2</v>
      </c>
      <c r="I160" s="2" t="n"/>
      <c r="J160" s="2" t="n"/>
      <c r="K160" s="2" t="n"/>
      <c r="L160" s="2" t="inlineStr">
        <is>
          <t>聚丙烯</t>
        </is>
      </c>
      <c r="M160" s="2" t="inlineStr">
        <is>
          <t>白色/透明</t>
        </is>
      </c>
      <c r="N160" s="2" t="inlineStr"/>
      <c r="O160" s="2" t="inlineStr">
        <is>
          <t>N</t>
        </is>
      </c>
      <c r="P160" s="2" t="n">
        <v>149</v>
      </c>
      <c r="Q160" s="2" t="inlineStr">
        <is>
          <t>2026-10-26</t>
        </is>
      </c>
      <c r="R160" s="3" t="inlineStr">
        <is>
          <t>https://www.nitori-net.tw/product/8511533</t>
        </is>
      </c>
      <c r="S160" s="2" t="inlineStr">
        <is>
          <t>官網</t>
        </is>
      </c>
      <c r="T160" s="2" t="inlineStr">
        <is>
          <t>high</t>
        </is>
      </c>
      <c r="U160" s="2" t="inlineStr">
        <is>
          <t>另售：收納整理盒隔板 CLANE(8511543)</t>
        </is>
      </c>
      <c r="V160" s="2" t="inlineStr"/>
    </row>
    <row r="161">
      <c r="A161" s="2" t="inlineStr">
        <is>
          <t>NITORI-045</t>
        </is>
      </c>
      <c r="B161" s="2" t="inlineStr">
        <is>
          <t>NITORI</t>
        </is>
      </c>
      <c r="C161" s="2" t="inlineStr">
        <is>
          <t>CLANE</t>
        </is>
      </c>
      <c r="D161" s="2" t="inlineStr">
        <is>
          <t>收納整理盒 CLANE HIGH L型</t>
        </is>
      </c>
      <c r="E161" s="2" t="inlineStr">
        <is>
          <t>8511534/8511546</t>
        </is>
      </c>
      <c r="F161" s="2" t="n">
        <v>13</v>
      </c>
      <c r="G161" s="2" t="n">
        <v>32.1</v>
      </c>
      <c r="H161" s="2" t="n">
        <v>24.1</v>
      </c>
      <c r="I161" s="2" t="n"/>
      <c r="J161" s="2" t="n"/>
      <c r="K161" s="2" t="n"/>
      <c r="L161" s="2" t="inlineStr">
        <is>
          <t>聚丙烯</t>
        </is>
      </c>
      <c r="M161" s="2" t="inlineStr">
        <is>
          <t>白色/透明</t>
        </is>
      </c>
      <c r="N161" s="2" t="inlineStr"/>
      <c r="O161" s="2" t="inlineStr">
        <is>
          <t>N</t>
        </is>
      </c>
      <c r="P161" s="2" t="n">
        <v>179</v>
      </c>
      <c r="Q161" s="2" t="inlineStr">
        <is>
          <t>2026-10-26</t>
        </is>
      </c>
      <c r="R161" s="3" t="inlineStr">
        <is>
          <t>https://www.nitori-net.tw/product/8511534</t>
        </is>
      </c>
      <c r="S161" s="2" t="inlineStr">
        <is>
          <t>官網</t>
        </is>
      </c>
      <c r="T161" s="2" t="inlineStr">
        <is>
          <t>high</t>
        </is>
      </c>
      <c r="U161" s="2" t="inlineStr">
        <is>
          <t>另售：收納整理盒隔板 CLANE(8511543)</t>
        </is>
      </c>
      <c r="V161" s="2" t="inlineStr"/>
    </row>
    <row r="162">
      <c r="A162" s="2" t="inlineStr">
        <is>
          <t>NITORI-046</t>
        </is>
      </c>
      <c r="B162" s="2" t="inlineStr">
        <is>
          <t>NITORI</t>
        </is>
      </c>
      <c r="C162" s="2" t="inlineStr">
        <is>
          <t>CLANE</t>
        </is>
      </c>
      <c r="D162" s="2" t="inlineStr">
        <is>
          <t>收納整理盒 CLANE 淺型</t>
        </is>
      </c>
      <c r="E162" s="2" t="inlineStr">
        <is>
          <t>8511624</t>
        </is>
      </c>
      <c r="F162" s="2" t="n">
        <v>13</v>
      </c>
      <c r="G162" s="2" t="n">
        <v>32.1</v>
      </c>
      <c r="H162" s="2" t="n">
        <v>6.2</v>
      </c>
      <c r="I162" s="2" t="n"/>
      <c r="J162" s="2" t="n"/>
      <c r="K162" s="2" t="n"/>
      <c r="L162" s="2" t="inlineStr">
        <is>
          <t>聚丙烯</t>
        </is>
      </c>
      <c r="M162" s="2" t="inlineStr">
        <is>
          <t>白色</t>
        </is>
      </c>
      <c r="N162" s="2" t="inlineStr"/>
      <c r="O162" s="2" t="inlineStr">
        <is>
          <t>N</t>
        </is>
      </c>
      <c r="P162" s="2" t="n">
        <v>149</v>
      </c>
      <c r="Q162" s="2" t="inlineStr">
        <is>
          <t>2026-10-26</t>
        </is>
      </c>
      <c r="R162" s="3" t="inlineStr">
        <is>
          <t>https://www.nitori-net.tw/product/8511624</t>
        </is>
      </c>
      <c r="S162" s="2" t="inlineStr">
        <is>
          <t>官網</t>
        </is>
      </c>
      <c r="T162" s="2" t="inlineStr">
        <is>
          <t>high</t>
        </is>
      </c>
      <c r="U162" s="2" t="inlineStr">
        <is>
          <t>另售：收納整理盒隔板 CLANE(8511543)</t>
        </is>
      </c>
      <c r="V162" s="2" t="inlineStr"/>
    </row>
    <row r="163">
      <c r="A163" s="2" t="inlineStr">
        <is>
          <t>NITORI-047</t>
        </is>
      </c>
      <c r="B163" s="2" t="inlineStr">
        <is>
          <t>NITORI</t>
        </is>
      </c>
      <c r="C163" s="2" t="inlineStr">
        <is>
          <t>CLANE</t>
        </is>
      </c>
      <c r="D163" s="2" t="inlineStr">
        <is>
          <t>收納整理盒 CLANE 窄型</t>
        </is>
      </c>
      <c r="E163" s="2" t="inlineStr">
        <is>
          <t>8511625</t>
        </is>
      </c>
      <c r="F163" s="2" t="n">
        <v>6.5</v>
      </c>
      <c r="G163" s="2" t="n">
        <v>32.1</v>
      </c>
      <c r="H163" s="2" t="n">
        <v>12.2</v>
      </c>
      <c r="I163" s="2" t="n"/>
      <c r="J163" s="2" t="n"/>
      <c r="K163" s="2" t="n"/>
      <c r="L163" s="2" t="inlineStr">
        <is>
          <t>聚丙烯</t>
        </is>
      </c>
      <c r="M163" s="2" t="inlineStr">
        <is>
          <t>白色</t>
        </is>
      </c>
      <c r="N163" s="2" t="inlineStr"/>
      <c r="O163" s="2" t="inlineStr">
        <is>
          <t>N</t>
        </is>
      </c>
      <c r="P163" s="2" t="n">
        <v>149</v>
      </c>
      <c r="Q163" s="2" t="inlineStr">
        <is>
          <t>2026-10-26</t>
        </is>
      </c>
      <c r="R163" s="3" t="inlineStr">
        <is>
          <t>https://www.nitori-net.tw/product/8511625</t>
        </is>
      </c>
      <c r="S163" s="2" t="inlineStr">
        <is>
          <t>官網</t>
        </is>
      </c>
      <c r="T163" s="2" t="inlineStr">
        <is>
          <t>high</t>
        </is>
      </c>
      <c r="U163" s="2" t="inlineStr">
        <is>
          <t>另售：收納整理盒隔板 CLANE(8511543)；依官方尺寸2個窄型(寬6.5)=1個LOW(寬13)</t>
        </is>
      </c>
      <c r="V163" s="2" t="inlineStr"/>
    </row>
    <row r="164">
      <c r="A164" s="2" t="inlineStr">
        <is>
          <t>NITORI-048</t>
        </is>
      </c>
      <c r="B164" s="2" t="inlineStr">
        <is>
          <t>NITORI</t>
        </is>
      </c>
      <c r="C164" s="2" t="inlineStr">
        <is>
          <t>CLANE</t>
        </is>
      </c>
      <c r="D164" s="2" t="inlineStr">
        <is>
          <t>收納整理盒 CLANE 可伸縮長型</t>
        </is>
      </c>
      <c r="E164" s="2" t="inlineStr">
        <is>
          <t>8511626</t>
        </is>
      </c>
      <c r="F164" s="2" t="n">
        <v>27.4</v>
      </c>
      <c r="G164" s="2" t="n">
        <v>13.1</v>
      </c>
      <c r="H164" s="2" t="n">
        <v>12.2</v>
      </c>
      <c r="I164" s="2" t="n"/>
      <c r="J164" s="2" t="n"/>
      <c r="K164" s="2" t="n"/>
      <c r="L164" s="2" t="inlineStr">
        <is>
          <t>聚丙烯</t>
        </is>
      </c>
      <c r="M164" s="2" t="inlineStr">
        <is>
          <t>純白色</t>
        </is>
      </c>
      <c r="N164" s="2" t="inlineStr"/>
      <c r="O164" s="2" t="inlineStr">
        <is>
          <t>N</t>
        </is>
      </c>
      <c r="P164" s="2" t="n">
        <v>249</v>
      </c>
      <c r="Q164" s="2" t="inlineStr">
        <is>
          <t>2026-10-26</t>
        </is>
      </c>
      <c r="R164" s="3" t="inlineStr">
        <is>
          <t>https://www.nitori-net.tw/product/8511626</t>
        </is>
      </c>
      <c r="S164" s="2" t="inlineStr">
        <is>
          <t>官網</t>
        </is>
      </c>
      <c r="T164" s="2" t="inlineStr">
        <is>
          <t>high</t>
        </is>
      </c>
      <c r="U164" s="2" t="inlineStr">
        <is>
          <t>可伸縮，寬27.4~48.1公分（外寸填最短狀態）</t>
        </is>
      </c>
      <c r="V164" s="2" t="inlineStr"/>
    </row>
    <row r="165">
      <c r="A165" s="2" t="inlineStr">
        <is>
          <t>NITORI-049</t>
        </is>
      </c>
      <c r="B165" s="2" t="inlineStr">
        <is>
          <t>NITORI</t>
        </is>
      </c>
      <c r="C165" s="2" t="inlineStr">
        <is>
          <t>TICS2</t>
        </is>
      </c>
      <c r="D165" s="2" t="inlineStr">
        <is>
          <t>收納籃 TICS2 標準型</t>
        </is>
      </c>
      <c r="E165" s="2" t="inlineStr">
        <is>
          <t>8161531/8161541</t>
        </is>
      </c>
      <c r="F165" s="2" t="n">
        <v>38</v>
      </c>
      <c r="G165" s="2" t="n">
        <v>26</v>
      </c>
      <c r="H165" s="2" t="n">
        <v>24</v>
      </c>
      <c r="I165" s="2" t="n"/>
      <c r="J165" s="2" t="n"/>
      <c r="K165" s="2" t="n"/>
      <c r="L165" s="2" t="inlineStr">
        <is>
          <t>聚丙烯(PP)</t>
        </is>
      </c>
      <c r="M165" s="2" t="inlineStr">
        <is>
          <t>淺褐色/深褐色</t>
        </is>
      </c>
      <c r="N165" s="2" t="inlineStr"/>
      <c r="O165" s="2" t="inlineStr">
        <is>
          <t>N</t>
        </is>
      </c>
      <c r="P165" s="2" t="n">
        <v>249</v>
      </c>
      <c r="Q165" s="2" t="inlineStr">
        <is>
          <t>2026-10-26</t>
        </is>
      </c>
      <c r="R165" s="3" t="inlineStr">
        <is>
          <t>https://www.nitori-net.tw/product/8161531</t>
        </is>
      </c>
      <c r="S165" s="2" t="inlineStr">
        <is>
          <t>官網</t>
        </is>
      </c>
      <c r="T165" s="2" t="inlineStr">
        <is>
          <t>high</t>
        </is>
      </c>
      <c r="U165" s="2" t="inlineStr">
        <is>
          <t>官網：恰好可搭配彩色櫃的尺寸</t>
        </is>
      </c>
      <c r="V165" s="2" t="inlineStr"/>
    </row>
    <row r="166">
      <c r="A166" s="2" t="inlineStr">
        <is>
          <t>NITORI-050</t>
        </is>
      </c>
      <c r="B166" s="2" t="inlineStr">
        <is>
          <t>NITORI</t>
        </is>
      </c>
      <c r="C166" s="2" t="inlineStr">
        <is>
          <t>TICS2</t>
        </is>
      </c>
      <c r="D166" s="2" t="inlineStr">
        <is>
          <t>收納籃 TICS2 橫式半格型</t>
        </is>
      </c>
      <c r="E166" s="2" t="inlineStr">
        <is>
          <t>8161532/8161542</t>
        </is>
      </c>
      <c r="F166" s="2" t="n">
        <v>38</v>
      </c>
      <c r="G166" s="2" t="n">
        <v>26</v>
      </c>
      <c r="H166" s="2" t="n">
        <v>12</v>
      </c>
      <c r="I166" s="2" t="n"/>
      <c r="J166" s="2" t="n"/>
      <c r="K166" s="2" t="n"/>
      <c r="L166" s="2" t="inlineStr">
        <is>
          <t>聚丙烯(PP)</t>
        </is>
      </c>
      <c r="M166" s="2" t="inlineStr">
        <is>
          <t>淺褐色/深褐色</t>
        </is>
      </c>
      <c r="N166" s="2" t="inlineStr"/>
      <c r="O166" s="2" t="inlineStr">
        <is>
          <t>N</t>
        </is>
      </c>
      <c r="P166" s="2" t="n">
        <v>199</v>
      </c>
      <c r="Q166" s="2" t="inlineStr">
        <is>
          <t>2026-10-26</t>
        </is>
      </c>
      <c r="R166" s="3" t="inlineStr">
        <is>
          <t>https://www.nitori-net.tw/product/8161532</t>
        </is>
      </c>
      <c r="S166" s="2" t="inlineStr">
        <is>
          <t>官網</t>
        </is>
      </c>
      <c r="T166" s="2" t="inlineStr">
        <is>
          <t>high</t>
        </is>
      </c>
      <c r="U166" s="2" t="inlineStr">
        <is>
          <t>官網：恰好可搭配彩色櫃的尺寸</t>
        </is>
      </c>
      <c r="V166" s="2" t="inlineStr"/>
    </row>
    <row r="167">
      <c r="A167" s="2" t="inlineStr">
        <is>
          <t>NITORI-051</t>
        </is>
      </c>
      <c r="B167" s="2" t="inlineStr">
        <is>
          <t>NITORI</t>
        </is>
      </c>
      <c r="C167" s="2" t="inlineStr">
        <is>
          <t>TICS2</t>
        </is>
      </c>
      <c r="D167" s="2" t="inlineStr">
        <is>
          <t>收納籃 TICS2 直式半格型</t>
        </is>
      </c>
      <c r="E167" s="2" t="inlineStr">
        <is>
          <t>8161533/8161543</t>
        </is>
      </c>
      <c r="F167" s="2" t="n">
        <v>19</v>
      </c>
      <c r="G167" s="2" t="n">
        <v>26</v>
      </c>
      <c r="H167" s="2" t="n">
        <v>24</v>
      </c>
      <c r="I167" s="2" t="n"/>
      <c r="J167" s="2" t="n"/>
      <c r="K167" s="2" t="n"/>
      <c r="L167" s="2" t="inlineStr">
        <is>
          <t>聚丙烯(PP)</t>
        </is>
      </c>
      <c r="M167" s="2" t="inlineStr">
        <is>
          <t>淺褐色/深褐色</t>
        </is>
      </c>
      <c r="N167" s="2" t="inlineStr"/>
      <c r="O167" s="2" t="inlineStr">
        <is>
          <t>N</t>
        </is>
      </c>
      <c r="P167" s="2" t="n">
        <v>179</v>
      </c>
      <c r="Q167" s="2" t="inlineStr">
        <is>
          <t>2026-10-26</t>
        </is>
      </c>
      <c r="R167" s="3" t="inlineStr">
        <is>
          <t>https://www.nitori-net.tw/product/8161533</t>
        </is>
      </c>
      <c r="S167" s="2" t="inlineStr">
        <is>
          <t>官網</t>
        </is>
      </c>
      <c r="T167" s="2" t="inlineStr">
        <is>
          <t>high</t>
        </is>
      </c>
      <c r="U167" s="2" t="inlineStr">
        <is>
          <t>官網：恰好可搭配彩色櫃的尺寸；價格：查詢日售價179（原價199）</t>
        </is>
      </c>
      <c r="V167" s="2" t="inlineStr"/>
    </row>
    <row r="168">
      <c r="A168" s="2" t="inlineStr">
        <is>
          <t>NITORI-052</t>
        </is>
      </c>
      <c r="B168" s="2" t="inlineStr">
        <is>
          <t>NITORI</t>
        </is>
      </c>
      <c r="C168" s="2" t="inlineStr">
        <is>
          <t>TICS2</t>
        </is>
      </c>
      <c r="D168" s="2" t="inlineStr">
        <is>
          <t>收納籃 TICS2 四分之一型</t>
        </is>
      </c>
      <c r="E168" s="2" t="inlineStr">
        <is>
          <t>8161534/8161544</t>
        </is>
      </c>
      <c r="F168" s="2" t="n">
        <v>19</v>
      </c>
      <c r="G168" s="2" t="n">
        <v>26</v>
      </c>
      <c r="H168" s="2" t="n">
        <v>12</v>
      </c>
      <c r="I168" s="2" t="n"/>
      <c r="J168" s="2" t="n"/>
      <c r="K168" s="2" t="n"/>
      <c r="L168" s="2" t="inlineStr">
        <is>
          <t>聚丙烯(PP)</t>
        </is>
      </c>
      <c r="M168" s="2" t="inlineStr">
        <is>
          <t>淺褐色/深褐色</t>
        </is>
      </c>
      <c r="N168" s="2" t="inlineStr"/>
      <c r="O168" s="2" t="inlineStr">
        <is>
          <t>N</t>
        </is>
      </c>
      <c r="P168" s="2" t="n">
        <v>159</v>
      </c>
      <c r="Q168" s="2" t="inlineStr">
        <is>
          <t>2026-10-26</t>
        </is>
      </c>
      <c r="R168" s="3" t="inlineStr">
        <is>
          <t>https://www.nitori-net.tw/product/8161534</t>
        </is>
      </c>
      <c r="S168" s="2" t="inlineStr">
        <is>
          <t>官網</t>
        </is>
      </c>
      <c r="T168" s="2" t="inlineStr">
        <is>
          <t>high</t>
        </is>
      </c>
      <c r="U168" s="2" t="inlineStr">
        <is>
          <t>官網：恰好可搭配彩色櫃的尺寸；價格：查詢日售價159（原價179）</t>
        </is>
      </c>
      <c r="V168" s="2" t="inlineStr"/>
    </row>
    <row r="169">
      <c r="A169" s="2" t="inlineStr">
        <is>
          <t>NITORI-053</t>
        </is>
      </c>
      <c r="B169" s="2" t="inlineStr">
        <is>
          <t>NITORI</t>
        </is>
      </c>
      <c r="C169" s="2" t="inlineStr">
        <is>
          <t>TICS2</t>
        </is>
      </c>
      <c r="D169" s="2" t="inlineStr">
        <is>
          <t>遙控器收納盒 TICS2</t>
        </is>
      </c>
      <c r="E169" s="2" t="inlineStr">
        <is>
          <t>8161537/8161547</t>
        </is>
      </c>
      <c r="F169" s="2" t="n">
        <v>15</v>
      </c>
      <c r="G169" s="2" t="n">
        <v>12</v>
      </c>
      <c r="H169" s="2" t="n">
        <v>13</v>
      </c>
      <c r="I169" s="2" t="n"/>
      <c r="J169" s="2" t="n"/>
      <c r="K169" s="2" t="n"/>
      <c r="L169" s="2" t="inlineStr">
        <is>
          <t>聚丙烯(PP)</t>
        </is>
      </c>
      <c r="M169" s="2" t="inlineStr">
        <is>
          <t>米色/深褐色</t>
        </is>
      </c>
      <c r="N169" s="2" t="inlineStr"/>
      <c r="O169" s="2" t="inlineStr">
        <is>
          <t>N</t>
        </is>
      </c>
      <c r="P169" s="2" t="n">
        <v>119</v>
      </c>
      <c r="Q169" s="2" t="inlineStr">
        <is>
          <t>2026-10-26</t>
        </is>
      </c>
      <c r="R169" s="3" t="inlineStr">
        <is>
          <t>https://www.nitori-net.tw/product/8161537</t>
        </is>
      </c>
      <c r="S169" s="2" t="inlineStr">
        <is>
          <t>官網</t>
        </is>
      </c>
      <c r="T169" s="2" t="inlineStr">
        <is>
          <t>high</t>
        </is>
      </c>
      <c r="U169" s="2" t="inlineStr">
        <is>
          <t>分格小物收納；價格：查詢日售價119（原價149）</t>
        </is>
      </c>
      <c r="V169" s="2" t="inlineStr"/>
    </row>
    <row r="170">
      <c r="A170" s="2" t="inlineStr">
        <is>
          <t>NITORI-054</t>
        </is>
      </c>
      <c r="B170" s="2" t="inlineStr">
        <is>
          <t>NITORI</t>
        </is>
      </c>
      <c r="C170" s="2" t="inlineStr">
        <is>
          <t>可水洗收納籃 NA</t>
        </is>
      </c>
      <c r="D170" s="2" t="inlineStr">
        <is>
          <t>可水洗收納籃 寬高型 NA</t>
        </is>
      </c>
      <c r="E170" s="2" t="inlineStr">
        <is>
          <t>8422111</t>
        </is>
      </c>
      <c r="F170" s="2" t="n">
        <v>38</v>
      </c>
      <c r="G170" s="2" t="n">
        <v>26</v>
      </c>
      <c r="H170" s="2" t="n">
        <v>24</v>
      </c>
      <c r="I170" s="2" t="n"/>
      <c r="J170" s="2" t="n"/>
      <c r="K170" s="2" t="n"/>
      <c r="L170" s="2" t="inlineStr">
        <is>
          <t>聚乙烯</t>
        </is>
      </c>
      <c r="M170" s="2" t="inlineStr">
        <is>
          <t>原木色</t>
        </is>
      </c>
      <c r="N170" s="2" t="inlineStr"/>
      <c r="O170" s="2" t="inlineStr">
        <is>
          <t>N</t>
        </is>
      </c>
      <c r="P170" s="2" t="n">
        <v>239</v>
      </c>
      <c r="Q170" s="2" t="inlineStr">
        <is>
          <t>2026-10-26</t>
        </is>
      </c>
      <c r="R170" s="3" t="inlineStr">
        <is>
          <t>https://www.nitori-net.tw/product/8422111</t>
        </is>
      </c>
      <c r="S170" s="2" t="inlineStr">
        <is>
          <t>官網</t>
        </is>
      </c>
      <c r="T170" s="2" t="inlineStr">
        <is>
          <t>high</t>
        </is>
      </c>
      <c r="U170" s="2" t="inlineStr">
        <is>
          <t>官網：可剛好放入COLOBO系列彩色櫃；價格：查詢日售價239（原價299）</t>
        </is>
      </c>
      <c r="V170" s="2" t="inlineStr"/>
    </row>
    <row r="171">
      <c r="A171" s="2" t="inlineStr">
        <is>
          <t>NITORI-055</t>
        </is>
      </c>
      <c r="B171" s="2" t="inlineStr">
        <is>
          <t>NITORI</t>
        </is>
      </c>
      <c r="C171" s="2" t="inlineStr">
        <is>
          <t>可水洗收納籃 NA</t>
        </is>
      </c>
      <c r="D171" s="2" t="inlineStr">
        <is>
          <t>可水洗收納籃 寬低型 NA</t>
        </is>
      </c>
      <c r="E171" s="2" t="inlineStr">
        <is>
          <t>8422112</t>
        </is>
      </c>
      <c r="F171" s="2" t="n">
        <v>38</v>
      </c>
      <c r="G171" s="2" t="n">
        <v>26</v>
      </c>
      <c r="H171" s="2" t="n">
        <v>12</v>
      </c>
      <c r="I171" s="2" t="n"/>
      <c r="J171" s="2" t="n"/>
      <c r="K171" s="2" t="n"/>
      <c r="L171" s="2" t="inlineStr">
        <is>
          <t>聚乙烯</t>
        </is>
      </c>
      <c r="M171" s="2" t="inlineStr">
        <is>
          <t>原木色</t>
        </is>
      </c>
      <c r="N171" s="2" t="inlineStr"/>
      <c r="O171" s="2" t="inlineStr">
        <is>
          <t>N</t>
        </is>
      </c>
      <c r="P171" s="2" t="n">
        <v>199</v>
      </c>
      <c r="Q171" s="2" t="inlineStr">
        <is>
          <t>2026-10-26</t>
        </is>
      </c>
      <c r="R171" s="3" t="inlineStr">
        <is>
          <t>https://www.nitori-net.tw/product/8422112</t>
        </is>
      </c>
      <c r="S171" s="2" t="inlineStr">
        <is>
          <t>官網</t>
        </is>
      </c>
      <c r="T171" s="2" t="inlineStr">
        <is>
          <t>high</t>
        </is>
      </c>
      <c r="U171" s="2" t="inlineStr">
        <is>
          <t>官網：可剛好放入COLOBO系列彩色櫃；價格：查詢日售價199（原價249）</t>
        </is>
      </c>
      <c r="V171" s="2" t="inlineStr"/>
    </row>
    <row r="172">
      <c r="A172" s="2" t="inlineStr">
        <is>
          <t>NITORI-056</t>
        </is>
      </c>
      <c r="B172" s="2" t="inlineStr">
        <is>
          <t>NITORI</t>
        </is>
      </c>
      <c r="C172" s="2" t="inlineStr">
        <is>
          <t>可水洗收納籃 NA</t>
        </is>
      </c>
      <c r="D172" s="2" t="inlineStr">
        <is>
          <t>可水洗收納籃 窄高型 NA</t>
        </is>
      </c>
      <c r="E172" s="2" t="inlineStr">
        <is>
          <t>8422113</t>
        </is>
      </c>
      <c r="F172" s="2" t="n">
        <v>19</v>
      </c>
      <c r="G172" s="2" t="n">
        <v>26</v>
      </c>
      <c r="H172" s="2" t="n">
        <v>24</v>
      </c>
      <c r="I172" s="2" t="n"/>
      <c r="J172" s="2" t="n"/>
      <c r="K172" s="2" t="n"/>
      <c r="L172" s="2" t="inlineStr">
        <is>
          <t>聚乙烯</t>
        </is>
      </c>
      <c r="M172" s="2" t="inlineStr">
        <is>
          <t>原木色</t>
        </is>
      </c>
      <c r="N172" s="2" t="inlineStr"/>
      <c r="O172" s="2" t="inlineStr">
        <is>
          <t>N</t>
        </is>
      </c>
      <c r="P172" s="2" t="n">
        <v>199</v>
      </c>
      <c r="Q172" s="2" t="inlineStr">
        <is>
          <t>2026-10-26</t>
        </is>
      </c>
      <c r="R172" s="3" t="inlineStr">
        <is>
          <t>https://www.nitori-net.tw/product/8422113</t>
        </is>
      </c>
      <c r="S172" s="2" t="inlineStr">
        <is>
          <t>官網</t>
        </is>
      </c>
      <c r="T172" s="2" t="inlineStr">
        <is>
          <t>high</t>
        </is>
      </c>
      <c r="U172" s="2" t="inlineStr">
        <is>
          <t>官網：可剛好放入COLOBO系列彩色櫃；價格：查詢日售價199（原價249）</t>
        </is>
      </c>
      <c r="V172" s="2" t="inlineStr"/>
    </row>
    <row r="173">
      <c r="A173" s="2" t="inlineStr">
        <is>
          <t>NITORI-057</t>
        </is>
      </c>
      <c r="B173" s="2" t="inlineStr">
        <is>
          <t>NITORI</t>
        </is>
      </c>
      <c r="C173" s="2" t="inlineStr">
        <is>
          <t>可水洗收納籃 NA</t>
        </is>
      </c>
      <c r="D173" s="2" t="inlineStr">
        <is>
          <t>可水洗收納籃 窄低型 NA</t>
        </is>
      </c>
      <c r="E173" s="2" t="inlineStr">
        <is>
          <t>8422114</t>
        </is>
      </c>
      <c r="F173" s="2" t="n">
        <v>19</v>
      </c>
      <c r="G173" s="2" t="n">
        <v>26</v>
      </c>
      <c r="H173" s="2" t="n">
        <v>12</v>
      </c>
      <c r="I173" s="2" t="n"/>
      <c r="J173" s="2" t="n"/>
      <c r="K173" s="2" t="n"/>
      <c r="L173" s="2" t="inlineStr">
        <is>
          <t>聚乙烯</t>
        </is>
      </c>
      <c r="M173" s="2" t="inlineStr">
        <is>
          <t>原木色</t>
        </is>
      </c>
      <c r="N173" s="2" t="inlineStr"/>
      <c r="O173" s="2" t="inlineStr">
        <is>
          <t>N</t>
        </is>
      </c>
      <c r="P173" s="2" t="n">
        <v>159</v>
      </c>
      <c r="Q173" s="2" t="inlineStr">
        <is>
          <t>2026-10-26</t>
        </is>
      </c>
      <c r="R173" s="3" t="inlineStr">
        <is>
          <t>https://www.nitori-net.tw/product/8422114</t>
        </is>
      </c>
      <c r="S173" s="2" t="inlineStr">
        <is>
          <t>官網</t>
        </is>
      </c>
      <c r="T173" s="2" t="inlineStr">
        <is>
          <t>high</t>
        </is>
      </c>
      <c r="U173" s="2" t="inlineStr">
        <is>
          <t>官網：可剛好放入COLOBO系列彩色櫃；價格：查詢日售價159（原價199）</t>
        </is>
      </c>
      <c r="V173" s="2" t="inlineStr"/>
    </row>
    <row r="174">
      <c r="A174" s="2" t="inlineStr">
        <is>
          <t>NITORI-058</t>
        </is>
      </c>
      <c r="B174" s="2" t="inlineStr">
        <is>
          <t>NITORI</t>
        </is>
      </c>
      <c r="C174" s="2" t="inlineStr">
        <is>
          <t>FAB</t>
        </is>
      </c>
      <c r="D174" s="2" t="inlineStr">
        <is>
          <t>整理盒 收納盒 FAB 寬高型</t>
        </is>
      </c>
      <c r="E174" s="2" t="inlineStr">
        <is>
          <t>8421081/8421091</t>
        </is>
      </c>
      <c r="F174" s="2" t="n">
        <v>38</v>
      </c>
      <c r="G174" s="2" t="n">
        <v>26</v>
      </c>
      <c r="H174" s="2" t="n">
        <v>24</v>
      </c>
      <c r="I174" s="2" t="n"/>
      <c r="J174" s="2" t="n"/>
      <c r="K174" s="2" t="n"/>
      <c r="L174" s="2" t="inlineStr">
        <is>
          <t>聚酯纖維</t>
        </is>
      </c>
      <c r="M174" s="2" t="inlineStr">
        <is>
          <t>米色/深褐色</t>
        </is>
      </c>
      <c r="N174" s="2" t="inlineStr"/>
      <c r="O174" s="2" t="inlineStr">
        <is>
          <t>N</t>
        </is>
      </c>
      <c r="P174" s="2" t="n">
        <v>149</v>
      </c>
      <c r="Q174" s="2" t="inlineStr">
        <is>
          <t>2026-10-26</t>
        </is>
      </c>
      <c r="R174" s="3" t="inlineStr">
        <is>
          <t>https://www.nitori-net.tw/product/8421081</t>
        </is>
      </c>
      <c r="S174" s="2" t="inlineStr">
        <is>
          <t>官網</t>
        </is>
      </c>
      <c r="T174" s="2" t="inlineStr">
        <is>
          <t>high</t>
        </is>
      </c>
      <c r="U174" s="2" t="inlineStr">
        <is>
          <t>布製；另有OUTLET品不列</t>
        </is>
      </c>
      <c r="V174" s="2" t="inlineStr"/>
    </row>
    <row r="175">
      <c r="A175" s="2" t="inlineStr">
        <is>
          <t>NITORI-059</t>
        </is>
      </c>
      <c r="B175" s="2" t="inlineStr">
        <is>
          <t>NITORI</t>
        </is>
      </c>
      <c r="C175" s="2" t="inlineStr">
        <is>
          <t>FAB</t>
        </is>
      </c>
      <c r="D175" s="2" t="inlineStr">
        <is>
          <t>附蓋整理盒 收納盒 FAB 寬高型</t>
        </is>
      </c>
      <c r="E175" s="2" t="inlineStr">
        <is>
          <t>8421085/8421095</t>
        </is>
      </c>
      <c r="F175" s="2" t="n">
        <v>38</v>
      </c>
      <c r="G175" s="2" t="n">
        <v>26</v>
      </c>
      <c r="H175" s="2" t="n">
        <v>24</v>
      </c>
      <c r="I175" s="2" t="n"/>
      <c r="J175" s="2" t="n"/>
      <c r="K175" s="2" t="n"/>
      <c r="L175" s="2" t="inlineStr">
        <is>
          <t>聚酯纖維</t>
        </is>
      </c>
      <c r="M175" s="2" t="inlineStr">
        <is>
          <t>米色/深褐色</t>
        </is>
      </c>
      <c r="N175" s="2" t="inlineStr"/>
      <c r="O175" s="2" t="inlineStr">
        <is>
          <t>Y</t>
        </is>
      </c>
      <c r="P175" s="2" t="n">
        <v>199</v>
      </c>
      <c r="Q175" s="2" t="inlineStr">
        <is>
          <t>2026-10-26</t>
        </is>
      </c>
      <c r="R175" s="3" t="inlineStr">
        <is>
          <t>https://www.nitori-net.tw/product/8421085</t>
        </is>
      </c>
      <c r="S175" s="2" t="inlineStr">
        <is>
          <t>官網</t>
        </is>
      </c>
      <c r="T175" s="2" t="inlineStr">
        <is>
          <t>high</t>
        </is>
      </c>
      <c r="U175" s="2" t="inlineStr">
        <is>
          <t>布製</t>
        </is>
      </c>
      <c r="V175" s="2" t="inlineStr"/>
    </row>
    <row r="176">
      <c r="A176" s="2" t="inlineStr">
        <is>
          <t>NITORI-060</t>
        </is>
      </c>
      <c r="B176" s="2" t="inlineStr">
        <is>
          <t>NITORI</t>
        </is>
      </c>
      <c r="C176" s="2" t="inlineStr">
        <is>
          <t>STO</t>
        </is>
      </c>
      <c r="D176" s="2" t="inlineStr">
        <is>
          <t>收納籃 STO 標準型</t>
        </is>
      </c>
      <c r="E176" s="2" t="inlineStr">
        <is>
          <t>8421219</t>
        </is>
      </c>
      <c r="F176" s="2" t="n">
        <v>38</v>
      </c>
      <c r="G176" s="2" t="n">
        <v>26</v>
      </c>
      <c r="H176" s="2" t="n">
        <v>24</v>
      </c>
      <c r="I176" s="2" t="n"/>
      <c r="J176" s="2" t="n"/>
      <c r="K176" s="2" t="n"/>
      <c r="L176" s="2" t="inlineStr">
        <is>
          <t>聚酯纖維 棉</t>
        </is>
      </c>
      <c r="M176" s="2" t="inlineStr">
        <is>
          <t>白色</t>
        </is>
      </c>
      <c r="N176" s="2" t="inlineStr"/>
      <c r="O176" s="2" t="inlineStr">
        <is>
          <t>N</t>
        </is>
      </c>
      <c r="P176" s="2" t="n">
        <v>179</v>
      </c>
      <c r="Q176" s="2" t="inlineStr">
        <is>
          <t>2026-10-26</t>
        </is>
      </c>
      <c r="R176" s="3" t="inlineStr">
        <is>
          <t>https://www.nitori-net.tw/product/8421219</t>
        </is>
      </c>
      <c r="S176" s="2" t="inlineStr">
        <is>
          <t>官網</t>
        </is>
      </c>
      <c r="T176" s="2" t="inlineStr">
        <is>
          <t>high</t>
        </is>
      </c>
      <c r="U176" s="2" t="inlineStr">
        <is>
          <t>布製；官網：可與彩色櫃搭配；說明另列窄型19×26×24公分但線上僅見標準型；價格：查詢日售價179（原價199）</t>
        </is>
      </c>
      <c r="V176" s="2" t="inlineStr"/>
    </row>
    <row r="177">
      <c r="A177" s="2" t="inlineStr">
        <is>
          <t>NITORI-061</t>
        </is>
      </c>
      <c r="B177" s="2" t="inlineStr">
        <is>
          <t>NITORI</t>
        </is>
      </c>
      <c r="C177" s="2" t="inlineStr">
        <is>
          <t>NT（DECO HOME）</t>
        </is>
      </c>
      <c r="D177" s="2" t="inlineStr">
        <is>
          <t>【DECO HOME商品】折疊收納盒 1/4款 gray NT338</t>
        </is>
      </c>
      <c r="E177" s="2" t="inlineStr">
        <is>
          <t>5840105</t>
        </is>
      </c>
      <c r="F177" s="2" t="n">
        <v>20</v>
      </c>
      <c r="G177" s="2" t="n">
        <v>28</v>
      </c>
      <c r="H177" s="2" t="n">
        <v>12</v>
      </c>
      <c r="I177" s="2" t="n"/>
      <c r="J177" s="2" t="n"/>
      <c r="K177" s="2" t="n"/>
      <c r="L177" s="2" t="inlineStr">
        <is>
          <t>聚氯乙烯、聚酯纖維、紙</t>
        </is>
      </c>
      <c r="M177" s="2" t="inlineStr">
        <is>
          <t>灰色</t>
        </is>
      </c>
      <c r="N177" s="2" t="inlineStr"/>
      <c r="O177" s="2" t="inlineStr">
        <is>
          <t>N</t>
        </is>
      </c>
      <c r="P177" s="2" t="n">
        <v>219</v>
      </c>
      <c r="Q177" s="2" t="inlineStr">
        <is>
          <t>2026-10-26</t>
        </is>
      </c>
      <c r="R177" s="3" t="inlineStr">
        <is>
          <t>https://www.nitori-net.tw/product/5840105</t>
        </is>
      </c>
      <c r="S177" s="2" t="inlineStr">
        <is>
          <t>官網</t>
        </is>
      </c>
      <c r="T177" s="2" t="inlineStr">
        <is>
          <t>high</t>
        </is>
      </c>
      <c r="U177" s="2" t="inlineStr">
        <is>
          <t>可折疊；DECO HOME商品</t>
        </is>
      </c>
      <c r="V177" s="2" t="inlineStr"/>
    </row>
    <row r="178">
      <c r="A178" s="2" t="inlineStr">
        <is>
          <t>NITORI-062</t>
        </is>
      </c>
      <c r="B178" s="2" t="inlineStr">
        <is>
          <t>NITORI</t>
        </is>
      </c>
      <c r="C178" s="2" t="inlineStr">
        <is>
          <t>NT（DECO HOME）</t>
        </is>
      </c>
      <c r="D178" s="2" t="inlineStr">
        <is>
          <t>【DECO HOME商品】折疊收納盒 低款 gray NT336</t>
        </is>
      </c>
      <c r="E178" s="2" t="inlineStr">
        <is>
          <t>5840104</t>
        </is>
      </c>
      <c r="F178" s="2" t="n">
        <v>39</v>
      </c>
      <c r="G178" s="2" t="n">
        <v>28</v>
      </c>
      <c r="H178" s="2" t="n">
        <v>12</v>
      </c>
      <c r="I178" s="2" t="n"/>
      <c r="J178" s="2" t="n"/>
      <c r="K178" s="2" t="n"/>
      <c r="L178" s="2" t="inlineStr">
        <is>
          <t>聚氯乙烯、聚酯纖維、紙</t>
        </is>
      </c>
      <c r="M178" s="2" t="inlineStr">
        <is>
          <t>灰色</t>
        </is>
      </c>
      <c r="N178" s="2" t="inlineStr"/>
      <c r="O178" s="2" t="inlineStr">
        <is>
          <t>N</t>
        </is>
      </c>
      <c r="P178" s="2" t="n">
        <v>299</v>
      </c>
      <c r="Q178" s="2" t="inlineStr">
        <is>
          <t>2026-10-26</t>
        </is>
      </c>
      <c r="R178" s="3" t="inlineStr">
        <is>
          <t>https://www.nitori-net.tw/product/5840104</t>
        </is>
      </c>
      <c r="S178" s="2" t="inlineStr">
        <is>
          <t>官網</t>
        </is>
      </c>
      <c r="T178" s="2" t="inlineStr">
        <is>
          <t>high</t>
        </is>
      </c>
      <c r="U178" s="2" t="inlineStr">
        <is>
          <t>可折疊；DECO HOME商品</t>
        </is>
      </c>
      <c r="V178" s="2" t="inlineStr"/>
    </row>
    <row r="179">
      <c r="A179" s="2" t="inlineStr">
        <is>
          <t>NITORI-063</t>
        </is>
      </c>
      <c r="B179" s="2" t="inlineStr">
        <is>
          <t>NITORI</t>
        </is>
      </c>
      <c r="C179" s="2" t="inlineStr">
        <is>
          <t>NT（DECO HOME）</t>
        </is>
      </c>
      <c r="D179" s="2" t="inlineStr">
        <is>
          <t>【DECO HOME商品】折疊收納盒 GY NT232</t>
        </is>
      </c>
      <c r="E179" s="2" t="inlineStr">
        <is>
          <t>5840293</t>
        </is>
      </c>
      <c r="F179" s="2" t="n">
        <v>39</v>
      </c>
      <c r="G179" s="2" t="n">
        <v>29</v>
      </c>
      <c r="H179" s="2" t="n">
        <v>24</v>
      </c>
      <c r="I179" s="2" t="n"/>
      <c r="J179" s="2" t="n"/>
      <c r="K179" s="2" t="n"/>
      <c r="L179" s="2" t="inlineStr">
        <is>
          <t>聚氯乙烯、聚酯纖維、紙</t>
        </is>
      </c>
      <c r="M179" s="2" t="inlineStr">
        <is>
          <t>灰色</t>
        </is>
      </c>
      <c r="N179" s="2" t="inlineStr"/>
      <c r="O179" s="2" t="inlineStr">
        <is>
          <t>N</t>
        </is>
      </c>
      <c r="P179" s="2" t="n">
        <v>349</v>
      </c>
      <c r="Q179" s="2" t="inlineStr">
        <is>
          <t>2026-10-26</t>
        </is>
      </c>
      <c r="R179" s="3" t="inlineStr">
        <is>
          <t>https://www.nitori-net.tw/product/5840293</t>
        </is>
      </c>
      <c r="S179" s="2" t="inlineStr">
        <is>
          <t>官網</t>
        </is>
      </c>
      <c r="T179" s="2" t="inlineStr">
        <is>
          <t>high</t>
        </is>
      </c>
      <c r="U179" s="2" t="inlineStr">
        <is>
          <t>可折疊；DECO HOME商品</t>
        </is>
      </c>
      <c r="V179" s="2" t="inlineStr"/>
    </row>
    <row r="180">
      <c r="A180" s="2" t="inlineStr">
        <is>
          <t>NITORI-064</t>
        </is>
      </c>
      <c r="B180" s="2" t="inlineStr">
        <is>
          <t>NITORI</t>
        </is>
      </c>
      <c r="C180" s="2" t="inlineStr">
        <is>
          <t>CL412（DECO HOME）</t>
        </is>
      </c>
      <c r="D180" s="2" t="inlineStr">
        <is>
          <t>【DECO HOME商品】附蓋折疊收納盒 CL412(DH)</t>
        </is>
      </c>
      <c r="E180" s="2" t="inlineStr">
        <is>
          <t>5840057/5840058</t>
        </is>
      </c>
      <c r="F180" s="2" t="n">
        <v>38.9</v>
      </c>
      <c r="G180" s="2" t="n">
        <v>26.6</v>
      </c>
      <c r="H180" s="2" t="n">
        <v>23.6</v>
      </c>
      <c r="I180" s="2" t="n"/>
      <c r="J180" s="2" t="n"/>
      <c r="K180" s="2" t="n"/>
      <c r="L180" s="2" t="inlineStr">
        <is>
          <t>聚酯纖維</t>
        </is>
      </c>
      <c r="M180" s="2" t="inlineStr">
        <is>
          <t>象牙白/摩卡色</t>
        </is>
      </c>
      <c r="N180" s="2" t="inlineStr"/>
      <c r="O180" s="2" t="inlineStr">
        <is>
          <t>Y</t>
        </is>
      </c>
      <c r="P180" s="2" t="n">
        <v>279</v>
      </c>
      <c r="Q180" s="2" t="inlineStr">
        <is>
          <t>2026-10-26</t>
        </is>
      </c>
      <c r="R180" s="3" t="inlineStr">
        <is>
          <t>https://www.nitori-net.tw/product/5840057</t>
        </is>
      </c>
      <c r="S180" s="2" t="inlineStr">
        <is>
          <t>官網</t>
        </is>
      </c>
      <c r="T180" s="2" t="inlineStr">
        <is>
          <t>medium</t>
        </is>
      </c>
      <c r="U180" s="2" t="inlineStr">
        <is>
          <t>可折疊；資料衝突：說明欄標示約39.5×26.8×23.5公分，此列依規格欄；價格：查詢日售價279（原價299）</t>
        </is>
      </c>
      <c r="V180" s="2" t="inlineStr"/>
    </row>
    <row r="181">
      <c r="A181" s="2" t="inlineStr">
        <is>
          <t>NITORI-065</t>
        </is>
      </c>
      <c r="B181" s="2" t="inlineStr">
        <is>
          <t>NITORI</t>
        </is>
      </c>
      <c r="C181" s="2" t="inlineStr">
        <is>
          <t>DH3N（DECO HOME）</t>
        </is>
      </c>
      <c r="D181" s="2" t="inlineStr">
        <is>
          <t>【DECO HOME商品】收納盒 寬高型 DH3N(DH)</t>
        </is>
      </c>
      <c r="E181" s="2" t="inlineStr">
        <is>
          <t>2113200003783</t>
        </is>
      </c>
      <c r="F181" s="2" t="n">
        <v>38</v>
      </c>
      <c r="G181" s="2" t="n">
        <v>26</v>
      </c>
      <c r="H181" s="2" t="n">
        <v>24</v>
      </c>
      <c r="I181" s="2" t="n"/>
      <c r="J181" s="2" t="n"/>
      <c r="K181" s="2" t="n"/>
      <c r="L181" s="2" t="inlineStr">
        <is>
          <t>聚酯纖維、紙</t>
        </is>
      </c>
      <c r="M181" s="2" t="inlineStr">
        <is>
          <t>米色</t>
        </is>
      </c>
      <c r="N181" s="2" t="inlineStr"/>
      <c r="O181" s="2" t="inlineStr">
        <is>
          <t>N</t>
        </is>
      </c>
      <c r="P181" s="2" t="n">
        <v>349</v>
      </c>
      <c r="Q181" s="2" t="inlineStr">
        <is>
          <t>2026-10-26</t>
        </is>
      </c>
      <c r="R181" s="3" t="inlineStr">
        <is>
          <t>https://www.nitori-net.tw/product/2113200003783</t>
        </is>
      </c>
      <c r="S181" s="2" t="inlineStr">
        <is>
          <t>官網</t>
        </is>
      </c>
      <c r="T181" s="2" t="inlineStr">
        <is>
          <t>high</t>
        </is>
      </c>
      <c r="U181" s="2" t="inlineStr">
        <is>
          <t>另售蓋：寬型收納盒蓋 DH3N(2113200003813，約38.5×26.5×0.7公分)</t>
        </is>
      </c>
      <c r="V181" s="2" t="inlineStr"/>
    </row>
    <row r="182">
      <c r="A182" s="2" t="inlineStr">
        <is>
          <t>NITORI-066</t>
        </is>
      </c>
      <c r="B182" s="2" t="inlineStr">
        <is>
          <t>NITORI</t>
        </is>
      </c>
      <c r="C182" s="2" t="inlineStr">
        <is>
          <t>DH3N（DECO HOME）</t>
        </is>
      </c>
      <c r="D182" s="2" t="inlineStr">
        <is>
          <t>【DECO HOME商品】收納盒 寬低型 DH3N(DH)</t>
        </is>
      </c>
      <c r="E182" s="2" t="inlineStr">
        <is>
          <t>2113200003790</t>
        </is>
      </c>
      <c r="F182" s="2" t="n">
        <v>38</v>
      </c>
      <c r="G182" s="2" t="n">
        <v>26</v>
      </c>
      <c r="H182" s="2" t="n">
        <v>12</v>
      </c>
      <c r="I182" s="2" t="n"/>
      <c r="J182" s="2" t="n"/>
      <c r="K182" s="2" t="n"/>
      <c r="L182" s="2" t="inlineStr">
        <is>
          <t>聚酯纖維、紙</t>
        </is>
      </c>
      <c r="M182" s="2" t="inlineStr">
        <is>
          <t>米色</t>
        </is>
      </c>
      <c r="N182" s="2" t="inlineStr"/>
      <c r="O182" s="2" t="inlineStr">
        <is>
          <t>N</t>
        </is>
      </c>
      <c r="P182" s="2" t="n">
        <v>299</v>
      </c>
      <c r="Q182" s="2" t="inlineStr">
        <is>
          <t>2026-10-26</t>
        </is>
      </c>
      <c r="R182" s="3" t="inlineStr">
        <is>
          <t>https://www.nitori-net.tw/product/2113200003790</t>
        </is>
      </c>
      <c r="S182" s="2" t="inlineStr">
        <is>
          <t>官網</t>
        </is>
      </c>
      <c r="T182" s="2" t="inlineStr">
        <is>
          <t>high</t>
        </is>
      </c>
      <c r="U182" s="2" t="inlineStr">
        <is>
          <t>另售蓋：寬型收納盒蓋 DH3N(2113200003813，約38.5×26.5×0.7公分)</t>
        </is>
      </c>
      <c r="V182" s="2" t="inlineStr"/>
    </row>
    <row r="183">
      <c r="A183" s="2" t="inlineStr">
        <is>
          <t>NITORI-067</t>
        </is>
      </c>
      <c r="B183" s="2" t="inlineStr">
        <is>
          <t>NITORI</t>
        </is>
      </c>
      <c r="C183" s="2" t="inlineStr">
        <is>
          <t>DH3N（DECO HOME）</t>
        </is>
      </c>
      <c r="D183" s="2" t="inlineStr">
        <is>
          <t>【DECO HOME商品】收納盒 窄低型 DH3N(DH)</t>
        </is>
      </c>
      <c r="E183" s="2" t="inlineStr">
        <is>
          <t>2113200003806</t>
        </is>
      </c>
      <c r="F183" s="2" t="n">
        <v>19</v>
      </c>
      <c r="G183" s="2" t="n">
        <v>26</v>
      </c>
      <c r="H183" s="2" t="n">
        <v>12</v>
      </c>
      <c r="I183" s="2" t="n"/>
      <c r="J183" s="2" t="n"/>
      <c r="K183" s="2" t="n"/>
      <c r="L183" s="2" t="inlineStr">
        <is>
          <t>聚酯纖維、紙</t>
        </is>
      </c>
      <c r="M183" s="2" t="inlineStr">
        <is>
          <t>米色</t>
        </is>
      </c>
      <c r="N183" s="2" t="inlineStr"/>
      <c r="O183" s="2" t="inlineStr">
        <is>
          <t>N</t>
        </is>
      </c>
      <c r="P183" s="2" t="n">
        <v>249</v>
      </c>
      <c r="Q183" s="2" t="inlineStr">
        <is>
          <t>2026-10-26</t>
        </is>
      </c>
      <c r="R183" s="3" t="inlineStr">
        <is>
          <t>https://www.nitori-net.tw/product/2113200003806</t>
        </is>
      </c>
      <c r="S183" s="2" t="inlineStr">
        <is>
          <t>官網</t>
        </is>
      </c>
      <c r="T183" s="2" t="inlineStr">
        <is>
          <t>high</t>
        </is>
      </c>
      <c r="U183" s="2" t="inlineStr">
        <is>
          <t>另售蓋：窄型收納盒蓋 DH3N(2113200003820，約19×26.1×0.7公分)</t>
        </is>
      </c>
      <c r="V183" s="2" t="inlineStr"/>
    </row>
    <row r="184">
      <c r="A184" s="2" t="inlineStr">
        <is>
          <t>NITORI-068</t>
        </is>
      </c>
      <c r="B184" s="2" t="inlineStr">
        <is>
          <t>NITORI</t>
        </is>
      </c>
      <c r="C184" s="2" t="inlineStr">
        <is>
          <t>DH3N（DECO HOME）</t>
        </is>
      </c>
      <c r="D184" s="2" t="inlineStr">
        <is>
          <t>【DECO HOME商品】附輪收納盒 DH3N3038(DH)</t>
        </is>
      </c>
      <c r="E184" s="2" t="inlineStr">
        <is>
          <t>2113200003837</t>
        </is>
      </c>
      <c r="F184" s="2" t="n">
        <v>26</v>
      </c>
      <c r="G184" s="2" t="n">
        <v>38</v>
      </c>
      <c r="H184" s="2" t="n">
        <v>35.3</v>
      </c>
      <c r="I184" s="2" t="n"/>
      <c r="J184" s="2" t="n"/>
      <c r="K184" s="2" t="n"/>
      <c r="L184" s="2" t="inlineStr">
        <is>
          <t>聚酯纖維、紙</t>
        </is>
      </c>
      <c r="M184" s="2" t="inlineStr">
        <is>
          <t>米色</t>
        </is>
      </c>
      <c r="N184" s="2" t="inlineStr"/>
      <c r="O184" s="2" t="inlineStr">
        <is>
          <t>N</t>
        </is>
      </c>
      <c r="P184" s="2" t="n">
        <v>599</v>
      </c>
      <c r="Q184" s="2" t="inlineStr">
        <is>
          <t>2026-10-26</t>
        </is>
      </c>
      <c r="R184" s="3" t="inlineStr">
        <is>
          <t>https://www.nitori-net.tw/product/2113200003837</t>
        </is>
      </c>
      <c r="S184" s="2" t="inlineStr">
        <is>
          <t>官網</t>
        </is>
      </c>
      <c r="T184" s="2" t="inlineStr">
        <is>
          <t>high</t>
        </is>
      </c>
      <c r="U184" s="2" t="inlineStr">
        <is>
          <t>附輪；高度是否含輪官網未說明</t>
        </is>
      </c>
      <c r="V184" s="2" t="inlineStr"/>
    </row>
    <row r="185">
      <c r="A185" s="2" t="inlineStr">
        <is>
          <t>NITORI-069</t>
        </is>
      </c>
      <c r="B185" s="2" t="inlineStr">
        <is>
          <t>NITORI</t>
        </is>
      </c>
      <c r="C185" s="2" t="inlineStr">
        <is>
          <t>LAIRA3</t>
        </is>
      </c>
      <c r="D185" s="2" t="inlineStr">
        <is>
          <t>編織收納籃 LAIRA3 標準型</t>
        </is>
      </c>
      <c r="E185" s="2" t="inlineStr">
        <is>
          <t>8420811/8420828</t>
        </is>
      </c>
      <c r="F185" s="2" t="n">
        <v>38</v>
      </c>
      <c r="G185" s="2" t="n">
        <v>26</v>
      </c>
      <c r="H185" s="2" t="n">
        <v>24</v>
      </c>
      <c r="I185" s="2" t="n"/>
      <c r="J185" s="2" t="n"/>
      <c r="K185" s="2" t="n"/>
      <c r="L185" s="2" t="inlineStr">
        <is>
          <t>紙</t>
        </is>
      </c>
      <c r="M185" s="2" t="inlineStr">
        <is>
          <t>淺褐色/淺灰色</t>
        </is>
      </c>
      <c r="N185" s="2" t="inlineStr"/>
      <c r="O185" s="2" t="inlineStr">
        <is>
          <t>N</t>
        </is>
      </c>
      <c r="P185" s="2" t="n">
        <v>299</v>
      </c>
      <c r="Q185" s="2" t="inlineStr">
        <is>
          <t>2026-10-26</t>
        </is>
      </c>
      <c r="R185" s="3" t="inlineStr">
        <is>
          <t>https://www.nitori-net.tw/product/8420811</t>
        </is>
      </c>
      <c r="S185" s="2" t="inlineStr">
        <is>
          <t>官網</t>
        </is>
      </c>
      <c r="T185" s="2" t="inlineStr">
        <is>
          <t>high</t>
        </is>
      </c>
      <c r="U185" s="2" t="inlineStr">
        <is>
          <t>官網尺寸一覽：寬高型(標準型)/寬低型(橫式半格型)/窄高型(直式半格型)/窄低型(四分之一型)；價格：查詢日售價299（原價349）</t>
        </is>
      </c>
      <c r="V185" s="2" t="inlineStr"/>
    </row>
    <row r="186">
      <c r="A186" s="2" t="inlineStr">
        <is>
          <t>NITORI-070</t>
        </is>
      </c>
      <c r="B186" s="2" t="inlineStr">
        <is>
          <t>NITORI</t>
        </is>
      </c>
      <c r="C186" s="2" t="inlineStr">
        <is>
          <t>LAIRA3</t>
        </is>
      </c>
      <c r="D186" s="2" t="inlineStr">
        <is>
          <t>編織收納籃 LAIRA3 橫式半格型</t>
        </is>
      </c>
      <c r="E186" s="2" t="inlineStr">
        <is>
          <t>8420812/8420845</t>
        </is>
      </c>
      <c r="F186" s="2" t="n">
        <v>38</v>
      </c>
      <c r="G186" s="2" t="n">
        <v>26</v>
      </c>
      <c r="H186" s="2" t="n">
        <v>12</v>
      </c>
      <c r="I186" s="2" t="n"/>
      <c r="J186" s="2" t="n"/>
      <c r="K186" s="2" t="n"/>
      <c r="L186" s="2" t="inlineStr">
        <is>
          <t>紙</t>
        </is>
      </c>
      <c r="M186" s="2" t="inlineStr">
        <is>
          <t>淺褐色/淺灰色</t>
        </is>
      </c>
      <c r="N186" s="2" t="inlineStr"/>
      <c r="O186" s="2" t="inlineStr">
        <is>
          <t>N</t>
        </is>
      </c>
      <c r="P186" s="2" t="n">
        <v>219</v>
      </c>
      <c r="Q186" s="2" t="inlineStr">
        <is>
          <t>2026-10-26</t>
        </is>
      </c>
      <c r="R186" s="3" t="inlineStr">
        <is>
          <t>https://www.nitori-net.tw/product/8420812</t>
        </is>
      </c>
      <c r="S186" s="2" t="inlineStr">
        <is>
          <t>官網</t>
        </is>
      </c>
      <c r="T186" s="2" t="inlineStr">
        <is>
          <t>high</t>
        </is>
      </c>
      <c r="U186" s="2" t="inlineStr">
        <is>
          <t>官網尺寸一覽：寬高型(標準型)/寬低型(橫式半格型)/窄高型(直式半格型)/窄低型(四分之一型)；價格：查詢日售價219（原價249）</t>
        </is>
      </c>
      <c r="V186" s="2" t="inlineStr"/>
    </row>
    <row r="187">
      <c r="A187" s="2" t="inlineStr">
        <is>
          <t>NITORI-071</t>
        </is>
      </c>
      <c r="B187" s="2" t="inlineStr">
        <is>
          <t>NITORI</t>
        </is>
      </c>
      <c r="C187" s="2" t="inlineStr">
        <is>
          <t>LAIRA3</t>
        </is>
      </c>
      <c r="D187" s="2" t="inlineStr">
        <is>
          <t>編織收納籃 LAIRA3 直式半格型</t>
        </is>
      </c>
      <c r="E187" s="2" t="inlineStr">
        <is>
          <t>8420813/8420829</t>
        </is>
      </c>
      <c r="F187" s="2" t="n">
        <v>19</v>
      </c>
      <c r="G187" s="2" t="n">
        <v>26</v>
      </c>
      <c r="H187" s="2" t="n">
        <v>24</v>
      </c>
      <c r="I187" s="2" t="n"/>
      <c r="J187" s="2" t="n"/>
      <c r="K187" s="2" t="n"/>
      <c r="L187" s="2" t="inlineStr">
        <is>
          <t>紙</t>
        </is>
      </c>
      <c r="M187" s="2" t="inlineStr">
        <is>
          <t>淺褐色/淺灰色</t>
        </is>
      </c>
      <c r="N187" s="2" t="inlineStr"/>
      <c r="O187" s="2" t="inlineStr">
        <is>
          <t>N</t>
        </is>
      </c>
      <c r="P187" s="2" t="n">
        <v>219</v>
      </c>
      <c r="Q187" s="2" t="inlineStr">
        <is>
          <t>2026-10-26</t>
        </is>
      </c>
      <c r="R187" s="3" t="inlineStr">
        <is>
          <t>https://www.nitori-net.tw/product/8420813</t>
        </is>
      </c>
      <c r="S187" s="2" t="inlineStr">
        <is>
          <t>官網</t>
        </is>
      </c>
      <c r="T187" s="2" t="inlineStr">
        <is>
          <t>high</t>
        </is>
      </c>
      <c r="U187" s="2" t="inlineStr">
        <is>
          <t>官網尺寸一覽：寬高型(標準型)/寬低型(橫式半格型)/窄高型(直式半格型)/窄低型(四分之一型)；價格：查詢日售價219（原價249）</t>
        </is>
      </c>
      <c r="V187" s="2" t="inlineStr"/>
    </row>
    <row r="188">
      <c r="A188" s="2" t="inlineStr">
        <is>
          <t>NITORI-072</t>
        </is>
      </c>
      <c r="B188" s="2" t="inlineStr">
        <is>
          <t>NITORI</t>
        </is>
      </c>
      <c r="C188" s="2" t="inlineStr">
        <is>
          <t>LAIRA3</t>
        </is>
      </c>
      <c r="D188" s="2" t="inlineStr">
        <is>
          <t>編織收納籃 LAIRA3 四分之一型</t>
        </is>
      </c>
      <c r="E188" s="2" t="inlineStr">
        <is>
          <t>8420814/8420846</t>
        </is>
      </c>
      <c r="F188" s="2" t="n">
        <v>19</v>
      </c>
      <c r="G188" s="2" t="n">
        <v>26</v>
      </c>
      <c r="H188" s="2" t="n">
        <v>12</v>
      </c>
      <c r="I188" s="2" t="n"/>
      <c r="J188" s="2" t="n"/>
      <c r="K188" s="2" t="n"/>
      <c r="L188" s="2" t="inlineStr">
        <is>
          <t>紙</t>
        </is>
      </c>
      <c r="M188" s="2" t="inlineStr">
        <is>
          <t>淺褐色/淺灰色</t>
        </is>
      </c>
      <c r="N188" s="2" t="inlineStr"/>
      <c r="O188" s="2" t="inlineStr">
        <is>
          <t>N</t>
        </is>
      </c>
      <c r="P188" s="2" t="n">
        <v>179</v>
      </c>
      <c r="Q188" s="2" t="inlineStr">
        <is>
          <t>2026-10-26</t>
        </is>
      </c>
      <c r="R188" s="3" t="inlineStr">
        <is>
          <t>https://www.nitori-net.tw/product/8420814</t>
        </is>
      </c>
      <c r="S188" s="2" t="inlineStr">
        <is>
          <t>官網</t>
        </is>
      </c>
      <c r="T188" s="2" t="inlineStr">
        <is>
          <t>high</t>
        </is>
      </c>
      <c r="U188" s="2" t="inlineStr">
        <is>
          <t>官網尺寸一覽：寬高型(標準型)/寬低型(橫式半格型)/窄高型(直式半格型)/窄低型(四分之一型)；價格：查詢日售價179（原價199）</t>
        </is>
      </c>
      <c r="V188" s="2" t="inlineStr"/>
    </row>
    <row r="189">
      <c r="A189" s="2" t="inlineStr">
        <is>
          <t>NITORI-073</t>
        </is>
      </c>
      <c r="B189" s="2" t="inlineStr">
        <is>
          <t>NITORI</t>
        </is>
      </c>
      <c r="C189" s="2" t="inlineStr">
        <is>
          <t>TI02</t>
        </is>
      </c>
      <c r="D189" s="2" t="inlineStr">
        <is>
          <t>編織收納籃 TI02 寬高型</t>
        </is>
      </c>
      <c r="E189" s="2" t="inlineStr">
        <is>
          <t>2113200010194/2113200010231/2113200010279</t>
        </is>
      </c>
      <c r="F189" s="2" t="n">
        <v>38</v>
      </c>
      <c r="G189" s="2" t="n">
        <v>26</v>
      </c>
      <c r="H189" s="2" t="n">
        <v>24</v>
      </c>
      <c r="I189" s="2" t="n"/>
      <c r="J189" s="2" t="n"/>
      <c r="K189" s="2" t="n"/>
      <c r="L189" s="2" t="inlineStr">
        <is>
          <t>聚丙烯、鋼</t>
        </is>
      </c>
      <c r="M189" s="2" t="inlineStr">
        <is>
          <t>白色/米色/暗褐色</t>
        </is>
      </c>
      <c r="N189" s="2" t="inlineStr"/>
      <c r="O189" s="2" t="inlineStr">
        <is>
          <t>N</t>
        </is>
      </c>
      <c r="P189" s="2" t="n">
        <v>249</v>
      </c>
      <c r="Q189" s="2" t="inlineStr">
        <is>
          <t>2026-10-26</t>
        </is>
      </c>
      <c r="R189" s="3" t="inlineStr">
        <is>
          <t>https://www.nitori-net.tw/product/2113200010194</t>
        </is>
      </c>
      <c r="S189" s="2" t="inlineStr">
        <is>
          <t>官網</t>
        </is>
      </c>
      <c r="T189" s="2" t="inlineStr">
        <is>
          <t>high</t>
        </is>
      </c>
      <c r="U189" s="2" t="inlineStr">
        <is>
          <t>官網：適合放入一格收納櫃；另有上寬高型(49×35×26)超過40公分不列</t>
        </is>
      </c>
      <c r="V189" s="2" t="inlineStr"/>
    </row>
    <row r="190">
      <c r="A190" s="2" t="inlineStr">
        <is>
          <t>NITORI-074</t>
        </is>
      </c>
      <c r="B190" s="2" t="inlineStr">
        <is>
          <t>NITORI</t>
        </is>
      </c>
      <c r="C190" s="2" t="inlineStr">
        <is>
          <t>TI02</t>
        </is>
      </c>
      <c r="D190" s="2" t="inlineStr">
        <is>
          <t>編織收納籃 TI02 寬低型</t>
        </is>
      </c>
      <c r="E190" s="2" t="inlineStr">
        <is>
          <t>2113200010200/2113200010248/2113200010286</t>
        </is>
      </c>
      <c r="F190" s="2" t="n">
        <v>38</v>
      </c>
      <c r="G190" s="2" t="n">
        <v>26</v>
      </c>
      <c r="H190" s="2" t="n">
        <v>12</v>
      </c>
      <c r="I190" s="2" t="n"/>
      <c r="J190" s="2" t="n"/>
      <c r="K190" s="2" t="n"/>
      <c r="L190" s="2" t="inlineStr">
        <is>
          <t>聚丙烯、鋼</t>
        </is>
      </c>
      <c r="M190" s="2" t="inlineStr">
        <is>
          <t>白色/米色/暗褐色</t>
        </is>
      </c>
      <c r="N190" s="2" t="inlineStr"/>
      <c r="O190" s="2" t="inlineStr">
        <is>
          <t>N</t>
        </is>
      </c>
      <c r="P190" s="2" t="n">
        <v>199</v>
      </c>
      <c r="Q190" s="2" t="inlineStr">
        <is>
          <t>2026-10-26</t>
        </is>
      </c>
      <c r="R190" s="3" t="inlineStr">
        <is>
          <t>https://www.nitori-net.tw/product/2113200010200</t>
        </is>
      </c>
      <c r="S190" s="2" t="inlineStr">
        <is>
          <t>官網</t>
        </is>
      </c>
      <c r="T190" s="2" t="inlineStr">
        <is>
          <t>high</t>
        </is>
      </c>
      <c r="U190" s="2" t="inlineStr">
        <is>
          <t>官網：適合放入一格收納櫃；另有上寬高型(49×35×26)超過40公分不列</t>
        </is>
      </c>
      <c r="V190" s="2" t="inlineStr"/>
    </row>
    <row r="191">
      <c r="A191" s="2" t="inlineStr">
        <is>
          <t>NITORI-075</t>
        </is>
      </c>
      <c r="B191" s="2" t="inlineStr">
        <is>
          <t>NITORI</t>
        </is>
      </c>
      <c r="C191" s="2" t="inlineStr">
        <is>
          <t>TI02</t>
        </is>
      </c>
      <c r="D191" s="2" t="inlineStr">
        <is>
          <t>編織收納籃 TI02 窄高型</t>
        </is>
      </c>
      <c r="E191" s="2" t="inlineStr">
        <is>
          <t>2113200010217/2113200010255/2113200010293</t>
        </is>
      </c>
      <c r="F191" s="2" t="n">
        <v>19</v>
      </c>
      <c r="G191" s="2" t="n">
        <v>26</v>
      </c>
      <c r="H191" s="2" t="n">
        <v>24</v>
      </c>
      <c r="I191" s="2" t="n"/>
      <c r="J191" s="2" t="n"/>
      <c r="K191" s="2" t="n"/>
      <c r="L191" s="2" t="inlineStr">
        <is>
          <t>聚丙烯、鋼</t>
        </is>
      </c>
      <c r="M191" s="2" t="inlineStr">
        <is>
          <t>白色/米色/暗褐色</t>
        </is>
      </c>
      <c r="N191" s="2" t="inlineStr"/>
      <c r="O191" s="2" t="inlineStr">
        <is>
          <t>N</t>
        </is>
      </c>
      <c r="P191" s="2" t="n">
        <v>199</v>
      </c>
      <c r="Q191" s="2" t="inlineStr">
        <is>
          <t>2026-10-26</t>
        </is>
      </c>
      <c r="R191" s="3" t="inlineStr">
        <is>
          <t>https://www.nitori-net.tw/product/2113200010217</t>
        </is>
      </c>
      <c r="S191" s="2" t="inlineStr">
        <is>
          <t>官網</t>
        </is>
      </c>
      <c r="T191" s="2" t="inlineStr">
        <is>
          <t>high</t>
        </is>
      </c>
      <c r="U191" s="2" t="inlineStr">
        <is>
          <t>官網：適合放入一格收納櫃；另有上寬高型(49×35×26)超過40公分不列</t>
        </is>
      </c>
      <c r="V191" s="2" t="inlineStr"/>
    </row>
    <row r="192">
      <c r="A192" s="2" t="inlineStr">
        <is>
          <t>NITORI-076</t>
        </is>
      </c>
      <c r="B192" s="2" t="inlineStr">
        <is>
          <t>NITORI</t>
        </is>
      </c>
      <c r="C192" s="2" t="inlineStr">
        <is>
          <t>TI02</t>
        </is>
      </c>
      <c r="D192" s="2" t="inlineStr">
        <is>
          <t>編織收納籃 TI02 窄低型</t>
        </is>
      </c>
      <c r="E192" s="2" t="inlineStr">
        <is>
          <t>2113200010224/2113200010262/2113200010309</t>
        </is>
      </c>
      <c r="F192" s="2" t="n">
        <v>19</v>
      </c>
      <c r="G192" s="2" t="n">
        <v>26</v>
      </c>
      <c r="H192" s="2" t="n">
        <v>12</v>
      </c>
      <c r="I192" s="2" t="n"/>
      <c r="J192" s="2" t="n"/>
      <c r="K192" s="2" t="n"/>
      <c r="L192" s="2" t="inlineStr">
        <is>
          <t>聚丙烯、鋼</t>
        </is>
      </c>
      <c r="M192" s="2" t="inlineStr">
        <is>
          <t>白色/米色/暗褐色</t>
        </is>
      </c>
      <c r="N192" s="2" t="inlineStr"/>
      <c r="O192" s="2" t="inlineStr">
        <is>
          <t>N</t>
        </is>
      </c>
      <c r="P192" s="2" t="n">
        <v>149</v>
      </c>
      <c r="Q192" s="2" t="inlineStr">
        <is>
          <t>2026-10-26</t>
        </is>
      </c>
      <c r="R192" s="3" t="inlineStr">
        <is>
          <t>https://www.nitori-net.tw/product/2113200010224</t>
        </is>
      </c>
      <c r="S192" s="2" t="inlineStr">
        <is>
          <t>官網</t>
        </is>
      </c>
      <c r="T192" s="2" t="inlineStr">
        <is>
          <t>high</t>
        </is>
      </c>
      <c r="U192" s="2" t="inlineStr">
        <is>
          <t>官網：適合放入一格收納櫃；另有上寬高型(49×35×26)超過40公分不列</t>
        </is>
      </c>
      <c r="V192" s="2" t="inlineStr"/>
    </row>
    <row r="193">
      <c r="A193" s="2" t="inlineStr">
        <is>
          <t>NITORI-077</t>
        </is>
      </c>
      <c r="B193" s="2" t="inlineStr">
        <is>
          <t>NITORI</t>
        </is>
      </c>
      <c r="C193" s="2" t="inlineStr">
        <is>
          <t>MUSCA</t>
        </is>
      </c>
      <c r="D193" s="2" t="inlineStr">
        <is>
          <t>(網購限定)收納籃 MUSCA 寬高型(EC)</t>
        </is>
      </c>
      <c r="E193" s="2" t="inlineStr">
        <is>
          <t>8161063</t>
        </is>
      </c>
      <c r="F193" s="2" t="n">
        <v>38</v>
      </c>
      <c r="G193" s="2" t="n">
        <v>27</v>
      </c>
      <c r="H193" s="2" t="n">
        <v>23.5</v>
      </c>
      <c r="I193" s="2" t="n"/>
      <c r="J193" s="2" t="n"/>
      <c r="K193" s="2" t="n"/>
      <c r="L193" s="2" t="inlineStr">
        <is>
          <t>布袋蓮</t>
        </is>
      </c>
      <c r="M193" s="2" t="inlineStr">
        <is>
          <t>原木色</t>
        </is>
      </c>
      <c r="N193" s="2" t="inlineStr"/>
      <c r="O193" s="2" t="inlineStr">
        <is>
          <t>N</t>
        </is>
      </c>
      <c r="P193" s="2" t="n">
        <v>399</v>
      </c>
      <c r="Q193" s="2" t="inlineStr">
        <is>
          <t>2026-10-26</t>
        </is>
      </c>
      <c r="R193" s="3" t="inlineStr">
        <is>
          <t>https://www.nitori-net.tw/product/8161063</t>
        </is>
      </c>
      <c r="S193" s="2" t="inlineStr">
        <is>
          <t>官網</t>
        </is>
      </c>
      <c r="T193" s="2" t="inlineStr">
        <is>
          <t>high</t>
        </is>
      </c>
      <c r="U193" s="2" t="inlineStr">
        <is>
          <t>網購限定；天然素材，顏色、形狀及尺寸可能略有差異（官網說明）</t>
        </is>
      </c>
      <c r="V193" s="2" t="inlineStr"/>
    </row>
    <row r="194">
      <c r="A194" s="2" t="inlineStr">
        <is>
          <t>NITORI-078</t>
        </is>
      </c>
      <c r="B194" s="2" t="inlineStr">
        <is>
          <t>NITORI</t>
        </is>
      </c>
      <c r="C194" s="2" t="inlineStr">
        <is>
          <t>MUSCA</t>
        </is>
      </c>
      <c r="D194" s="2" t="inlineStr">
        <is>
          <t>(網購限定)收納籃 MUSCA 寬低型(EC)</t>
        </is>
      </c>
      <c r="E194" s="2" t="inlineStr">
        <is>
          <t>8161064</t>
        </is>
      </c>
      <c r="F194" s="2" t="n">
        <v>38</v>
      </c>
      <c r="G194" s="2" t="n">
        <v>27</v>
      </c>
      <c r="H194" s="2" t="n">
        <v>12</v>
      </c>
      <c r="I194" s="2" t="n"/>
      <c r="J194" s="2" t="n"/>
      <c r="K194" s="2" t="n"/>
      <c r="L194" s="2" t="inlineStr">
        <is>
          <t>布袋蓮</t>
        </is>
      </c>
      <c r="M194" s="2" t="inlineStr">
        <is>
          <t>原木色</t>
        </is>
      </c>
      <c r="N194" s="2" t="inlineStr"/>
      <c r="O194" s="2" t="inlineStr">
        <is>
          <t>N</t>
        </is>
      </c>
      <c r="P194" s="2" t="n">
        <v>299</v>
      </c>
      <c r="Q194" s="2" t="inlineStr">
        <is>
          <t>2026-10-26</t>
        </is>
      </c>
      <c r="R194" s="3" t="inlineStr">
        <is>
          <t>https://www.nitori-net.tw/product/8161064</t>
        </is>
      </c>
      <c r="S194" s="2" t="inlineStr">
        <is>
          <t>官網</t>
        </is>
      </c>
      <c r="T194" s="2" t="inlineStr">
        <is>
          <t>high</t>
        </is>
      </c>
      <c r="U194" s="2" t="inlineStr">
        <is>
          <t>網購限定；天然素材，顏色、形狀及尺寸可能略有差異（官網說明）</t>
        </is>
      </c>
      <c r="V194" s="2" t="inlineStr"/>
    </row>
    <row r="195">
      <c r="A195" s="2" t="inlineStr">
        <is>
          <t>NITORI-079</t>
        </is>
      </c>
      <c r="B195" s="2" t="inlineStr">
        <is>
          <t>NITORI</t>
        </is>
      </c>
      <c r="C195" s="2" t="inlineStr">
        <is>
          <t>MUSCA</t>
        </is>
      </c>
      <c r="D195" s="2" t="inlineStr">
        <is>
          <t>(網購限定)收納籃 MUSCA 窄高型(EC)</t>
        </is>
      </c>
      <c r="E195" s="2" t="inlineStr">
        <is>
          <t>8161065</t>
        </is>
      </c>
      <c r="F195" s="2" t="n">
        <v>19</v>
      </c>
      <c r="G195" s="2" t="n">
        <v>27</v>
      </c>
      <c r="H195" s="2" t="n">
        <v>23.5</v>
      </c>
      <c r="I195" s="2" t="n"/>
      <c r="J195" s="2" t="n"/>
      <c r="K195" s="2" t="n"/>
      <c r="L195" s="2" t="inlineStr">
        <is>
          <t>布袋蓮</t>
        </is>
      </c>
      <c r="M195" s="2" t="inlineStr">
        <is>
          <t>原木色</t>
        </is>
      </c>
      <c r="N195" s="2" t="inlineStr"/>
      <c r="O195" s="2" t="inlineStr">
        <is>
          <t>N</t>
        </is>
      </c>
      <c r="P195" s="2" t="n">
        <v>299</v>
      </c>
      <c r="Q195" s="2" t="inlineStr">
        <is>
          <t>2026-10-26</t>
        </is>
      </c>
      <c r="R195" s="3" t="inlineStr">
        <is>
          <t>https://www.nitori-net.tw/product/8161065</t>
        </is>
      </c>
      <c r="S195" s="2" t="inlineStr">
        <is>
          <t>官網</t>
        </is>
      </c>
      <c r="T195" s="2" t="inlineStr">
        <is>
          <t>high</t>
        </is>
      </c>
      <c r="U195" s="2" t="inlineStr">
        <is>
          <t>網購限定；天然素材，顏色、形狀及尺寸可能略有差異（官網說明）</t>
        </is>
      </c>
      <c r="V195" s="2" t="inlineStr"/>
    </row>
    <row r="196">
      <c r="A196" s="2" t="inlineStr">
        <is>
          <t>NITORI-080</t>
        </is>
      </c>
      <c r="B196" s="2" t="inlineStr">
        <is>
          <t>NITORI</t>
        </is>
      </c>
      <c r="C196" s="2" t="inlineStr">
        <is>
          <t>MUSCA</t>
        </is>
      </c>
      <c r="D196" s="2" t="inlineStr">
        <is>
          <t>(網購限定)收納籃 MUSCA 窄低型(EC)</t>
        </is>
      </c>
      <c r="E196" s="2" t="inlineStr">
        <is>
          <t>8161066</t>
        </is>
      </c>
      <c r="F196" s="2" t="n">
        <v>19</v>
      </c>
      <c r="G196" s="2" t="n">
        <v>27</v>
      </c>
      <c r="H196" s="2" t="n">
        <v>12</v>
      </c>
      <c r="I196" s="2" t="n"/>
      <c r="J196" s="2" t="n"/>
      <c r="K196" s="2" t="n"/>
      <c r="L196" s="2" t="inlineStr">
        <is>
          <t>布袋蓮</t>
        </is>
      </c>
      <c r="M196" s="2" t="inlineStr">
        <is>
          <t>原木色</t>
        </is>
      </c>
      <c r="N196" s="2" t="inlineStr"/>
      <c r="O196" s="2" t="inlineStr">
        <is>
          <t>N</t>
        </is>
      </c>
      <c r="P196" s="2" t="n">
        <v>199</v>
      </c>
      <c r="Q196" s="2" t="inlineStr">
        <is>
          <t>2026-10-26</t>
        </is>
      </c>
      <c r="R196" s="3" t="inlineStr">
        <is>
          <t>https://www.nitori-net.tw/product/8161066</t>
        </is>
      </c>
      <c r="S196" s="2" t="inlineStr">
        <is>
          <t>官網</t>
        </is>
      </c>
      <c r="T196" s="2" t="inlineStr">
        <is>
          <t>high</t>
        </is>
      </c>
      <c r="U196" s="2" t="inlineStr">
        <is>
          <t>網購限定；天然素材，顏色、形狀及尺寸可能略有差異（官網說明）</t>
        </is>
      </c>
      <c r="V196" s="2" t="inlineStr"/>
    </row>
    <row r="197">
      <c r="A197" s="2" t="inlineStr">
        <is>
          <t>NITORI-081</t>
        </is>
      </c>
      <c r="B197" s="2" t="inlineStr">
        <is>
          <t>NITORI</t>
        </is>
      </c>
      <c r="C197" s="2" t="inlineStr">
        <is>
          <t>NN01</t>
        </is>
      </c>
      <c r="D197" s="2" t="inlineStr">
        <is>
          <t>(網購限定)木紋收納籃 寬高型 NN01(EC)</t>
        </is>
      </c>
      <c r="E197" s="2" t="inlineStr">
        <is>
          <t>2113200003523/2113200003585</t>
        </is>
      </c>
      <c r="F197" s="2" t="n">
        <v>38</v>
      </c>
      <c r="G197" s="2" t="n">
        <v>26</v>
      </c>
      <c r="H197" s="2" t="n">
        <v>24</v>
      </c>
      <c r="I197" s="2" t="n"/>
      <c r="J197" s="2" t="n"/>
      <c r="K197" s="2" t="n"/>
      <c r="L197" s="2" t="inlineStr">
        <is>
          <t>紙</t>
        </is>
      </c>
      <c r="M197" s="2" t="inlineStr">
        <is>
          <t>石灰白/中褐色</t>
        </is>
      </c>
      <c r="N197" s="2" t="inlineStr"/>
      <c r="O197" s="2" t="inlineStr">
        <is>
          <t>N</t>
        </is>
      </c>
      <c r="P197" s="2" t="n">
        <v>349</v>
      </c>
      <c r="Q197" s="2" t="inlineStr">
        <is>
          <t>2026-10-26</t>
        </is>
      </c>
      <c r="R197" s="3" t="inlineStr">
        <is>
          <t>https://www.nitori-net.tw/product/2113200003523</t>
        </is>
      </c>
      <c r="S197" s="2" t="inlineStr">
        <is>
          <t>官網</t>
        </is>
      </c>
      <c r="T197" s="2" t="inlineStr">
        <is>
          <t>high</t>
        </is>
      </c>
      <c r="U197" s="2" t="inlineStr">
        <is>
          <t>網購限定；價格：查詢日售價349（原價399）</t>
        </is>
      </c>
      <c r="V197" s="2" t="inlineStr"/>
    </row>
    <row r="198">
      <c r="A198" s="2" t="inlineStr">
        <is>
          <t>NITORI-082</t>
        </is>
      </c>
      <c r="B198" s="2" t="inlineStr">
        <is>
          <t>NITORI</t>
        </is>
      </c>
      <c r="C198" s="2" t="inlineStr">
        <is>
          <t>NN01</t>
        </is>
      </c>
      <c r="D198" s="2" t="inlineStr">
        <is>
          <t>(網購限定)木紋收納籃 寬低型 NN01(EC)</t>
        </is>
      </c>
      <c r="E198" s="2" t="inlineStr">
        <is>
          <t>2113200003530/2113200003592</t>
        </is>
      </c>
      <c r="F198" s="2" t="n">
        <v>38</v>
      </c>
      <c r="G198" s="2" t="n">
        <v>26</v>
      </c>
      <c r="H198" s="2" t="n">
        <v>12</v>
      </c>
      <c r="I198" s="2" t="n"/>
      <c r="J198" s="2" t="n"/>
      <c r="K198" s="2" t="n"/>
      <c r="L198" s="2" t="inlineStr">
        <is>
          <t>紙</t>
        </is>
      </c>
      <c r="M198" s="2" t="inlineStr">
        <is>
          <t>石灰白/中褐色</t>
        </is>
      </c>
      <c r="N198" s="2" t="inlineStr"/>
      <c r="O198" s="2" t="inlineStr">
        <is>
          <t>N</t>
        </is>
      </c>
      <c r="P198" s="2" t="n">
        <v>299</v>
      </c>
      <c r="Q198" s="2" t="inlineStr">
        <is>
          <t>2026-10-26</t>
        </is>
      </c>
      <c r="R198" s="3" t="inlineStr">
        <is>
          <t>https://www.nitori-net.tw/product/2113200003530</t>
        </is>
      </c>
      <c r="S198" s="2" t="inlineStr">
        <is>
          <t>官網</t>
        </is>
      </c>
      <c r="T198" s="2" t="inlineStr">
        <is>
          <t>high</t>
        </is>
      </c>
      <c r="U198" s="2" t="inlineStr">
        <is>
          <t>網購限定；價格：查詢日售價299（原價349）</t>
        </is>
      </c>
      <c r="V198" s="2" t="inlineStr"/>
    </row>
    <row r="199">
      <c r="A199" s="2" t="inlineStr">
        <is>
          <t>NITORI-083</t>
        </is>
      </c>
      <c r="B199" s="2" t="inlineStr">
        <is>
          <t>NITORI</t>
        </is>
      </c>
      <c r="C199" s="2" t="inlineStr">
        <is>
          <t>NN01</t>
        </is>
      </c>
      <c r="D199" s="2" t="inlineStr">
        <is>
          <t>(網購限定)木紋收納籃 窄高型 NN01(EC)</t>
        </is>
      </c>
      <c r="E199" s="2" t="inlineStr">
        <is>
          <t>2113200003547/2113200003608</t>
        </is>
      </c>
      <c r="F199" s="2" t="n">
        <v>19</v>
      </c>
      <c r="G199" s="2" t="n">
        <v>26</v>
      </c>
      <c r="H199" s="2" t="n">
        <v>24</v>
      </c>
      <c r="I199" s="2" t="n"/>
      <c r="J199" s="2" t="n"/>
      <c r="K199" s="2" t="n"/>
      <c r="L199" s="2" t="inlineStr">
        <is>
          <t>紙</t>
        </is>
      </c>
      <c r="M199" s="2" t="inlineStr">
        <is>
          <t>石灰白/中褐色</t>
        </is>
      </c>
      <c r="N199" s="2" t="inlineStr"/>
      <c r="O199" s="2" t="inlineStr">
        <is>
          <t>N</t>
        </is>
      </c>
      <c r="P199" s="2" t="n">
        <v>299</v>
      </c>
      <c r="Q199" s="2" t="inlineStr">
        <is>
          <t>2026-10-26</t>
        </is>
      </c>
      <c r="R199" s="3" t="inlineStr">
        <is>
          <t>https://www.nitori-net.tw/product/2113200003547</t>
        </is>
      </c>
      <c r="S199" s="2" t="inlineStr">
        <is>
          <t>官網</t>
        </is>
      </c>
      <c r="T199" s="2" t="inlineStr">
        <is>
          <t>high</t>
        </is>
      </c>
      <c r="U199" s="2" t="inlineStr">
        <is>
          <t>網購限定；價格：查詢日售價299（原價349）</t>
        </is>
      </c>
      <c r="V199" s="2" t="inlineStr"/>
    </row>
    <row r="200">
      <c r="A200" s="2" t="inlineStr">
        <is>
          <t>NITORI-084</t>
        </is>
      </c>
      <c r="B200" s="2" t="inlineStr">
        <is>
          <t>NITORI</t>
        </is>
      </c>
      <c r="C200" s="2" t="inlineStr">
        <is>
          <t>NN01</t>
        </is>
      </c>
      <c r="D200" s="2" t="inlineStr">
        <is>
          <t>(網購限定)木紋收納籃 窄低型 NN01(EC)</t>
        </is>
      </c>
      <c r="E200" s="2" t="inlineStr">
        <is>
          <t>2113200003554/2113200003615</t>
        </is>
      </c>
      <c r="F200" s="2" t="n">
        <v>19</v>
      </c>
      <c r="G200" s="2" t="n">
        <v>26</v>
      </c>
      <c r="H200" s="2" t="n">
        <v>12</v>
      </c>
      <c r="I200" s="2" t="n"/>
      <c r="J200" s="2" t="n"/>
      <c r="K200" s="2" t="n"/>
      <c r="L200" s="2" t="inlineStr">
        <is>
          <t>紙</t>
        </is>
      </c>
      <c r="M200" s="2" t="inlineStr">
        <is>
          <t>石灰白/中褐色</t>
        </is>
      </c>
      <c r="N200" s="2" t="inlineStr"/>
      <c r="O200" s="2" t="inlineStr">
        <is>
          <t>N</t>
        </is>
      </c>
      <c r="P200" s="2" t="n">
        <v>179</v>
      </c>
      <c r="Q200" s="2" t="inlineStr">
        <is>
          <t>2026-10-26</t>
        </is>
      </c>
      <c r="R200" s="3" t="inlineStr">
        <is>
          <t>https://www.nitori-net.tw/product/2113200003554</t>
        </is>
      </c>
      <c r="S200" s="2" t="inlineStr">
        <is>
          <t>官網</t>
        </is>
      </c>
      <c r="T200" s="2" t="inlineStr">
        <is>
          <t>high</t>
        </is>
      </c>
      <c r="U200" s="2" t="inlineStr">
        <is>
          <t>網購限定；價格：查詢日售價179（原價249）、中褐色 199元</t>
        </is>
      </c>
      <c r="V200" s="2" t="inlineStr"/>
    </row>
    <row r="201">
      <c r="A201" s="2" t="inlineStr">
        <is>
          <t>NITORI-085</t>
        </is>
      </c>
      <c r="B201" s="2" t="inlineStr">
        <is>
          <t>NITORI</t>
        </is>
      </c>
      <c r="C201" s="2" t="inlineStr">
        <is>
          <t>N COLOBO</t>
        </is>
      </c>
      <c r="D201" s="2" t="inlineStr">
        <is>
          <t>N COLOBO用抽屜 寬高型</t>
        </is>
      </c>
      <c r="E201" s="2" t="inlineStr">
        <is>
          <t>8440412</t>
        </is>
      </c>
      <c r="F201" s="2" t="n">
        <v>39</v>
      </c>
      <c r="G201" s="2" t="n">
        <v>27.6</v>
      </c>
      <c r="H201" s="2" t="n">
        <v>23.1</v>
      </c>
      <c r="I201" s="2" t="n"/>
      <c r="J201" s="2" t="n"/>
      <c r="K201" s="2" t="n"/>
      <c r="L201" s="2" t="inlineStr">
        <is>
          <t>MDF、聚脂纖維</t>
        </is>
      </c>
      <c r="M201" s="2" t="inlineStr">
        <is>
          <t>石灰白</t>
        </is>
      </c>
      <c r="N201" s="2" t="inlineStr"/>
      <c r="O201" s="2" t="inlineStr">
        <is>
          <t>N</t>
        </is>
      </c>
      <c r="P201" s="2" t="n">
        <v>219</v>
      </c>
      <c r="Q201" s="2" t="inlineStr">
        <is>
          <t>2026-10-26</t>
        </is>
      </c>
      <c r="R201" s="3" t="inlineStr">
        <is>
          <t>https://www.nitori-net.tw/product/8440412</t>
        </is>
      </c>
      <c r="S201" s="2" t="inlineStr">
        <is>
          <t>官網</t>
        </is>
      </c>
      <c r="T201" s="2" t="inlineStr">
        <is>
          <t>high</t>
        </is>
      </c>
      <c r="U201" s="2" t="inlineStr">
        <is>
          <t>彩色櫃N COLOBO專用抽屜（置入櫃格使用）；價格：查詢日售價219（原價249）</t>
        </is>
      </c>
      <c r="V201" s="2" t="inlineStr"/>
    </row>
    <row r="202">
      <c r="A202" s="2" t="inlineStr">
        <is>
          <t>NITORI-086</t>
        </is>
      </c>
      <c r="B202" s="2" t="inlineStr">
        <is>
          <t>NITORI</t>
        </is>
      </c>
      <c r="C202" s="2" t="inlineStr">
        <is>
          <t>N-FLATTE</t>
        </is>
      </c>
      <c r="D202" s="2" t="inlineStr">
        <is>
          <t>窄型堆疊收納籃 N-FLATTE HALF</t>
        </is>
      </c>
      <c r="E202" s="2" t="inlineStr">
        <is>
          <t>8430757</t>
        </is>
      </c>
      <c r="F202" s="2" t="n">
        <v>25.5</v>
      </c>
      <c r="G202" s="2" t="n">
        <v>39</v>
      </c>
      <c r="H202" s="2" t="n">
        <v>23</v>
      </c>
      <c r="I202" s="2" t="n"/>
      <c r="J202" s="2" t="n"/>
      <c r="K202" s="2" t="n"/>
      <c r="L202" s="2" t="inlineStr">
        <is>
          <t>聚丙烯</t>
        </is>
      </c>
      <c r="M202" s="2" t="inlineStr">
        <is>
          <t>淺灰色</t>
        </is>
      </c>
      <c r="N202" s="2" t="inlineStr">
        <is>
          <t>Y</t>
        </is>
      </c>
      <c r="O202" s="2" t="inlineStr">
        <is>
          <t>N</t>
        </is>
      </c>
      <c r="P202" s="2" t="n">
        <v>129</v>
      </c>
      <c r="Q202" s="2" t="inlineStr">
        <is>
          <t>2026-10-26</t>
        </is>
      </c>
      <c r="R202" s="3" t="inlineStr">
        <is>
          <t>https://www.nitori-net.tw/product/8430757</t>
        </is>
      </c>
      <c r="S202" s="2" t="inlineStr">
        <is>
          <t>官網</t>
        </is>
      </c>
      <c r="T202" s="2" t="inlineStr">
        <is>
          <t>high</t>
        </is>
      </c>
      <c r="U202" s="2" t="inlineStr">
        <is>
          <t>官網：搭配另售用蓋可堆疊，最多4層；另售蓋：窄型堆疊收納籃用蓋 N-FLATTE-DS HALF(8430815)；寬型N-FLATTE(寬51)超過40公分不列；價格：查詢日售價129（原價159）</t>
        </is>
      </c>
      <c r="V202" s="2" t="inlineStr"/>
    </row>
    <row r="203">
      <c r="A203" s="2" t="inlineStr">
        <is>
          <t>NITORI-087</t>
        </is>
      </c>
      <c r="B203" s="2" t="inlineStr">
        <is>
          <t>NITORI</t>
        </is>
      </c>
      <c r="C203" s="2" t="inlineStr">
        <is>
          <t>N-FLATTE</t>
        </is>
      </c>
      <c r="D203" s="2" t="inlineStr">
        <is>
          <t>窄型堆疊收納籃 抽屜式 N-FLATTE-DS HALF</t>
        </is>
      </c>
      <c r="E203" s="2" t="inlineStr">
        <is>
          <t>8430848</t>
        </is>
      </c>
      <c r="F203" s="2" t="n">
        <v>25.5</v>
      </c>
      <c r="G203" s="2" t="n">
        <v>39.5</v>
      </c>
      <c r="H203" s="2" t="n">
        <v>23.5</v>
      </c>
      <c r="I203" s="2" t="n"/>
      <c r="J203" s="2" t="n"/>
      <c r="K203" s="2" t="n"/>
      <c r="L203" s="2" t="inlineStr">
        <is>
          <t>聚丙烯</t>
        </is>
      </c>
      <c r="M203" s="2" t="inlineStr">
        <is>
          <t>透明色</t>
        </is>
      </c>
      <c r="N203" s="2" t="inlineStr">
        <is>
          <t>Y</t>
        </is>
      </c>
      <c r="O203" s="2" t="inlineStr">
        <is>
          <t>N</t>
        </is>
      </c>
      <c r="P203" s="2" t="n">
        <v>299</v>
      </c>
      <c r="Q203" s="2" t="inlineStr">
        <is>
          <t>2026-10-26</t>
        </is>
      </c>
      <c r="R203" s="3" t="inlineStr">
        <is>
          <t>https://www.nitori-net.tw/product/8430848</t>
        </is>
      </c>
      <c r="S203" s="2" t="inlineStr">
        <is>
          <t>官網</t>
        </is>
      </c>
      <c r="T203" s="2" t="inlineStr">
        <is>
          <t>high</t>
        </is>
      </c>
      <c r="U203" s="2" t="inlineStr">
        <is>
          <t>抽屜式；官網：可堆疊使用；寬型(寬51)超過40公分不列</t>
        </is>
      </c>
      <c r="V203" s="2" t="inlineStr"/>
    </row>
    <row r="204">
      <c r="A204" s="2" t="inlineStr">
        <is>
          <t>NITORI-088</t>
        </is>
      </c>
      <c r="B204" s="2" t="inlineStr">
        <is>
          <t>NITORI</t>
        </is>
      </c>
      <c r="C204" s="2" t="inlineStr">
        <is>
          <t>N-ROBIN</t>
        </is>
      </c>
      <c r="D204" s="2" t="inlineStr">
        <is>
          <t>附蓋塑膠收納盒 N-ROBIN REGULAR</t>
        </is>
      </c>
      <c r="E204" s="2" t="inlineStr">
        <is>
          <t>8430798</t>
        </is>
      </c>
      <c r="F204" s="2" t="n">
        <v>35</v>
      </c>
      <c r="G204" s="2" t="n">
        <v>37</v>
      </c>
      <c r="H204" s="2" t="n">
        <v>20</v>
      </c>
      <c r="I204" s="2" t="n"/>
      <c r="J204" s="2" t="n"/>
      <c r="K204" s="2" t="n"/>
      <c r="L204" s="2" t="inlineStr">
        <is>
          <t>聚丙烯</t>
        </is>
      </c>
      <c r="M204" s="2" t="inlineStr">
        <is>
          <t>純白色</t>
        </is>
      </c>
      <c r="N204" s="2" t="inlineStr">
        <is>
          <t>Y</t>
        </is>
      </c>
      <c r="O204" s="2" t="inlineStr">
        <is>
          <t>Y</t>
        </is>
      </c>
      <c r="P204" s="2" t="n">
        <v>199</v>
      </c>
      <c r="Q204" s="2" t="inlineStr">
        <is>
          <t>2026-10-26</t>
        </is>
      </c>
      <c r="R204" s="3" t="inlineStr">
        <is>
          <t>https://www.nitori-net.tw/product/8430798</t>
        </is>
      </c>
      <c r="S204" s="2" t="inlineStr">
        <is>
          <t>官網</t>
        </is>
      </c>
      <c r="T204" s="2" t="inlineStr">
        <is>
          <t>high</t>
        </is>
      </c>
      <c r="U204" s="2" t="inlineStr">
        <is>
          <t>官網：底部凹槽設計堆疊不易錯開；放吊衣桿下最多2層</t>
        </is>
      </c>
      <c r="V204" s="2" t="inlineStr"/>
    </row>
    <row r="205">
      <c r="A205" s="2" t="inlineStr">
        <is>
          <t>NITORI-089</t>
        </is>
      </c>
      <c r="B205" s="2" t="inlineStr">
        <is>
          <t>NITORI</t>
        </is>
      </c>
      <c r="C205" s="2" t="inlineStr">
        <is>
          <t>透明收納盒</t>
        </is>
      </c>
      <c r="D205" s="2" t="inlineStr">
        <is>
          <t>透明收納盒 寬高型</t>
        </is>
      </c>
      <c r="E205" s="2" t="inlineStr">
        <is>
          <t>2113200003233</t>
        </is>
      </c>
      <c r="F205" s="2" t="n">
        <v>38.5</v>
      </c>
      <c r="G205" s="2" t="n">
        <v>26.4</v>
      </c>
      <c r="H205" s="2" t="n">
        <v>23.6</v>
      </c>
      <c r="I205" s="2" t="n"/>
      <c r="J205" s="2" t="n"/>
      <c r="K205" s="2" t="n"/>
      <c r="L205" s="2" t="inlineStr">
        <is>
          <t>聚苯乙烯</t>
        </is>
      </c>
      <c r="M205" s="2" t="inlineStr">
        <is>
          <t>透明</t>
        </is>
      </c>
      <c r="N205" s="2" t="inlineStr">
        <is>
          <t>Y</t>
        </is>
      </c>
      <c r="O205" s="2" t="inlineStr">
        <is>
          <t>N</t>
        </is>
      </c>
      <c r="P205" s="2" t="n">
        <v>349</v>
      </c>
      <c r="Q205" s="2" t="inlineStr">
        <is>
          <t>2026-10-26</t>
        </is>
      </c>
      <c r="R205" s="3" t="inlineStr">
        <is>
          <t>https://www.nitori-net.tw/product/2113200003233</t>
        </is>
      </c>
      <c r="S205" s="2" t="inlineStr">
        <is>
          <t>官網</t>
        </is>
      </c>
      <c r="T205" s="2" t="inlineStr">
        <is>
          <t>high</t>
        </is>
      </c>
      <c r="U205" s="2" t="inlineStr">
        <is>
          <t>官網：同系列透明收納盒可堆疊；無法與N INBOX系列堆疊</t>
        </is>
      </c>
      <c r="V205" s="2" t="inlineStr"/>
    </row>
    <row r="206">
      <c r="A206" s="2" t="inlineStr">
        <is>
          <t>NITORI-090</t>
        </is>
      </c>
      <c r="B206" s="2" t="inlineStr">
        <is>
          <t>NITORI</t>
        </is>
      </c>
      <c r="C206" s="2" t="inlineStr">
        <is>
          <t>透明收納盒</t>
        </is>
      </c>
      <c r="D206" s="2" t="inlineStr">
        <is>
          <t>透明收納盒 寬低型</t>
        </is>
      </c>
      <c r="E206" s="2" t="inlineStr">
        <is>
          <t>2113200003240</t>
        </is>
      </c>
      <c r="F206" s="2" t="n">
        <v>38.5</v>
      </c>
      <c r="G206" s="2" t="n">
        <v>26.4</v>
      </c>
      <c r="H206" s="2" t="n">
        <v>12.1</v>
      </c>
      <c r="I206" s="2" t="n"/>
      <c r="J206" s="2" t="n"/>
      <c r="K206" s="2" t="n"/>
      <c r="L206" s="2" t="inlineStr">
        <is>
          <t>聚苯乙烯</t>
        </is>
      </c>
      <c r="M206" s="2" t="inlineStr">
        <is>
          <t>透明</t>
        </is>
      </c>
      <c r="N206" s="2" t="inlineStr">
        <is>
          <t>Y</t>
        </is>
      </c>
      <c r="O206" s="2" t="inlineStr">
        <is>
          <t>N</t>
        </is>
      </c>
      <c r="P206" s="2" t="n">
        <v>249</v>
      </c>
      <c r="Q206" s="2" t="inlineStr">
        <is>
          <t>2026-10-26</t>
        </is>
      </c>
      <c r="R206" s="3" t="inlineStr">
        <is>
          <t>https://www.nitori-net.tw/product/2113200003240</t>
        </is>
      </c>
      <c r="S206" s="2" t="inlineStr">
        <is>
          <t>官網</t>
        </is>
      </c>
      <c r="T206" s="2" t="inlineStr">
        <is>
          <t>high</t>
        </is>
      </c>
      <c r="U206" s="2" t="inlineStr">
        <is>
          <t>官網：同系列透明收納盒可堆疊；無法與N INBOX系列堆疊；說明欄標示高12公分</t>
        </is>
      </c>
      <c r="V206" s="2" t="inlineStr"/>
    </row>
    <row r="207">
      <c r="A207" s="2" t="inlineStr">
        <is>
          <t>NITORI-091</t>
        </is>
      </c>
      <c r="B207" s="2" t="inlineStr">
        <is>
          <t>NITORI</t>
        </is>
      </c>
      <c r="C207" s="2" t="inlineStr">
        <is>
          <t>透明收納盒</t>
        </is>
      </c>
      <c r="D207" s="2" t="inlineStr">
        <is>
          <t>透明收納盒 托盤型</t>
        </is>
      </c>
      <c r="E207" s="2" t="inlineStr">
        <is>
          <t>2113200003257</t>
        </is>
      </c>
      <c r="F207" s="2" t="n">
        <v>38.5</v>
      </c>
      <c r="G207" s="2" t="n">
        <v>26.4</v>
      </c>
      <c r="H207" s="2" t="n">
        <v>12.1</v>
      </c>
      <c r="I207" s="2" t="n"/>
      <c r="J207" s="2" t="n"/>
      <c r="K207" s="2" t="n"/>
      <c r="L207" s="2" t="inlineStr">
        <is>
          <t>聚苯乙烯</t>
        </is>
      </c>
      <c r="M207" s="2" t="inlineStr">
        <is>
          <t>透明</t>
        </is>
      </c>
      <c r="N207" s="2" t="inlineStr">
        <is>
          <t>Y</t>
        </is>
      </c>
      <c r="O207" s="2" t="inlineStr">
        <is>
          <t>N</t>
        </is>
      </c>
      <c r="P207" s="2" t="n">
        <v>249</v>
      </c>
      <c r="Q207" s="2" t="inlineStr">
        <is>
          <t>2026-10-26</t>
        </is>
      </c>
      <c r="R207" s="3" t="inlineStr">
        <is>
          <t>https://www.nitori-net.tw/product/2113200003257</t>
        </is>
      </c>
      <c r="S207" s="2" t="inlineStr">
        <is>
          <t>官網</t>
        </is>
      </c>
      <c r="T207" s="2" t="inlineStr">
        <is>
          <t>high</t>
        </is>
      </c>
      <c r="U207" s="2" t="inlineStr">
        <is>
          <t>官網：同系列透明收納盒可堆疊；無法與N INBOX系列堆疊</t>
        </is>
      </c>
      <c r="V207" s="2" t="inlineStr"/>
    </row>
    <row r="208">
      <c r="A208" s="2" t="inlineStr">
        <is>
          <t>NITORI-092</t>
        </is>
      </c>
      <c r="B208" s="2" t="inlineStr">
        <is>
          <t>NITORI</t>
        </is>
      </c>
      <c r="C208" s="2" t="inlineStr">
        <is>
          <t>堆疊式收納籃</t>
        </is>
      </c>
      <c r="D208" s="2" t="inlineStr">
        <is>
          <t>堆疊式收納籃 L-UP</t>
        </is>
      </c>
      <c r="E208" s="2" t="inlineStr">
        <is>
          <t>8161015</t>
        </is>
      </c>
      <c r="F208" s="2" t="n">
        <v>39</v>
      </c>
      <c r="G208" s="2" t="n">
        <v>27</v>
      </c>
      <c r="H208" s="2" t="n">
        <v>22</v>
      </c>
      <c r="I208" s="2" t="n"/>
      <c r="J208" s="2" t="n"/>
      <c r="K208" s="2" t="n"/>
      <c r="L208" s="2" t="inlineStr">
        <is>
          <t>鐵(噴漆)</t>
        </is>
      </c>
      <c r="M208" s="2" t="inlineStr">
        <is>
          <t>深褐色</t>
        </is>
      </c>
      <c r="N208" s="2" t="inlineStr">
        <is>
          <t>Y</t>
        </is>
      </c>
      <c r="O208" s="2" t="inlineStr">
        <is>
          <t>N</t>
        </is>
      </c>
      <c r="P208" s="2" t="n">
        <v>239</v>
      </c>
      <c r="Q208" s="2" t="inlineStr">
        <is>
          <t>2026-10-26</t>
        </is>
      </c>
      <c r="R208" s="3" t="inlineStr">
        <is>
          <t>https://www.nitori-net.tw/product/8161015</t>
        </is>
      </c>
      <c r="S208" s="2" t="inlineStr">
        <is>
          <t>官網</t>
        </is>
      </c>
      <c r="T208" s="2" t="inlineStr">
        <is>
          <t>medium</t>
        </is>
      </c>
      <c r="U208" s="2" t="inlineStr">
        <is>
          <t>官網：手把收至內側可向上堆疊最高3層，堆疊後整體耐重5kg；資料衝突：說明欄標示S約30.5×16.5×14、L約40×26.5×22公分，此列依規格欄；價格：查詢日售價239（原價299）</t>
        </is>
      </c>
      <c r="V208" s="2" t="inlineStr"/>
    </row>
    <row r="209">
      <c r="A209" s="2" t="inlineStr">
        <is>
          <t>NITORI-093</t>
        </is>
      </c>
      <c r="B209" s="2" t="inlineStr">
        <is>
          <t>NITORI</t>
        </is>
      </c>
      <c r="C209" s="2" t="inlineStr">
        <is>
          <t>堆疊式收納籃</t>
        </is>
      </c>
      <c r="D209" s="2" t="inlineStr">
        <is>
          <t>堆疊式收納籃 S-UP</t>
        </is>
      </c>
      <c r="E209" s="2" t="inlineStr">
        <is>
          <t>8161013</t>
        </is>
      </c>
      <c r="F209" s="2" t="n">
        <v>31</v>
      </c>
      <c r="G209" s="2" t="n">
        <v>17</v>
      </c>
      <c r="H209" s="2" t="n">
        <v>15</v>
      </c>
      <c r="I209" s="2" t="n"/>
      <c r="J209" s="2" t="n"/>
      <c r="K209" s="2" t="n"/>
      <c r="L209" s="2" t="inlineStr">
        <is>
          <t>鐵(噴漆)</t>
        </is>
      </c>
      <c r="M209" s="2" t="inlineStr">
        <is>
          <t>深褐色</t>
        </is>
      </c>
      <c r="N209" s="2" t="inlineStr">
        <is>
          <t>Y</t>
        </is>
      </c>
      <c r="O209" s="2" t="inlineStr">
        <is>
          <t>N</t>
        </is>
      </c>
      <c r="P209" s="2" t="n">
        <v>159</v>
      </c>
      <c r="Q209" s="2" t="inlineStr">
        <is>
          <t>2026-10-26</t>
        </is>
      </c>
      <c r="R209" s="3" t="inlineStr">
        <is>
          <t>https://www.nitori-net.tw/product/8161013</t>
        </is>
      </c>
      <c r="S209" s="2" t="inlineStr">
        <is>
          <t>官網</t>
        </is>
      </c>
      <c r="T209" s="2" t="inlineStr">
        <is>
          <t>medium</t>
        </is>
      </c>
      <c r="U209" s="2" t="inlineStr">
        <is>
          <t>官網：手把收至內側可向上堆疊最高3層，堆疊後整體耐重5kg；資料衝突：說明欄標示S約30.5×16.5×14、L約40×26.5×22公分，此列依規格欄；價格：查詢日售價159（原價199）</t>
        </is>
      </c>
      <c r="V209" s="2" t="inlineStr"/>
    </row>
    <row r="210">
      <c r="A210" s="2" t="inlineStr">
        <is>
          <t>NITORI-094</t>
        </is>
      </c>
      <c r="B210" s="2" t="inlineStr">
        <is>
          <t>NITORI</t>
        </is>
      </c>
      <c r="C210" s="2" t="inlineStr">
        <is>
          <t>堆疊式收納籃</t>
        </is>
      </c>
      <c r="D210" s="2" t="inlineStr">
        <is>
          <t>堆疊式收納籃 前開式 L-DOWN</t>
        </is>
      </c>
      <c r="E210" s="2" t="inlineStr">
        <is>
          <t>8161016</t>
        </is>
      </c>
      <c r="F210" s="2" t="n">
        <v>39</v>
      </c>
      <c r="G210" s="2" t="n">
        <v>27</v>
      </c>
      <c r="H210" s="2" t="n">
        <v>22</v>
      </c>
      <c r="I210" s="2" t="n"/>
      <c r="J210" s="2" t="n"/>
      <c r="K210" s="2" t="n"/>
      <c r="L210" s="2" t="inlineStr">
        <is>
          <t>鐵(噴漆)</t>
        </is>
      </c>
      <c r="M210" s="2" t="inlineStr">
        <is>
          <t>深褐色</t>
        </is>
      </c>
      <c r="N210" s="2" t="inlineStr">
        <is>
          <t>Y</t>
        </is>
      </c>
      <c r="O210" s="2" t="inlineStr">
        <is>
          <t>N</t>
        </is>
      </c>
      <c r="P210" s="2" t="n">
        <v>239</v>
      </c>
      <c r="Q210" s="2" t="inlineStr">
        <is>
          <t>2026-10-26</t>
        </is>
      </c>
      <c r="R210" s="3" t="inlineStr">
        <is>
          <t>https://www.nitori-net.tw/product/8161016</t>
        </is>
      </c>
      <c r="S210" s="2" t="inlineStr">
        <is>
          <t>官網</t>
        </is>
      </c>
      <c r="T210" s="2" t="inlineStr">
        <is>
          <t>medium</t>
        </is>
      </c>
      <c r="U210" s="2" t="inlineStr">
        <is>
          <t>前開式；官網：手把收至內側可向上堆疊最高3層，堆疊後整體耐重5kg；資料衝突：說明欄標示S約30.5×16.5×14、L約40×26.5×22公分，此列依規格欄；價格：查詢日售價239（原價299）</t>
        </is>
      </c>
      <c r="V210" s="2" t="inlineStr"/>
    </row>
    <row r="211">
      <c r="A211" s="2" t="inlineStr">
        <is>
          <t>NITORI-095</t>
        </is>
      </c>
      <c r="B211" s="2" t="inlineStr">
        <is>
          <t>NITORI</t>
        </is>
      </c>
      <c r="C211" s="2" t="inlineStr">
        <is>
          <t>堆疊式收納籃</t>
        </is>
      </c>
      <c r="D211" s="2" t="inlineStr">
        <is>
          <t>堆疊式收納籃 前開式 S-DOWN</t>
        </is>
      </c>
      <c r="E211" s="2" t="inlineStr">
        <is>
          <t>8161014</t>
        </is>
      </c>
      <c r="F211" s="2" t="n">
        <v>31</v>
      </c>
      <c r="G211" s="2" t="n">
        <v>17</v>
      </c>
      <c r="H211" s="2" t="n">
        <v>15</v>
      </c>
      <c r="I211" s="2" t="n"/>
      <c r="J211" s="2" t="n"/>
      <c r="K211" s="2" t="n"/>
      <c r="L211" s="2" t="inlineStr">
        <is>
          <t>鐵(噴漆)</t>
        </is>
      </c>
      <c r="M211" s="2" t="inlineStr">
        <is>
          <t>深褐色</t>
        </is>
      </c>
      <c r="N211" s="2" t="inlineStr">
        <is>
          <t>Y</t>
        </is>
      </c>
      <c r="O211" s="2" t="inlineStr">
        <is>
          <t>N</t>
        </is>
      </c>
      <c r="P211" s="2" t="n">
        <v>159</v>
      </c>
      <c r="Q211" s="2" t="inlineStr">
        <is>
          <t>2026-10-26</t>
        </is>
      </c>
      <c r="R211" s="3" t="inlineStr">
        <is>
          <t>https://www.nitori-net.tw/product/8161014</t>
        </is>
      </c>
      <c r="S211" s="2" t="inlineStr">
        <is>
          <t>官網</t>
        </is>
      </c>
      <c r="T211" s="2" t="inlineStr">
        <is>
          <t>medium</t>
        </is>
      </c>
      <c r="U211" s="2" t="inlineStr">
        <is>
          <t>前開式；官網：手把收至內側可向上堆疊最高3層，堆疊後整體耐重5kg；資料衝突：說明欄標示S約30.5×16.5×14、L約40×26.5×22公分，此列依規格欄；價格：查詢日售價159（原價199）</t>
        </is>
      </c>
      <c r="V211" s="2" t="inlineStr"/>
    </row>
    <row r="212">
      <c r="A212" s="2" t="inlineStr">
        <is>
          <t>NITORI-096</t>
        </is>
      </c>
      <c r="B212" s="2" t="inlineStr">
        <is>
          <t>NITORI</t>
        </is>
      </c>
      <c r="C212" s="2" t="inlineStr">
        <is>
          <t>JS</t>
        </is>
      </c>
      <c r="D212" s="2" t="inlineStr">
        <is>
          <t>櫥櫃收納盒 S JS</t>
        </is>
      </c>
      <c r="E212" s="2" t="inlineStr">
        <is>
          <t>8988261/8988263</t>
        </is>
      </c>
      <c r="F212" s="2" t="n">
        <v>18</v>
      </c>
      <c r="G212" s="2" t="n">
        <v>30.8</v>
      </c>
      <c r="H212" s="2" t="n">
        <v>22.3</v>
      </c>
      <c r="I212" s="2" t="n">
        <v>15.7</v>
      </c>
      <c r="J212" s="2" t="n">
        <v>24.2</v>
      </c>
      <c r="K212" s="2" t="n">
        <v>21.8</v>
      </c>
      <c r="L212" s="2" t="inlineStr">
        <is>
          <t>聚丙烯</t>
        </is>
      </c>
      <c r="M212" s="2" t="inlineStr">
        <is>
          <t>純白色/透明</t>
        </is>
      </c>
      <c r="N212" s="2" t="inlineStr">
        <is>
          <t>Y</t>
        </is>
      </c>
      <c r="O212" s="2" t="inlineStr">
        <is>
          <t>N</t>
        </is>
      </c>
      <c r="P212" s="2" t="n">
        <v>179</v>
      </c>
      <c r="Q212" s="2" t="inlineStr">
        <is>
          <t>2026-10-26</t>
        </is>
      </c>
      <c r="R212" s="3" t="inlineStr">
        <is>
          <t>https://www.nitori-net.tw/product/8988261</t>
        </is>
      </c>
      <c r="S212" s="2" t="inlineStr">
        <is>
          <t>官網</t>
        </is>
      </c>
      <c r="T212" s="2" t="inlineStr">
        <is>
          <t>high</t>
        </is>
      </c>
      <c r="U212" s="2" t="inlineStr">
        <is>
          <t>官網：可與相同尺寸堆疊，最多3層；白色JS61/透明JS63</t>
        </is>
      </c>
      <c r="V212" s="2" t="inlineStr"/>
    </row>
    <row r="213">
      <c r="A213" s="2" t="inlineStr">
        <is>
          <t>NITORI-097</t>
        </is>
      </c>
      <c r="B213" s="2" t="inlineStr">
        <is>
          <t>NITORI</t>
        </is>
      </c>
      <c r="C213" s="2" t="inlineStr">
        <is>
          <t>JS</t>
        </is>
      </c>
      <c r="D213" s="2" t="inlineStr">
        <is>
          <t>櫥櫃收納盒 M JS</t>
        </is>
      </c>
      <c r="E213" s="2" t="inlineStr">
        <is>
          <t>8988262/8988264</t>
        </is>
      </c>
      <c r="F213" s="2" t="n">
        <v>22.5</v>
      </c>
      <c r="G213" s="2" t="n">
        <v>30.8</v>
      </c>
      <c r="H213" s="2" t="n">
        <v>22.3</v>
      </c>
      <c r="I213" s="2" t="n">
        <v>20.2</v>
      </c>
      <c r="J213" s="2" t="n">
        <v>24.2</v>
      </c>
      <c r="K213" s="2" t="n">
        <v>21.8</v>
      </c>
      <c r="L213" s="2" t="inlineStr">
        <is>
          <t>聚丙烯</t>
        </is>
      </c>
      <c r="M213" s="2" t="inlineStr">
        <is>
          <t>純白色/透明</t>
        </is>
      </c>
      <c r="N213" s="2" t="inlineStr">
        <is>
          <t>Y</t>
        </is>
      </c>
      <c r="O213" s="2" t="inlineStr">
        <is>
          <t>N</t>
        </is>
      </c>
      <c r="P213" s="2" t="n">
        <v>199</v>
      </c>
      <c r="Q213" s="2" t="inlineStr">
        <is>
          <t>2026-10-26</t>
        </is>
      </c>
      <c r="R213" s="3" t="inlineStr">
        <is>
          <t>https://www.nitori-net.tw/product/8988262</t>
        </is>
      </c>
      <c r="S213" s="2" t="inlineStr">
        <is>
          <t>官網</t>
        </is>
      </c>
      <c r="T213" s="2" t="inlineStr">
        <is>
          <t>high</t>
        </is>
      </c>
      <c r="U213" s="2" t="inlineStr">
        <is>
          <t>官網：可與相同尺寸堆疊，最多3層；白色JS62/透明JS64</t>
        </is>
      </c>
      <c r="V213" s="2" t="inlineStr"/>
    </row>
    <row r="214">
      <c r="A214" s="2" t="inlineStr">
        <is>
          <t>NITORI-098</t>
        </is>
      </c>
      <c r="B214" s="2" t="inlineStr">
        <is>
          <t>NITORI</t>
        </is>
      </c>
      <c r="C214" s="2" t="inlineStr">
        <is>
          <t>N BRANC</t>
        </is>
      </c>
      <c r="D214" s="2" t="inlineStr">
        <is>
          <t>櫥櫃收納盒CL N BRANC S</t>
        </is>
      </c>
      <c r="E214" s="2" t="inlineStr">
        <is>
          <t>8987921</t>
        </is>
      </c>
      <c r="F214" s="2" t="n">
        <v>18</v>
      </c>
      <c r="G214" s="2" t="n">
        <v>30</v>
      </c>
      <c r="H214" s="2" t="n">
        <v>22</v>
      </c>
      <c r="I214" s="2" t="n"/>
      <c r="J214" s="2" t="n"/>
      <c r="K214" s="2" t="n"/>
      <c r="L214" s="2" t="inlineStr">
        <is>
          <t>聚丙烯</t>
        </is>
      </c>
      <c r="M214" s="2" t="inlineStr">
        <is>
          <t>透明</t>
        </is>
      </c>
      <c r="N214" s="2" t="inlineStr">
        <is>
          <t>Y</t>
        </is>
      </c>
      <c r="O214" s="2" t="inlineStr">
        <is>
          <t>N</t>
        </is>
      </c>
      <c r="P214" s="2" t="n">
        <v>179</v>
      </c>
      <c r="Q214" s="2" t="inlineStr">
        <is>
          <t>2026-10-26</t>
        </is>
      </c>
      <c r="R214" s="3" t="inlineStr">
        <is>
          <t>https://www.nitori-net.tw/product/8987921</t>
        </is>
      </c>
      <c r="S214" s="2" t="inlineStr">
        <is>
          <t>官網</t>
        </is>
      </c>
      <c r="T214" s="2" t="inlineStr">
        <is>
          <t>high</t>
        </is>
      </c>
      <c r="U214" s="2" t="inlineStr">
        <is>
          <t>官網：可與同尺寸收納盒堆疊</t>
        </is>
      </c>
      <c r="V214" s="2" t="inlineStr"/>
    </row>
    <row r="215">
      <c r="A215" s="2" t="inlineStr">
        <is>
          <t>NITORI-099</t>
        </is>
      </c>
      <c r="B215" s="2" t="inlineStr">
        <is>
          <t>NITORI</t>
        </is>
      </c>
      <c r="C215" s="2" t="inlineStr">
        <is>
          <t>N BRANC</t>
        </is>
      </c>
      <c r="D215" s="2" t="inlineStr">
        <is>
          <t>櫥櫃收納盒CL N BRANC M</t>
        </is>
      </c>
      <c r="E215" s="2" t="inlineStr">
        <is>
          <t>8987922</t>
        </is>
      </c>
      <c r="F215" s="2" t="n">
        <v>22.5</v>
      </c>
      <c r="G215" s="2" t="n">
        <v>30</v>
      </c>
      <c r="H215" s="2" t="n">
        <v>22</v>
      </c>
      <c r="I215" s="2" t="n"/>
      <c r="J215" s="2" t="n"/>
      <c r="K215" s="2" t="n"/>
      <c r="L215" s="2" t="inlineStr">
        <is>
          <t>聚丙烯</t>
        </is>
      </c>
      <c r="M215" s="2" t="inlineStr">
        <is>
          <t>透明</t>
        </is>
      </c>
      <c r="N215" s="2" t="inlineStr">
        <is>
          <t>Y</t>
        </is>
      </c>
      <c r="O215" s="2" t="inlineStr">
        <is>
          <t>N</t>
        </is>
      </c>
      <c r="P215" s="2" t="n">
        <v>199</v>
      </c>
      <c r="Q215" s="2" t="inlineStr">
        <is>
          <t>2026-10-26</t>
        </is>
      </c>
      <c r="R215" s="3" t="inlineStr">
        <is>
          <t>https://www.nitori-net.tw/product/8987922</t>
        </is>
      </c>
      <c r="S215" s="2" t="inlineStr">
        <is>
          <t>官網</t>
        </is>
      </c>
      <c r="T215" s="2" t="inlineStr">
        <is>
          <t>medium</t>
        </is>
      </c>
      <c r="U215" s="2" t="inlineStr">
        <is>
          <t>官網：可與同尺寸收納盒堆疊；資料衝突：說明欄M尺寸寬22公分，規格欄22.5公分，此列依規格欄</t>
        </is>
      </c>
      <c r="V215" s="2" t="inlineStr"/>
    </row>
    <row r="216">
      <c r="A216" s="2" t="inlineStr">
        <is>
          <t>NITORI-100</t>
        </is>
      </c>
      <c r="B216" s="2" t="inlineStr">
        <is>
          <t>NITORI</t>
        </is>
      </c>
      <c r="C216" s="2" t="inlineStr">
        <is>
          <t>F（DECO HOME）</t>
        </is>
      </c>
      <c r="D216" s="2" t="inlineStr">
        <is>
          <t>【DECO HOME商品】櫥櫃收納盒 窄 F105</t>
        </is>
      </c>
      <c r="E216" s="2" t="inlineStr">
        <is>
          <t>5898407</t>
        </is>
      </c>
      <c r="F216" s="2" t="n">
        <v>18.5</v>
      </c>
      <c r="G216" s="2" t="n">
        <v>33.4</v>
      </c>
      <c r="H216" s="2" t="n">
        <v>22</v>
      </c>
      <c r="I216" s="2" t="n"/>
      <c r="J216" s="2" t="n"/>
      <c r="K216" s="2" t="n"/>
      <c r="L216" s="2" t="inlineStr">
        <is>
          <t>聚丙烯</t>
        </is>
      </c>
      <c r="M216" s="2" t="inlineStr">
        <is>
          <t>白色</t>
        </is>
      </c>
      <c r="N216" s="2" t="inlineStr"/>
      <c r="O216" s="2" t="inlineStr">
        <is>
          <t>N</t>
        </is>
      </c>
      <c r="P216" s="2" t="n">
        <v>179</v>
      </c>
      <c r="Q216" s="2" t="inlineStr">
        <is>
          <t>2026-10-26</t>
        </is>
      </c>
      <c r="R216" s="3" t="inlineStr">
        <is>
          <t>https://www.nitori-net.tw/product/5898407</t>
        </is>
      </c>
      <c r="S216" s="2" t="inlineStr">
        <is>
          <t>官網</t>
        </is>
      </c>
      <c r="T216" s="2" t="inlineStr">
        <is>
          <t>high</t>
        </is>
      </c>
      <c r="U216" s="2" t="inlineStr">
        <is>
          <t>DECO HOME商品</t>
        </is>
      </c>
      <c r="V216" s="2" t="inlineStr"/>
    </row>
    <row r="217">
      <c r="A217" s="2" t="inlineStr">
        <is>
          <t>NITORI-101</t>
        </is>
      </c>
      <c r="B217" s="2" t="inlineStr">
        <is>
          <t>NITORI</t>
        </is>
      </c>
      <c r="C217" s="2" t="inlineStr">
        <is>
          <t>F（DECO HOME）</t>
        </is>
      </c>
      <c r="D217" s="2" t="inlineStr">
        <is>
          <t>【DECO HOME商品】櫥櫃收納盒 寬 F001</t>
        </is>
      </c>
      <c r="E217" s="2" t="inlineStr">
        <is>
          <t>5898406</t>
        </is>
      </c>
      <c r="F217" s="2" t="n">
        <v>24</v>
      </c>
      <c r="G217" s="2" t="n">
        <v>33.4</v>
      </c>
      <c r="H217" s="2" t="n">
        <v>22</v>
      </c>
      <c r="I217" s="2" t="n"/>
      <c r="J217" s="2" t="n"/>
      <c r="K217" s="2" t="n"/>
      <c r="L217" s="2" t="inlineStr">
        <is>
          <t>聚丙烯</t>
        </is>
      </c>
      <c r="M217" s="2" t="inlineStr">
        <is>
          <t>白色</t>
        </is>
      </c>
      <c r="N217" s="2" t="inlineStr"/>
      <c r="O217" s="2" t="inlineStr">
        <is>
          <t>N</t>
        </is>
      </c>
      <c r="P217" s="2" t="n">
        <v>199</v>
      </c>
      <c r="Q217" s="2" t="inlineStr">
        <is>
          <t>2026-10-26</t>
        </is>
      </c>
      <c r="R217" s="3" t="inlineStr">
        <is>
          <t>https://www.nitori-net.tw/product/5898406</t>
        </is>
      </c>
      <c r="S217" s="2" t="inlineStr">
        <is>
          <t>官網</t>
        </is>
      </c>
      <c r="T217" s="2" t="inlineStr">
        <is>
          <t>high</t>
        </is>
      </c>
      <c r="U217" s="2" t="inlineStr">
        <is>
          <t>DECO HOME商品</t>
        </is>
      </c>
      <c r="V217" s="2" t="inlineStr"/>
    </row>
    <row r="218">
      <c r="A218" s="2" t="inlineStr">
        <is>
          <t>NITORI-102</t>
        </is>
      </c>
      <c r="B218" s="2" t="inlineStr">
        <is>
          <t>NITORI</t>
        </is>
      </c>
      <c r="C218" s="2" t="inlineStr">
        <is>
          <t>N BRANC</t>
        </is>
      </c>
      <c r="D218" s="2" t="inlineStr">
        <is>
          <t>整理托盤 S N BRANC</t>
        </is>
      </c>
      <c r="E218" s="2" t="inlineStr">
        <is>
          <t>8920341/8920361</t>
        </is>
      </c>
      <c r="F218" s="2" t="n">
        <v>8.5</v>
      </c>
      <c r="G218" s="2" t="n">
        <v>8.5</v>
      </c>
      <c r="H218" s="2" t="n">
        <v>4.5</v>
      </c>
      <c r="I218" s="2" t="n"/>
      <c r="J218" s="2" t="n"/>
      <c r="K218" s="2" t="n"/>
      <c r="L218" s="2" t="inlineStr">
        <is>
          <t>聚對苯二甲酸乙二酯(PET)塑膠</t>
        </is>
      </c>
      <c r="M218" s="2" t="inlineStr">
        <is>
          <t>白色/透明</t>
        </is>
      </c>
      <c r="N218" s="2" t="inlineStr"/>
      <c r="O218" s="2" t="inlineStr">
        <is>
          <t>N</t>
        </is>
      </c>
      <c r="P218" s="2" t="n">
        <v>39</v>
      </c>
      <c r="Q218" s="2" t="inlineStr">
        <is>
          <t>2026-10-26</t>
        </is>
      </c>
      <c r="R218" s="3" t="inlineStr">
        <is>
          <t>https://www.nitori-net.tw/product/8920341</t>
        </is>
      </c>
      <c r="S218" s="2" t="inlineStr">
        <is>
          <t>官網</t>
        </is>
      </c>
      <c r="T218" s="2" t="inlineStr">
        <is>
          <t>high</t>
        </is>
      </c>
      <c r="U218" s="2" t="inlineStr">
        <is>
          <t>官網：同系列不同尺寸可組合搭配；依官方尺寸，寬度為8.5公分倍數(S8.5/M17/L25.5/LL34)</t>
        </is>
      </c>
      <c r="V218" s="2" t="inlineStr"/>
    </row>
    <row r="219">
      <c r="A219" s="2" t="inlineStr">
        <is>
          <t>NITORI-103</t>
        </is>
      </c>
      <c r="B219" s="2" t="inlineStr">
        <is>
          <t>NITORI</t>
        </is>
      </c>
      <c r="C219" s="2" t="inlineStr">
        <is>
          <t>N BRANC</t>
        </is>
      </c>
      <c r="D219" s="2" t="inlineStr">
        <is>
          <t>整理托盤 M N BRANC</t>
        </is>
      </c>
      <c r="E219" s="2" t="inlineStr">
        <is>
          <t>8920342/8920362</t>
        </is>
      </c>
      <c r="F219" s="2" t="n">
        <v>17</v>
      </c>
      <c r="G219" s="2" t="n">
        <v>8.5</v>
      </c>
      <c r="H219" s="2" t="n">
        <v>4.5</v>
      </c>
      <c r="I219" s="2" t="n"/>
      <c r="J219" s="2" t="n"/>
      <c r="K219" s="2" t="n"/>
      <c r="L219" s="2" t="inlineStr">
        <is>
          <t>聚對苯二甲酸乙二酯(PET)塑膠</t>
        </is>
      </c>
      <c r="M219" s="2" t="inlineStr">
        <is>
          <t>白色/透明</t>
        </is>
      </c>
      <c r="N219" s="2" t="inlineStr"/>
      <c r="O219" s="2" t="inlineStr">
        <is>
          <t>N</t>
        </is>
      </c>
      <c r="P219" s="2" t="n">
        <v>49</v>
      </c>
      <c r="Q219" s="2" t="inlineStr">
        <is>
          <t>2026-10-26</t>
        </is>
      </c>
      <c r="R219" s="3" t="inlineStr">
        <is>
          <t>https://www.nitori-net.tw/product/8920342</t>
        </is>
      </c>
      <c r="S219" s="2" t="inlineStr">
        <is>
          <t>官網</t>
        </is>
      </c>
      <c r="T219" s="2" t="inlineStr">
        <is>
          <t>high</t>
        </is>
      </c>
      <c r="U219" s="2" t="inlineStr">
        <is>
          <t>官網：同系列不同尺寸可組合搭配；依官方尺寸，寬度為8.5公分倍數(S8.5/M17/L25.5/LL34)；價格：查詢日售價49（原價59）、透明 59元</t>
        </is>
      </c>
      <c r="V219" s="2" t="inlineStr"/>
    </row>
    <row r="220">
      <c r="A220" s="2" t="inlineStr">
        <is>
          <t>NITORI-104</t>
        </is>
      </c>
      <c r="B220" s="2" t="inlineStr">
        <is>
          <t>NITORI</t>
        </is>
      </c>
      <c r="C220" s="2" t="inlineStr">
        <is>
          <t>N BRANC</t>
        </is>
      </c>
      <c r="D220" s="2" t="inlineStr">
        <is>
          <t>整理托盤 L N BRANC</t>
        </is>
      </c>
      <c r="E220" s="2" t="inlineStr">
        <is>
          <t>8920343/8920363</t>
        </is>
      </c>
      <c r="F220" s="2" t="n">
        <v>25.5</v>
      </c>
      <c r="G220" s="2" t="n">
        <v>8.5</v>
      </c>
      <c r="H220" s="2" t="n">
        <v>4.5</v>
      </c>
      <c r="I220" s="2" t="n"/>
      <c r="J220" s="2" t="n"/>
      <c r="K220" s="2" t="n"/>
      <c r="L220" s="2" t="inlineStr">
        <is>
          <t>聚對苯二甲酸乙二酯(PET)塑膠</t>
        </is>
      </c>
      <c r="M220" s="2" t="inlineStr">
        <is>
          <t>白色/透明</t>
        </is>
      </c>
      <c r="N220" s="2" t="inlineStr"/>
      <c r="O220" s="2" t="inlineStr">
        <is>
          <t>N</t>
        </is>
      </c>
      <c r="P220" s="2" t="n">
        <v>71</v>
      </c>
      <c r="Q220" s="2" t="inlineStr">
        <is>
          <t>2026-10-26</t>
        </is>
      </c>
      <c r="R220" s="3" t="inlineStr">
        <is>
          <t>https://www.nitori-net.tw/product/8920343</t>
        </is>
      </c>
      <c r="S220" s="2" t="inlineStr">
        <is>
          <t>官網</t>
        </is>
      </c>
      <c r="T220" s="2" t="inlineStr">
        <is>
          <t>high</t>
        </is>
      </c>
      <c r="U220" s="2" t="inlineStr">
        <is>
          <t>官網：同系列不同尺寸可組合搭配；依官方尺寸，寬度為8.5公分倍數(S8.5/M17/L25.5/LL34)；價格：查詢日售價71（原價79）</t>
        </is>
      </c>
      <c r="V220" s="2" t="inlineStr"/>
    </row>
    <row r="221">
      <c r="A221" s="2" t="inlineStr">
        <is>
          <t>NITORI-105</t>
        </is>
      </c>
      <c r="B221" s="2" t="inlineStr">
        <is>
          <t>NITORI</t>
        </is>
      </c>
      <c r="C221" s="2" t="inlineStr">
        <is>
          <t>N BRANC</t>
        </is>
      </c>
      <c r="D221" s="2" t="inlineStr">
        <is>
          <t>整理托盤 LL N BRANC</t>
        </is>
      </c>
      <c r="E221" s="2" t="inlineStr">
        <is>
          <t>8920443</t>
        </is>
      </c>
      <c r="F221" s="2" t="n">
        <v>34</v>
      </c>
      <c r="G221" s="2" t="n">
        <v>8.5</v>
      </c>
      <c r="H221" s="2" t="n">
        <v>4.5</v>
      </c>
      <c r="I221" s="2" t="n"/>
      <c r="J221" s="2" t="n"/>
      <c r="K221" s="2" t="n"/>
      <c r="L221" s="2" t="inlineStr">
        <is>
          <t>PET塑膠</t>
        </is>
      </c>
      <c r="M221" s="2" t="inlineStr">
        <is>
          <t>純白色</t>
        </is>
      </c>
      <c r="N221" s="2" t="inlineStr"/>
      <c r="O221" s="2" t="inlineStr">
        <is>
          <t>N</t>
        </is>
      </c>
      <c r="P221" s="2" t="n">
        <v>99</v>
      </c>
      <c r="Q221" s="2" t="inlineStr">
        <is>
          <t>2026-10-26</t>
        </is>
      </c>
      <c r="R221" s="3" t="inlineStr">
        <is>
          <t>https://www.nitori-net.tw/product/8920443</t>
        </is>
      </c>
      <c r="S221" s="2" t="inlineStr">
        <is>
          <t>官網</t>
        </is>
      </c>
      <c r="T221" s="2" t="inlineStr">
        <is>
          <t>high</t>
        </is>
      </c>
      <c r="U221" s="2" t="inlineStr">
        <is>
          <t>官網：同系列不同尺寸可組合搭配；依官方尺寸，寬度為8.5公分倍數(S8.5/M17/L25.5/LL34)</t>
        </is>
      </c>
      <c r="V221" s="2" t="inlineStr"/>
    </row>
    <row r="222">
      <c r="A222" s="2" t="inlineStr">
        <is>
          <t>NITORI-106</t>
        </is>
      </c>
      <c r="B222" s="2" t="inlineStr">
        <is>
          <t>NITORI</t>
        </is>
      </c>
      <c r="C222" s="2" t="inlineStr">
        <is>
          <t>N BRANC</t>
        </is>
      </c>
      <c r="D222" s="2" t="inlineStr">
        <is>
          <t>方形置物盒 S N BRANC</t>
        </is>
      </c>
      <c r="E222" s="2" t="inlineStr">
        <is>
          <t>8920371</t>
        </is>
      </c>
      <c r="F222" s="2" t="n">
        <v>8.5</v>
      </c>
      <c r="G222" s="2" t="n">
        <v>8.5</v>
      </c>
      <c r="H222" s="2" t="n">
        <v>9</v>
      </c>
      <c r="I222" s="2" t="n"/>
      <c r="J222" s="2" t="n"/>
      <c r="K222" s="2" t="n"/>
      <c r="L222" s="2" t="inlineStr">
        <is>
          <t>聚對苯二甲酸乙二酯(PET)塑膠</t>
        </is>
      </c>
      <c r="M222" s="2" t="inlineStr">
        <is>
          <t>白色</t>
        </is>
      </c>
      <c r="N222" s="2" t="inlineStr"/>
      <c r="O222" s="2" t="inlineStr">
        <is>
          <t>N</t>
        </is>
      </c>
      <c r="P222" s="2" t="n">
        <v>79</v>
      </c>
      <c r="Q222" s="2" t="inlineStr">
        <is>
          <t>2026-10-26</t>
        </is>
      </c>
      <c r="R222" s="3" t="inlineStr">
        <is>
          <t>https://www.nitori-net.tw/product/8920371</t>
        </is>
      </c>
      <c r="S222" s="2" t="inlineStr">
        <is>
          <t>官網</t>
        </is>
      </c>
      <c r="T222" s="2" t="inlineStr">
        <is>
          <t>high</t>
        </is>
      </c>
      <c r="U222" s="2" t="inlineStr">
        <is>
          <t>底面8.5×8.5與整理托盤S相同</t>
        </is>
      </c>
      <c r="V222" s="2" t="inlineStr"/>
    </row>
    <row r="223">
      <c r="A223" s="2" t="inlineStr">
        <is>
          <t>NITORI-107</t>
        </is>
      </c>
      <c r="B223" s="2" t="inlineStr">
        <is>
          <t>NITORI</t>
        </is>
      </c>
      <c r="C223" s="2" t="inlineStr">
        <is>
          <t>N BRANC</t>
        </is>
      </c>
      <c r="D223" s="2" t="inlineStr">
        <is>
          <t>餐具整理盒 N BRANC</t>
        </is>
      </c>
      <c r="E223" s="2" t="inlineStr">
        <is>
          <t>8920348</t>
        </is>
      </c>
      <c r="F223" s="2" t="n">
        <v>34</v>
      </c>
      <c r="G223" s="2" t="n">
        <v>25.5</v>
      </c>
      <c r="H223" s="2" t="n">
        <v>4.5</v>
      </c>
      <c r="I223" s="2" t="n"/>
      <c r="J223" s="2" t="n"/>
      <c r="K223" s="2" t="n"/>
      <c r="L223" s="2" t="inlineStr">
        <is>
          <t>聚對苯二甲酸乙二酯(PET)塑膠</t>
        </is>
      </c>
      <c r="M223" s="2" t="inlineStr">
        <is>
          <t>白色</t>
        </is>
      </c>
      <c r="N223" s="2" t="inlineStr"/>
      <c r="O223" s="2" t="inlineStr">
        <is>
          <t>N</t>
        </is>
      </c>
      <c r="P223" s="2" t="n">
        <v>199</v>
      </c>
      <c r="Q223" s="2" t="inlineStr">
        <is>
          <t>2026-10-26</t>
        </is>
      </c>
      <c r="R223" s="3" t="inlineStr">
        <is>
          <t>https://www.nitori-net.tw/product/8920348</t>
        </is>
      </c>
      <c r="S223" s="2" t="inlineStr">
        <is>
          <t>官網</t>
        </is>
      </c>
      <c r="T223" s="2" t="inlineStr">
        <is>
          <t>high</t>
        </is>
      </c>
      <c r="U223" s="2" t="inlineStr">
        <is>
          <t>抽屜用餐具分格盒</t>
        </is>
      </c>
      <c r="V223" s="2" t="inlineStr"/>
    </row>
    <row r="224">
      <c r="A224" s="2" t="inlineStr">
        <is>
          <t>NITORI-108</t>
        </is>
      </c>
      <c r="B224" s="2" t="inlineStr">
        <is>
          <t>NITORI</t>
        </is>
      </c>
      <c r="C224" s="2" t="inlineStr">
        <is>
          <t>NT（DECO HOME）</t>
        </is>
      </c>
      <c r="D224" s="2" t="inlineStr">
        <is>
          <t>【DECO HOME商品】二層桌上收納盒 NT347(DH)</t>
        </is>
      </c>
      <c r="E224" s="2" t="inlineStr">
        <is>
          <t>5870132</t>
        </is>
      </c>
      <c r="F224" s="2" t="n">
        <v>18</v>
      </c>
      <c r="G224" s="2" t="n">
        <v>24</v>
      </c>
      <c r="H224" s="2" t="n">
        <v>15</v>
      </c>
      <c r="I224" s="2" t="n"/>
      <c r="J224" s="2" t="n"/>
      <c r="K224" s="2" t="n"/>
      <c r="L224" s="2" t="inlineStr">
        <is>
          <t>PVC、聚酯纖維、紙</t>
        </is>
      </c>
      <c r="M224" s="2" t="inlineStr">
        <is>
          <t>摩卡色</t>
        </is>
      </c>
      <c r="N224" s="2" t="inlineStr"/>
      <c r="O224" s="2" t="inlineStr">
        <is>
          <t>N</t>
        </is>
      </c>
      <c r="P224" s="2" t="n">
        <v>299</v>
      </c>
      <c r="Q224" s="2" t="inlineStr">
        <is>
          <t>2026-10-26</t>
        </is>
      </c>
      <c r="R224" s="3" t="inlineStr">
        <is>
          <t>https://www.nitori-net.tw/product/5870132</t>
        </is>
      </c>
      <c r="S224" s="2" t="inlineStr">
        <is>
          <t>官網</t>
        </is>
      </c>
      <c r="T224" s="2" t="inlineStr">
        <is>
          <t>high</t>
        </is>
      </c>
      <c r="U224" s="2" t="inlineStr">
        <is>
          <t>桌上小物盒；DECO HOME商品</t>
        </is>
      </c>
      <c r="V224" s="2" t="inlineStr"/>
    </row>
    <row r="225">
      <c r="A225" s="2" t="inlineStr">
        <is>
          <t>NITORI-109</t>
        </is>
      </c>
      <c r="B225" s="2" t="inlineStr">
        <is>
          <t>NITORI</t>
        </is>
      </c>
      <c r="C225" s="2" t="inlineStr">
        <is>
          <t>NT（DECO HOME）</t>
        </is>
      </c>
      <c r="D225" s="2" t="inlineStr">
        <is>
          <t>【DECO HOME商品】二層抽屜收納盒 NT346(DH)</t>
        </is>
      </c>
      <c r="E225" s="2" t="inlineStr">
        <is>
          <t>5870134</t>
        </is>
      </c>
      <c r="F225" s="2" t="n">
        <v>35.3</v>
      </c>
      <c r="G225" s="2" t="n">
        <v>24</v>
      </c>
      <c r="H225" s="2" t="n">
        <v>15</v>
      </c>
      <c r="I225" s="2" t="n"/>
      <c r="J225" s="2" t="n"/>
      <c r="K225" s="2" t="n"/>
      <c r="L225" s="2" t="inlineStr">
        <is>
          <t>PVC、聚酯纖維、紙</t>
        </is>
      </c>
      <c r="M225" s="2" t="inlineStr">
        <is>
          <t>摩卡色</t>
        </is>
      </c>
      <c r="N225" s="2" t="inlineStr"/>
      <c r="O225" s="2" t="inlineStr">
        <is>
          <t>N</t>
        </is>
      </c>
      <c r="P225" s="2" t="n">
        <v>399</v>
      </c>
      <c r="Q225" s="2" t="inlineStr">
        <is>
          <t>2026-10-26</t>
        </is>
      </c>
      <c r="R225" s="3" t="inlineStr">
        <is>
          <t>https://www.nitori-net.tw/product/5870134</t>
        </is>
      </c>
      <c r="S225" s="2" t="inlineStr">
        <is>
          <t>官網</t>
        </is>
      </c>
      <c r="T225" s="2" t="inlineStr">
        <is>
          <t>high</t>
        </is>
      </c>
      <c r="U225" s="2" t="inlineStr">
        <is>
          <t>桌上抽屜盒；DECO HOME商品</t>
        </is>
      </c>
      <c r="V225" s="2" t="inlineStr"/>
    </row>
    <row r="226">
      <c r="A226" s="2" t="inlineStr">
        <is>
          <t>NITORI-110</t>
        </is>
      </c>
      <c r="B226" s="2" t="inlineStr">
        <is>
          <t>NITORI</t>
        </is>
      </c>
      <c r="C226" s="2" t="inlineStr">
        <is>
          <t>NT（DECO HOME）</t>
        </is>
      </c>
      <c r="D226" s="2" t="inlineStr">
        <is>
          <t>【DECO HOME商品】多格收納盒 NT344(DH)</t>
        </is>
      </c>
      <c r="E226" s="2" t="inlineStr">
        <is>
          <t>5870136</t>
        </is>
      </c>
      <c r="F226" s="2" t="n">
        <v>15</v>
      </c>
      <c r="G226" s="2" t="n">
        <v>14.4</v>
      </c>
      <c r="H226" s="2" t="n">
        <v>13.2</v>
      </c>
      <c r="I226" s="2" t="n"/>
      <c r="J226" s="2" t="n"/>
      <c r="K226" s="2" t="n"/>
      <c r="L226" s="2" t="inlineStr">
        <is>
          <t>PVC、紙</t>
        </is>
      </c>
      <c r="M226" s="2" t="inlineStr">
        <is>
          <t>摩卡色</t>
        </is>
      </c>
      <c r="N226" s="2" t="inlineStr"/>
      <c r="O226" s="2" t="inlineStr">
        <is>
          <t>N</t>
        </is>
      </c>
      <c r="P226" s="2" t="n">
        <v>149</v>
      </c>
      <c r="Q226" s="2" t="inlineStr">
        <is>
          <t>2026-10-26</t>
        </is>
      </c>
      <c r="R226" s="3" t="inlineStr">
        <is>
          <t>https://www.nitori-net.tw/product/5870136</t>
        </is>
      </c>
      <c r="S226" s="2" t="inlineStr">
        <is>
          <t>官網</t>
        </is>
      </c>
      <c r="T226" s="2" t="inlineStr">
        <is>
          <t>high</t>
        </is>
      </c>
      <c r="U226" s="2" t="inlineStr">
        <is>
          <t>桌上小物盒；DECO HOME商品</t>
        </is>
      </c>
      <c r="V226" s="2" t="inlineStr"/>
    </row>
    <row r="227">
      <c r="A227" s="2" t="inlineStr">
        <is>
          <t>NITORI-111</t>
        </is>
      </c>
      <c r="B227" s="2" t="inlineStr">
        <is>
          <t>NITORI</t>
        </is>
      </c>
      <c r="C227" s="2" t="inlineStr">
        <is>
          <t>DECO HOME</t>
        </is>
      </c>
      <c r="D227" s="2" t="inlineStr">
        <is>
          <t>【DECO HOME商品】3層收納盒 全白</t>
        </is>
      </c>
      <c r="E227" s="2" t="inlineStr">
        <is>
          <t>8732195</t>
        </is>
      </c>
      <c r="F227" s="2" t="n">
        <v>25</v>
      </c>
      <c r="G227" s="2" t="n">
        <v>35</v>
      </c>
      <c r="H227" s="2" t="n">
        <v>28</v>
      </c>
      <c r="I227" s="2" t="n"/>
      <c r="J227" s="2" t="n"/>
      <c r="K227" s="2" t="n"/>
      <c r="L227" s="2" t="inlineStr">
        <is>
          <t>PP</t>
        </is>
      </c>
      <c r="M227" s="2" t="inlineStr">
        <is>
          <t>白色</t>
        </is>
      </c>
      <c r="N227" s="2" t="inlineStr">
        <is>
          <t>Y</t>
        </is>
      </c>
      <c r="O227" s="2" t="inlineStr">
        <is>
          <t>N</t>
        </is>
      </c>
      <c r="P227" s="2" t="n">
        <v>199</v>
      </c>
      <c r="Q227" s="2" t="inlineStr">
        <is>
          <t>2026-10-26</t>
        </is>
      </c>
      <c r="R227" s="3" t="inlineStr">
        <is>
          <t>https://www.nitori-net.tw/product/8732195</t>
        </is>
      </c>
      <c r="S227" s="2" t="inlineStr">
        <is>
          <t>官網</t>
        </is>
      </c>
      <c r="T227" s="2" t="inlineStr">
        <is>
          <t>high</t>
        </is>
      </c>
      <c r="U227" s="2" t="inlineStr">
        <is>
          <t>官網：可堆疊至3層</t>
        </is>
      </c>
      <c r="V227" s="2" t="inlineStr"/>
    </row>
    <row r="228">
      <c r="A228" s="2" t="inlineStr">
        <is>
          <t>NITORI-112</t>
        </is>
      </c>
      <c r="B228" s="2" t="inlineStr">
        <is>
          <t>NITORI</t>
        </is>
      </c>
      <c r="C228" s="2" t="inlineStr">
        <is>
          <t>NN01</t>
        </is>
      </c>
      <c r="D228" s="2" t="inlineStr">
        <is>
          <t>(網購限定)小物收納盒 三層 NN01(EC)</t>
        </is>
      </c>
      <c r="E228" s="2" t="inlineStr">
        <is>
          <t>2113200003318/2113200003431</t>
        </is>
      </c>
      <c r="F228" s="2" t="n">
        <v>8.800000000000001</v>
      </c>
      <c r="G228" s="2" t="n">
        <v>18</v>
      </c>
      <c r="H228" s="2" t="n">
        <v>26.3</v>
      </c>
      <c r="I228" s="2" t="n"/>
      <c r="J228" s="2" t="n"/>
      <c r="K228" s="2" t="n"/>
      <c r="L228" s="2" t="inlineStr">
        <is>
          <t>紙</t>
        </is>
      </c>
      <c r="M228" s="2" t="inlineStr">
        <is>
          <t>石灰白/中褐色</t>
        </is>
      </c>
      <c r="N228" s="2" t="inlineStr"/>
      <c r="O228" s="2" t="inlineStr">
        <is>
          <t>N</t>
        </is>
      </c>
      <c r="P228" s="2" t="n">
        <v>349</v>
      </c>
      <c r="Q228" s="2" t="inlineStr">
        <is>
          <t>2026-10-26</t>
        </is>
      </c>
      <c r="R228" s="3" t="inlineStr">
        <is>
          <t>https://www.nitori-net.tw/product/2113200003318</t>
        </is>
      </c>
      <c r="S228" s="2" t="inlineStr">
        <is>
          <t>官網</t>
        </is>
      </c>
      <c r="T228" s="2" t="inlineStr">
        <is>
          <t>high</t>
        </is>
      </c>
      <c r="U228" s="2" t="inlineStr">
        <is>
          <t>網購限定；桌上小物盒；價格：中褐色 319元</t>
        </is>
      </c>
      <c r="V228" s="2" t="inlineStr"/>
    </row>
    <row r="229">
      <c r="A229" s="2" t="inlineStr">
        <is>
          <t>NITORI-113</t>
        </is>
      </c>
      <c r="B229" s="2" t="inlineStr">
        <is>
          <t>NITORI</t>
        </is>
      </c>
      <c r="C229" s="2" t="inlineStr">
        <is>
          <t>NN01</t>
        </is>
      </c>
      <c r="D229" s="2" t="inlineStr">
        <is>
          <t>(網購限定)抽屜收納盒一層 2D NN01(EC)</t>
        </is>
      </c>
      <c r="E229" s="2" t="inlineStr">
        <is>
          <t>2113200003370/2113200003493</t>
        </is>
      </c>
      <c r="F229" s="2" t="n">
        <v>38</v>
      </c>
      <c r="G229" s="2" t="n">
        <v>26</v>
      </c>
      <c r="H229" s="2" t="n">
        <v>15</v>
      </c>
      <c r="I229" s="2" t="n"/>
      <c r="J229" s="2" t="n"/>
      <c r="K229" s="2" t="n"/>
      <c r="L229" s="2" t="inlineStr">
        <is>
          <t>紙</t>
        </is>
      </c>
      <c r="M229" s="2" t="inlineStr">
        <is>
          <t>石灰白/中褐色</t>
        </is>
      </c>
      <c r="N229" s="2" t="inlineStr"/>
      <c r="O229" s="2" t="inlineStr">
        <is>
          <t>N</t>
        </is>
      </c>
      <c r="P229" s="2" t="n">
        <v>499</v>
      </c>
      <c r="Q229" s="2" t="inlineStr">
        <is>
          <t>2026-10-26</t>
        </is>
      </c>
      <c r="R229" s="3" t="inlineStr">
        <is>
          <t>https://www.nitori-net.tw/product/2113200003370</t>
        </is>
      </c>
      <c r="S229" s="2" t="inlineStr">
        <is>
          <t>官網</t>
        </is>
      </c>
      <c r="T229" s="2" t="inlineStr">
        <is>
          <t>high</t>
        </is>
      </c>
      <c r="U229" s="2" t="inlineStr">
        <is>
          <t>網購限定</t>
        </is>
      </c>
      <c r="V229" s="2" t="inlineStr"/>
    </row>
    <row r="230">
      <c r="A230" s="2" t="inlineStr">
        <is>
          <t>NITORI-114</t>
        </is>
      </c>
      <c r="B230" s="2" t="inlineStr">
        <is>
          <t>NITORI</t>
        </is>
      </c>
      <c r="C230" s="2" t="inlineStr">
        <is>
          <t>NN01</t>
        </is>
      </c>
      <c r="D230" s="2" t="inlineStr">
        <is>
          <t>(網購限定)A5二層文件盒 NN01(EC)</t>
        </is>
      </c>
      <c r="E230" s="2" t="inlineStr">
        <is>
          <t>2113200003356</t>
        </is>
      </c>
      <c r="F230" s="2" t="n">
        <v>19</v>
      </c>
      <c r="G230" s="2" t="n">
        <v>26</v>
      </c>
      <c r="H230" s="2" t="n">
        <v>15</v>
      </c>
      <c r="I230" s="2" t="n"/>
      <c r="J230" s="2" t="n"/>
      <c r="K230" s="2" t="n"/>
      <c r="L230" s="2" t="inlineStr">
        <is>
          <t>紙</t>
        </is>
      </c>
      <c r="M230" s="2" t="inlineStr">
        <is>
          <t>石灰白</t>
        </is>
      </c>
      <c r="N230" s="2" t="inlineStr"/>
      <c r="O230" s="2" t="inlineStr">
        <is>
          <t>N</t>
        </is>
      </c>
      <c r="P230" s="2" t="n">
        <v>349</v>
      </c>
      <c r="Q230" s="2" t="inlineStr">
        <is>
          <t>2026-10-26</t>
        </is>
      </c>
      <c r="R230" s="3" t="inlineStr">
        <is>
          <t>https://www.nitori-net.tw/product/2113200003356</t>
        </is>
      </c>
      <c r="S230" s="2" t="inlineStr">
        <is>
          <t>官網</t>
        </is>
      </c>
      <c r="T230" s="2" t="inlineStr">
        <is>
          <t>high</t>
        </is>
      </c>
      <c r="U230" s="2" t="inlineStr">
        <is>
          <t>網購限定</t>
        </is>
      </c>
      <c r="V230" s="2" t="inlineStr"/>
    </row>
    <row r="231">
      <c r="A231" s="2" t="inlineStr">
        <is>
          <t>NITORI-115</t>
        </is>
      </c>
      <c r="B231" s="2" t="inlineStr">
        <is>
          <t>NITORI</t>
        </is>
      </c>
      <c r="C231" s="2" t="inlineStr">
        <is>
          <t>NN01</t>
        </is>
      </c>
      <c r="D231" s="2" t="inlineStr">
        <is>
          <t>(網購限定)A4二層文件盒 NN01(EC)</t>
        </is>
      </c>
      <c r="E231" s="2" t="inlineStr">
        <is>
          <t>2113200003349</t>
        </is>
      </c>
      <c r="F231" s="2" t="n">
        <v>38</v>
      </c>
      <c r="G231" s="2" t="n">
        <v>26</v>
      </c>
      <c r="H231" s="2" t="n">
        <v>15</v>
      </c>
      <c r="I231" s="2" t="n"/>
      <c r="J231" s="2" t="n"/>
      <c r="K231" s="2" t="n"/>
      <c r="L231" s="2" t="inlineStr">
        <is>
          <t>紙</t>
        </is>
      </c>
      <c r="M231" s="2" t="inlineStr">
        <is>
          <t>石灰白</t>
        </is>
      </c>
      <c r="N231" s="2" t="inlineStr"/>
      <c r="O231" s="2" t="inlineStr">
        <is>
          <t>N</t>
        </is>
      </c>
      <c r="P231" s="2" t="n">
        <v>449</v>
      </c>
      <c r="Q231" s="2" t="inlineStr">
        <is>
          <t>2026-10-26</t>
        </is>
      </c>
      <c r="R231" s="3" t="inlineStr">
        <is>
          <t>https://www.nitori-net.tw/product/2113200003349</t>
        </is>
      </c>
      <c r="S231" s="2" t="inlineStr">
        <is>
          <t>官網</t>
        </is>
      </c>
      <c r="T231" s="2" t="inlineStr">
        <is>
          <t>high</t>
        </is>
      </c>
      <c r="U231" s="2" t="inlineStr">
        <is>
          <t>網購限定；二層/三層官網標示同外寸；價格：查詢日售價449（原價499）</t>
        </is>
      </c>
      <c r="V231" s="2" t="inlineStr"/>
    </row>
    <row r="232">
      <c r="A232" s="2" t="inlineStr">
        <is>
          <t>NITORI-116</t>
        </is>
      </c>
      <c r="B232" s="2" t="inlineStr">
        <is>
          <t>NITORI</t>
        </is>
      </c>
      <c r="C232" s="2" t="inlineStr">
        <is>
          <t>NN01</t>
        </is>
      </c>
      <c r="D232" s="2" t="inlineStr">
        <is>
          <t>(網購限定)A4三層文件盒 NN01(EC)</t>
        </is>
      </c>
      <c r="E232" s="2" t="inlineStr">
        <is>
          <t>2113200003363/2113200003486</t>
        </is>
      </c>
      <c r="F232" s="2" t="n">
        <v>38</v>
      </c>
      <c r="G232" s="2" t="n">
        <v>26</v>
      </c>
      <c r="H232" s="2" t="n">
        <v>15</v>
      </c>
      <c r="I232" s="2" t="n"/>
      <c r="J232" s="2" t="n"/>
      <c r="K232" s="2" t="n"/>
      <c r="L232" s="2" t="inlineStr">
        <is>
          <t>紙</t>
        </is>
      </c>
      <c r="M232" s="2" t="inlineStr">
        <is>
          <t>石灰白/中褐色</t>
        </is>
      </c>
      <c r="N232" s="2" t="inlineStr"/>
      <c r="O232" s="2" t="inlineStr">
        <is>
          <t>N</t>
        </is>
      </c>
      <c r="P232" s="2" t="n">
        <v>499</v>
      </c>
      <c r="Q232" s="2" t="inlineStr">
        <is>
          <t>2026-10-26</t>
        </is>
      </c>
      <c r="R232" s="3" t="inlineStr">
        <is>
          <t>https://www.nitori-net.tw/product/2113200003363</t>
        </is>
      </c>
      <c r="S232" s="2" t="inlineStr">
        <is>
          <t>官網</t>
        </is>
      </c>
      <c r="T232" s="2" t="inlineStr">
        <is>
          <t>high</t>
        </is>
      </c>
      <c r="U232" s="2" t="inlineStr">
        <is>
          <t>網購限定；二層/三層官網標示同外寸</t>
        </is>
      </c>
      <c r="V232" s="2" t="inlineStr"/>
    </row>
    <row r="233">
      <c r="A233" s="2" t="inlineStr">
        <is>
          <t>NITORI-117</t>
        </is>
      </c>
      <c r="B233" s="2" t="inlineStr">
        <is>
          <t>NITORI</t>
        </is>
      </c>
      <c r="C233" s="2" t="inlineStr">
        <is>
          <t>LUCENT（DECO HOME）</t>
        </is>
      </c>
      <c r="D233" s="2" t="inlineStr">
        <is>
          <t>【DECO HOME商品】二層小物收納盒 化妝架LUCENT 5716</t>
        </is>
      </c>
      <c r="E233" s="2" t="inlineStr">
        <is>
          <t>8130589</t>
        </is>
      </c>
      <c r="F233" s="2" t="n">
        <v>21.5</v>
      </c>
      <c r="G233" s="2" t="n">
        <v>14.5</v>
      </c>
      <c r="H233" s="2" t="n">
        <v>9.5</v>
      </c>
      <c r="I233" s="2" t="n"/>
      <c r="J233" s="2" t="n"/>
      <c r="K233" s="2" t="n"/>
      <c r="L233" s="2" t="inlineStr">
        <is>
          <t>聚甲基丙烯酸甲酯樹脂（壓克力）</t>
        </is>
      </c>
      <c r="M233" s="2" t="inlineStr">
        <is>
          <t>透明</t>
        </is>
      </c>
      <c r="N233" s="2" t="inlineStr">
        <is>
          <t>Y</t>
        </is>
      </c>
      <c r="O233" s="2" t="inlineStr">
        <is>
          <t>N</t>
        </is>
      </c>
      <c r="P233" s="2" t="n">
        <v>499</v>
      </c>
      <c r="Q233" s="2" t="inlineStr">
        <is>
          <t>2026-10-26</t>
        </is>
      </c>
      <c r="R233" s="3" t="inlineStr">
        <is>
          <t>https://www.nitori-net.tw/product/8130589</t>
        </is>
      </c>
      <c r="S233" s="2" t="inlineStr">
        <is>
          <t>官網</t>
        </is>
      </c>
      <c r="T233" s="2" t="inlineStr">
        <is>
          <t>high</t>
        </is>
      </c>
      <c r="U233" s="2" t="inlineStr">
        <is>
          <t>官網：可與同系列化妝品小物收納架堆疊</t>
        </is>
      </c>
      <c r="V233" s="2" t="inlineStr"/>
    </row>
    <row r="234">
      <c r="A234" s="2" t="inlineStr">
        <is>
          <t>NITORI-118</t>
        </is>
      </c>
      <c r="B234" s="2" t="inlineStr">
        <is>
          <t>NITORI</t>
        </is>
      </c>
      <c r="C234" s="2" t="inlineStr">
        <is>
          <t>LUCENT（DECO HOME）</t>
        </is>
      </c>
      <c r="D234" s="2" t="inlineStr">
        <is>
          <t>【DECO HOME商品】三層小物收納盒 化妝架LUCENT 5715</t>
        </is>
      </c>
      <c r="E234" s="2" t="inlineStr">
        <is>
          <t>8130608</t>
        </is>
      </c>
      <c r="F234" s="2" t="n">
        <v>10.5</v>
      </c>
      <c r="G234" s="2" t="n">
        <v>14.5</v>
      </c>
      <c r="H234" s="2" t="n">
        <v>13.5</v>
      </c>
      <c r="I234" s="2" t="n"/>
      <c r="J234" s="2" t="n"/>
      <c r="K234" s="2" t="n"/>
      <c r="L234" s="2" t="inlineStr">
        <is>
          <t>聚甲基丙烯酸甲酯樹脂（壓克力）</t>
        </is>
      </c>
      <c r="M234" s="2" t="inlineStr">
        <is>
          <t>透明</t>
        </is>
      </c>
      <c r="N234" s="2" t="inlineStr"/>
      <c r="O234" s="2" t="inlineStr">
        <is>
          <t>N</t>
        </is>
      </c>
      <c r="P234" s="2" t="n">
        <v>399</v>
      </c>
      <c r="Q234" s="2" t="inlineStr">
        <is>
          <t>2026-10-26</t>
        </is>
      </c>
      <c r="R234" s="3" t="inlineStr">
        <is>
          <t>https://www.nitori-net.tw/product/8130608</t>
        </is>
      </c>
      <c r="S234" s="2" t="inlineStr">
        <is>
          <t>官網</t>
        </is>
      </c>
      <c r="T234" s="2" t="inlineStr">
        <is>
          <t>high</t>
        </is>
      </c>
      <c r="U234" s="2" t="inlineStr">
        <is>
          <t>DECO HOME商品</t>
        </is>
      </c>
      <c r="V234" s="2" t="inlineStr"/>
    </row>
    <row r="235">
      <c r="A235" s="2" t="inlineStr">
        <is>
          <t>NITORI-119</t>
        </is>
      </c>
      <c r="B235" s="2" t="inlineStr">
        <is>
          <t>NITORI</t>
        </is>
      </c>
      <c r="C235" s="2" t="inlineStr">
        <is>
          <t>檔案整理架</t>
        </is>
      </c>
      <c r="D235" s="2" t="inlineStr">
        <is>
          <t>A4 檔案整理架2</t>
        </is>
      </c>
      <c r="E235" s="2" t="inlineStr">
        <is>
          <t>2113200012389/2113200012426</t>
        </is>
      </c>
      <c r="F235" s="2" t="n">
        <v>9.699999999999999</v>
      </c>
      <c r="G235" s="2" t="n">
        <v>32</v>
      </c>
      <c r="H235" s="2" t="n">
        <v>24</v>
      </c>
      <c r="I235" s="2" t="n"/>
      <c r="J235" s="2" t="n"/>
      <c r="K235" s="2" t="n"/>
      <c r="L235" s="2" t="inlineStr">
        <is>
          <t>聚丙烯</t>
        </is>
      </c>
      <c r="M235" s="2" t="inlineStr">
        <is>
          <t>透明/黑色</t>
        </is>
      </c>
      <c r="N235" s="2" t="inlineStr"/>
      <c r="O235" s="2" t="inlineStr">
        <is>
          <t>N</t>
        </is>
      </c>
      <c r="P235" s="2" t="n">
        <v>129</v>
      </c>
      <c r="Q235" s="2" t="inlineStr">
        <is>
          <t>2026-10-26</t>
        </is>
      </c>
      <c r="R235" s="3" t="inlineStr">
        <is>
          <t>https://www.nitori-net.tw/product/2113200012389</t>
        </is>
      </c>
      <c r="S235" s="2" t="inlineStr">
        <is>
          <t>官網</t>
        </is>
      </c>
      <c r="T235" s="2" t="inlineStr">
        <is>
          <t>high</t>
        </is>
      </c>
      <c r="U235" s="2" t="inlineStr">
        <is>
          <t>文件匣（立式檔案盒）；官網：可收納A4檔案尺寸；產地日本</t>
        </is>
      </c>
      <c r="V235" s="2" t="inlineStr"/>
    </row>
    <row r="236">
      <c r="A236" s="2" t="inlineStr">
        <is>
          <t>NITORI-120</t>
        </is>
      </c>
      <c r="B236" s="2" t="inlineStr">
        <is>
          <t>NITORI</t>
        </is>
      </c>
      <c r="C236" s="2" t="inlineStr">
        <is>
          <t>檔案整理架</t>
        </is>
      </c>
      <c r="D236" s="2" t="inlineStr">
        <is>
          <t>A4 檔案整理架加寬2</t>
        </is>
      </c>
      <c r="E236" s="2" t="inlineStr">
        <is>
          <t>2113200012402/2113200012440</t>
        </is>
      </c>
      <c r="F236" s="2" t="n">
        <v>14.5</v>
      </c>
      <c r="G236" s="2" t="n">
        <v>32</v>
      </c>
      <c r="H236" s="2" t="n">
        <v>24</v>
      </c>
      <c r="I236" s="2" t="n"/>
      <c r="J236" s="2" t="n"/>
      <c r="K236" s="2" t="n"/>
      <c r="L236" s="2" t="inlineStr">
        <is>
          <t>聚丙烯</t>
        </is>
      </c>
      <c r="M236" s="2" t="inlineStr">
        <is>
          <t>透明/黑色</t>
        </is>
      </c>
      <c r="N236" s="2" t="inlineStr"/>
      <c r="O236" s="2" t="inlineStr">
        <is>
          <t>N</t>
        </is>
      </c>
      <c r="P236" s="2" t="n">
        <v>199</v>
      </c>
      <c r="Q236" s="2" t="inlineStr">
        <is>
          <t>2026-10-26</t>
        </is>
      </c>
      <c r="R236" s="3" t="inlineStr">
        <is>
          <t>https://www.nitori-net.tw/product/2113200012402</t>
        </is>
      </c>
      <c r="S236" s="2" t="inlineStr">
        <is>
          <t>官網</t>
        </is>
      </c>
      <c r="T236" s="2" t="inlineStr">
        <is>
          <t>high</t>
        </is>
      </c>
      <c r="U236" s="2" t="inlineStr">
        <is>
          <t>文件匣（立式檔案盒）；官網：可收納A4檔案尺寸；產地日本</t>
        </is>
      </c>
      <c r="V236" s="2" t="inlineStr"/>
    </row>
    <row r="237">
      <c r="A237" s="2" t="inlineStr">
        <is>
          <t>NITORI-121</t>
        </is>
      </c>
      <c r="B237" s="2" t="inlineStr">
        <is>
          <t>NITORI</t>
        </is>
      </c>
      <c r="C237" s="2" t="inlineStr">
        <is>
          <t>檔案整理架</t>
        </is>
      </c>
      <c r="D237" s="2" t="inlineStr">
        <is>
          <t>A4 檔案整理架2 SN</t>
        </is>
      </c>
      <c r="E237" s="2" t="inlineStr">
        <is>
          <t>2113200012327</t>
        </is>
      </c>
      <c r="F237" s="2" t="n">
        <v>9.699999999999999</v>
      </c>
      <c r="G237" s="2" t="n">
        <v>32</v>
      </c>
      <c r="H237" s="2" t="n">
        <v>24</v>
      </c>
      <c r="I237" s="2" t="n"/>
      <c r="J237" s="2" t="n"/>
      <c r="K237" s="2" t="n"/>
      <c r="L237" s="2" t="inlineStr">
        <is>
          <t>聚丙烯樹脂</t>
        </is>
      </c>
      <c r="M237" s="2" t="inlineStr">
        <is>
          <t>白色</t>
        </is>
      </c>
      <c r="N237" s="2" t="inlineStr"/>
      <c r="O237" s="2" t="inlineStr">
        <is>
          <t>N</t>
        </is>
      </c>
      <c r="P237" s="2" t="n">
        <v>129</v>
      </c>
      <c r="Q237" s="2" t="inlineStr">
        <is>
          <t>2026-10-26</t>
        </is>
      </c>
      <c r="R237" s="3" t="inlineStr">
        <is>
          <t>https://www.nitori-net.tw/product/2113200012327</t>
        </is>
      </c>
      <c r="S237" s="2" t="inlineStr">
        <is>
          <t>官網</t>
        </is>
      </c>
      <c r="T237" s="2" t="inlineStr">
        <is>
          <t>high</t>
        </is>
      </c>
      <c r="U237" s="2" t="inlineStr">
        <is>
          <t>文件匣（立式檔案盒）；官網：可收納A4檔案尺寸</t>
        </is>
      </c>
      <c r="V237" s="2" t="inlineStr"/>
    </row>
    <row r="238">
      <c r="A238" s="2" t="inlineStr">
        <is>
          <t>NITORI-122</t>
        </is>
      </c>
      <c r="B238" s="2" t="inlineStr">
        <is>
          <t>NITORI</t>
        </is>
      </c>
      <c r="C238" s="2" t="inlineStr">
        <is>
          <t>檔案整理架</t>
        </is>
      </c>
      <c r="D238" s="2" t="inlineStr">
        <is>
          <t>A4 檔案整理架加寬2 SN</t>
        </is>
      </c>
      <c r="E238" s="2" t="inlineStr">
        <is>
          <t>2113200012976</t>
        </is>
      </c>
      <c r="F238" s="2" t="n">
        <v>14.5</v>
      </c>
      <c r="G238" s="2" t="n">
        <v>32</v>
      </c>
      <c r="H238" s="2" t="n">
        <v>24</v>
      </c>
      <c r="I238" s="2" t="n"/>
      <c r="J238" s="2" t="n"/>
      <c r="K238" s="2" t="n"/>
      <c r="L238" s="2" t="inlineStr">
        <is>
          <t>聚丙烯樹脂</t>
        </is>
      </c>
      <c r="M238" s="2" t="inlineStr">
        <is>
          <t>白色</t>
        </is>
      </c>
      <c r="N238" s="2" t="inlineStr"/>
      <c r="O238" s="2" t="inlineStr">
        <is>
          <t>N</t>
        </is>
      </c>
      <c r="P238" s="2" t="n">
        <v>199</v>
      </c>
      <c r="Q238" s="2" t="inlineStr">
        <is>
          <t>2026-10-26</t>
        </is>
      </c>
      <c r="R238" s="3" t="inlineStr">
        <is>
          <t>https://www.nitori-net.tw/product/2113200012976</t>
        </is>
      </c>
      <c r="S238" s="2" t="inlineStr">
        <is>
          <t>官網</t>
        </is>
      </c>
      <c r="T238" s="2" t="inlineStr">
        <is>
          <t>high</t>
        </is>
      </c>
      <c r="U238" s="2" t="inlineStr">
        <is>
          <t>文件匣（立式檔案盒）；官網：可收納A4檔案尺寸</t>
        </is>
      </c>
      <c r="V238" s="2" t="inlineStr"/>
    </row>
    <row r="239">
      <c r="A239" s="2" t="inlineStr">
        <is>
          <t>NITORI-123</t>
        </is>
      </c>
      <c r="B239" s="2" t="inlineStr">
        <is>
          <t>NITORI</t>
        </is>
      </c>
      <c r="C239" s="2" t="inlineStr">
        <is>
          <t>檔案整理架</t>
        </is>
      </c>
      <c r="D239" s="2" t="inlineStr">
        <is>
          <t>A4 L型檔案整理架2</t>
        </is>
      </c>
      <c r="E239" s="2" t="inlineStr">
        <is>
          <t>2113200012372/2113200012419</t>
        </is>
      </c>
      <c r="F239" s="2" t="n">
        <v>9.699999999999999</v>
      </c>
      <c r="G239" s="2" t="n">
        <v>27.5</v>
      </c>
      <c r="H239" s="2" t="n">
        <v>32</v>
      </c>
      <c r="I239" s="2" t="n"/>
      <c r="J239" s="2" t="n"/>
      <c r="K239" s="2" t="n"/>
      <c r="L239" s="2" t="inlineStr">
        <is>
          <t>聚丙烯</t>
        </is>
      </c>
      <c r="M239" s="2" t="inlineStr">
        <is>
          <t>透明/黑色</t>
        </is>
      </c>
      <c r="N239" s="2" t="inlineStr"/>
      <c r="O239" s="2" t="inlineStr">
        <is>
          <t>N</t>
        </is>
      </c>
      <c r="P239" s="2" t="n">
        <v>129</v>
      </c>
      <c r="Q239" s="2" t="inlineStr">
        <is>
          <t>2026-10-26</t>
        </is>
      </c>
      <c r="R239" s="3" t="inlineStr">
        <is>
          <t>https://www.nitori-net.tw/product/2113200012372</t>
        </is>
      </c>
      <c r="S239" s="2" t="inlineStr">
        <is>
          <t>官網</t>
        </is>
      </c>
      <c r="T239" s="2" t="inlineStr">
        <is>
          <t>high</t>
        </is>
      </c>
      <c r="U239" s="2" t="inlineStr">
        <is>
          <t>雜誌匣／文件匣（L型斜口立式檔案盒）；官網：可剛好放入4個A4款收納盒（標準尺寸）</t>
        </is>
      </c>
      <c r="V239" s="2" t="inlineStr"/>
    </row>
    <row r="240">
      <c r="A240" s="2" t="inlineStr">
        <is>
          <t>NITORI-124</t>
        </is>
      </c>
      <c r="B240" s="2" t="inlineStr">
        <is>
          <t>NITORI</t>
        </is>
      </c>
      <c r="C240" s="2" t="inlineStr">
        <is>
          <t>檔案整理架</t>
        </is>
      </c>
      <c r="D240" s="2" t="inlineStr">
        <is>
          <t>A4 L型檔案整理架加寬2</t>
        </is>
      </c>
      <c r="E240" s="2" t="inlineStr">
        <is>
          <t>2113200012396/2113200012433</t>
        </is>
      </c>
      <c r="F240" s="2" t="n">
        <v>14.5</v>
      </c>
      <c r="G240" s="2" t="n">
        <v>27.5</v>
      </c>
      <c r="H240" s="2" t="n">
        <v>32</v>
      </c>
      <c r="I240" s="2" t="n"/>
      <c r="J240" s="2" t="n"/>
      <c r="K240" s="2" t="n"/>
      <c r="L240" s="2" t="inlineStr">
        <is>
          <t>聚丙烯</t>
        </is>
      </c>
      <c r="M240" s="2" t="inlineStr">
        <is>
          <t>透明/黑色</t>
        </is>
      </c>
      <c r="N240" s="2" t="inlineStr"/>
      <c r="O240" s="2" t="inlineStr">
        <is>
          <t>N</t>
        </is>
      </c>
      <c r="P240" s="2" t="n">
        <v>199</v>
      </c>
      <c r="Q240" s="2" t="inlineStr">
        <is>
          <t>2026-10-26</t>
        </is>
      </c>
      <c r="R240" s="3" t="inlineStr">
        <is>
          <t>https://www.nitori-net.tw/product/2113200012396</t>
        </is>
      </c>
      <c r="S240" s="2" t="inlineStr">
        <is>
          <t>官網</t>
        </is>
      </c>
      <c r="T240" s="2" t="inlineStr">
        <is>
          <t>high</t>
        </is>
      </c>
      <c r="U240" s="2" t="inlineStr">
        <is>
          <t>雜誌匣／文件匣（L型斜口立式檔案盒）</t>
        </is>
      </c>
      <c r="V240" s="2" t="inlineStr"/>
    </row>
    <row r="241">
      <c r="A241" s="2" t="inlineStr">
        <is>
          <t>NITORI-125</t>
        </is>
      </c>
      <c r="B241" s="2" t="inlineStr">
        <is>
          <t>NITORI</t>
        </is>
      </c>
      <c r="C241" s="2" t="inlineStr">
        <is>
          <t>檔案整理架</t>
        </is>
      </c>
      <c r="D241" s="2" t="inlineStr">
        <is>
          <t>A4 L型檔案整理架2 SN</t>
        </is>
      </c>
      <c r="E241" s="2" t="inlineStr">
        <is>
          <t>2113200010729</t>
        </is>
      </c>
      <c r="F241" s="2" t="n">
        <v>9.699999999999999</v>
      </c>
      <c r="G241" s="2" t="n">
        <v>27.5</v>
      </c>
      <c r="H241" s="2" t="n">
        <v>32</v>
      </c>
      <c r="I241" s="2" t="n"/>
      <c r="J241" s="2" t="n"/>
      <c r="K241" s="2" t="n"/>
      <c r="L241" s="2" t="inlineStr">
        <is>
          <t>聚丙烯樹脂</t>
        </is>
      </c>
      <c r="M241" s="2" t="inlineStr">
        <is>
          <t>白色</t>
        </is>
      </c>
      <c r="N241" s="2" t="inlineStr"/>
      <c r="O241" s="2" t="inlineStr">
        <is>
          <t>N</t>
        </is>
      </c>
      <c r="P241" s="2" t="n">
        <v>129</v>
      </c>
      <c r="Q241" s="2" t="inlineStr">
        <is>
          <t>2026-10-26</t>
        </is>
      </c>
      <c r="R241" s="3" t="inlineStr">
        <is>
          <t>https://www.nitori-net.tw/product/2113200010729</t>
        </is>
      </c>
      <c r="S241" s="2" t="inlineStr">
        <is>
          <t>官網</t>
        </is>
      </c>
      <c r="T241" s="2" t="inlineStr">
        <is>
          <t>high</t>
        </is>
      </c>
      <c r="U241" s="2" t="inlineStr">
        <is>
          <t>雜誌匣／文件匣（L型斜口立式檔案盒）</t>
        </is>
      </c>
      <c r="V241" s="2" t="inlineStr"/>
    </row>
    <row r="242">
      <c r="A242" s="2" t="inlineStr">
        <is>
          <t>NITORI-126</t>
        </is>
      </c>
      <c r="B242" s="2" t="inlineStr">
        <is>
          <t>NITORI</t>
        </is>
      </c>
      <c r="C242" s="2" t="inlineStr">
        <is>
          <t>檔案整理架</t>
        </is>
      </c>
      <c r="D242" s="2" t="inlineStr">
        <is>
          <t>A4 L型檔案整理架加寬2 SN</t>
        </is>
      </c>
      <c r="E242" s="2" t="inlineStr">
        <is>
          <t>2113200012938</t>
        </is>
      </c>
      <c r="F242" s="2" t="n">
        <v>14.5</v>
      </c>
      <c r="G242" s="2" t="n">
        <v>27.5</v>
      </c>
      <c r="H242" s="2" t="n">
        <v>32</v>
      </c>
      <c r="I242" s="2" t="n"/>
      <c r="J242" s="2" t="n"/>
      <c r="K242" s="2" t="n"/>
      <c r="L242" s="2" t="inlineStr">
        <is>
          <t>聚丙烯樹脂</t>
        </is>
      </c>
      <c r="M242" s="2" t="inlineStr">
        <is>
          <t>白色</t>
        </is>
      </c>
      <c r="N242" s="2" t="inlineStr"/>
      <c r="O242" s="2" t="inlineStr">
        <is>
          <t>N</t>
        </is>
      </c>
      <c r="P242" s="2" t="n">
        <v>169</v>
      </c>
      <c r="Q242" s="2" t="inlineStr">
        <is>
          <t>2026-10-26</t>
        </is>
      </c>
      <c r="R242" s="3" t="inlineStr">
        <is>
          <t>https://www.nitori-net.tw/product/2113200012938</t>
        </is>
      </c>
      <c r="S242" s="2" t="inlineStr">
        <is>
          <t>官網</t>
        </is>
      </c>
      <c r="T242" s="2" t="inlineStr">
        <is>
          <t>high</t>
        </is>
      </c>
      <c r="U242" s="2" t="inlineStr">
        <is>
          <t>雜誌匣／文件匣（L型斜口立式檔案盒）；價格：查詢日售價169（原價199）</t>
        </is>
      </c>
      <c r="V242" s="2" t="inlineStr"/>
    </row>
    <row r="243">
      <c r="A243" s="2" t="inlineStr">
        <is>
          <t>NITORI-127</t>
        </is>
      </c>
      <c r="B243" s="2" t="inlineStr">
        <is>
          <t>NITORI</t>
        </is>
      </c>
      <c r="C243" s="2" t="inlineStr">
        <is>
          <t>NN01</t>
        </is>
      </c>
      <c r="D243" s="2" t="inlineStr">
        <is>
          <t>(網購限定)A4 L型檔案整理架 NN01(EC)</t>
        </is>
      </c>
      <c r="E243" s="2" t="inlineStr">
        <is>
          <t>2113200003264</t>
        </is>
      </c>
      <c r="F243" s="2" t="n">
        <v>10</v>
      </c>
      <c r="G243" s="2" t="n">
        <v>26</v>
      </c>
      <c r="H243" s="2" t="n">
        <v>33</v>
      </c>
      <c r="I243" s="2" t="n"/>
      <c r="J243" s="2" t="n"/>
      <c r="K243" s="2" t="n"/>
      <c r="L243" s="2" t="inlineStr">
        <is>
          <t>紙、鋼（本體）；紙（芯材）</t>
        </is>
      </c>
      <c r="M243" s="2" t="inlineStr">
        <is>
          <t>石灰白</t>
        </is>
      </c>
      <c r="N243" s="2" t="inlineStr"/>
      <c r="O243" s="2" t="inlineStr">
        <is>
          <t>N</t>
        </is>
      </c>
      <c r="P243" s="2" t="n">
        <v>199</v>
      </c>
      <c r="Q243" s="2" t="inlineStr">
        <is>
          <t>2026-10-26</t>
        </is>
      </c>
      <c r="R243" s="3" t="inlineStr">
        <is>
          <t>https://www.nitori-net.tw/product/2113200003264</t>
        </is>
      </c>
      <c r="S243" s="2" t="inlineStr">
        <is>
          <t>官網</t>
        </is>
      </c>
      <c r="T243" s="2" t="inlineStr">
        <is>
          <t>high</t>
        </is>
      </c>
      <c r="U243" s="2" t="inlineStr">
        <is>
          <t>雜誌匣／文件匣（L型斜口立式檔案盒）；網購限定；官網：可完美搭配收納櫃；價格：查詢日售價199（原價249）</t>
        </is>
      </c>
      <c r="V243" s="2" t="inlineStr"/>
    </row>
    <row r="244">
      <c r="A244" s="2" t="inlineStr">
        <is>
          <t>NITORI-128</t>
        </is>
      </c>
      <c r="B244" s="2" t="inlineStr">
        <is>
          <t>NITORI</t>
        </is>
      </c>
      <c r="C244" s="2" t="inlineStr">
        <is>
          <t>N BRANC</t>
        </is>
      </c>
      <c r="D244" s="2" t="inlineStr">
        <is>
          <t>整理托盤7件組 WH N BRANC（拆件 8.5x8.5x4.5）</t>
        </is>
      </c>
      <c r="E244" s="2" t="inlineStr">
        <is>
          <t>8920341-8920342set7</t>
        </is>
      </c>
      <c r="F244" s="2" t="n">
        <v>8.5</v>
      </c>
      <c r="G244" s="2" t="n">
        <v>8.5</v>
      </c>
      <c r="H244" s="2" t="n">
        <v>4.5</v>
      </c>
      <c r="I244" s="2" t="n"/>
      <c r="J244" s="2" t="n"/>
      <c r="K244" s="2" t="n"/>
      <c r="L244" s="2" t="inlineStr">
        <is>
          <t>PET塑膠</t>
        </is>
      </c>
      <c r="M244" s="2" t="inlineStr">
        <is>
          <t>白色</t>
        </is>
      </c>
      <c r="N244" s="2" t="inlineStr"/>
      <c r="O244" s="2" t="inlineStr">
        <is>
          <t>N</t>
        </is>
      </c>
      <c r="P244" s="2" t="n"/>
      <c r="Q244" s="2" t="inlineStr">
        <is>
          <t>2026-10-26</t>
        </is>
      </c>
      <c r="R244" s="3" t="inlineStr">
        <is>
          <t>https://www.nitori-net.tw/product/8920341-8920342set7</t>
        </is>
      </c>
      <c r="S244" s="2" t="inlineStr">
        <is>
          <t>官網</t>
        </is>
      </c>
      <c r="T244" s="2" t="inlineStr">
        <is>
          <t>high</t>
        </is>
      </c>
      <c r="U244" s="2" t="inlineStr">
        <is>
          <t>SET:8920341-8920342set7|347|4|7;內含整理托盤 S WH(8920341)×4；尺寸取自套組頁【組合內容】與【尺寸】；查詢日套組售價347（原價373）</t>
        </is>
      </c>
      <c r="V244" s="2" t="inlineStr">
        <is>
          <t>整組 NT$347，此尺寸 4 件／共 7 件</t>
        </is>
      </c>
    </row>
    <row r="245">
      <c r="A245" s="2" t="inlineStr">
        <is>
          <t>NITORI-129</t>
        </is>
      </c>
      <c r="B245" s="2" t="inlineStr">
        <is>
          <t>NITORI</t>
        </is>
      </c>
      <c r="C245" s="2" t="inlineStr">
        <is>
          <t>N BRANC</t>
        </is>
      </c>
      <c r="D245" s="2" t="inlineStr">
        <is>
          <t>整理托盤7件組 WH N BRANC（拆件 17x8.5x4.5）</t>
        </is>
      </c>
      <c r="E245" s="2" t="inlineStr">
        <is>
          <t>8920341-8920342set7</t>
        </is>
      </c>
      <c r="F245" s="2" t="n">
        <v>17</v>
      </c>
      <c r="G245" s="2" t="n">
        <v>8.5</v>
      </c>
      <c r="H245" s="2" t="n">
        <v>4.5</v>
      </c>
      <c r="I245" s="2" t="n"/>
      <c r="J245" s="2" t="n"/>
      <c r="K245" s="2" t="n"/>
      <c r="L245" s="2" t="inlineStr">
        <is>
          <t>PET塑膠</t>
        </is>
      </c>
      <c r="M245" s="2" t="inlineStr">
        <is>
          <t>白色</t>
        </is>
      </c>
      <c r="N245" s="2" t="inlineStr"/>
      <c r="O245" s="2" t="inlineStr">
        <is>
          <t>N</t>
        </is>
      </c>
      <c r="P245" s="2" t="n"/>
      <c r="Q245" s="2" t="inlineStr">
        <is>
          <t>2026-10-26</t>
        </is>
      </c>
      <c r="R245" s="3" t="inlineStr">
        <is>
          <t>https://www.nitori-net.tw/product/8920341-8920342set7</t>
        </is>
      </c>
      <c r="S245" s="2" t="inlineStr">
        <is>
          <t>官網</t>
        </is>
      </c>
      <c r="T245" s="2" t="inlineStr">
        <is>
          <t>high</t>
        </is>
      </c>
      <c r="U245" s="2" t="inlineStr">
        <is>
          <t>SET:8920341-8920342set7|347|1|7;內含整理托盤 M WH(8920342)×1；尺寸取自套組頁【組合內容】與【尺寸】；查詢日套組售價347（原價373）</t>
        </is>
      </c>
      <c r="V245" s="2" t="inlineStr">
        <is>
          <t>整組 NT$347，此尺寸 1 件／共 7 件</t>
        </is>
      </c>
    </row>
    <row r="246">
      <c r="A246" s="2" t="inlineStr">
        <is>
          <t>NITORI-130</t>
        </is>
      </c>
      <c r="B246" s="2" t="inlineStr">
        <is>
          <t>NITORI</t>
        </is>
      </c>
      <c r="C246" s="2" t="inlineStr">
        <is>
          <t>N BRANC</t>
        </is>
      </c>
      <c r="D246" s="2" t="inlineStr">
        <is>
          <t>整理托盤7件組 WH N BRANC（拆件 25.5x8.5x4.5）</t>
        </is>
      </c>
      <c r="E246" s="2" t="inlineStr">
        <is>
          <t>8920341-8920342set7</t>
        </is>
      </c>
      <c r="F246" s="2" t="n">
        <v>25.5</v>
      </c>
      <c r="G246" s="2" t="n">
        <v>8.5</v>
      </c>
      <c r="H246" s="2" t="n">
        <v>4.5</v>
      </c>
      <c r="I246" s="2" t="n"/>
      <c r="J246" s="2" t="n"/>
      <c r="K246" s="2" t="n"/>
      <c r="L246" s="2" t="inlineStr">
        <is>
          <t>PET塑膠</t>
        </is>
      </c>
      <c r="M246" s="2" t="inlineStr">
        <is>
          <t>白色</t>
        </is>
      </c>
      <c r="N246" s="2" t="inlineStr"/>
      <c r="O246" s="2" t="inlineStr">
        <is>
          <t>N</t>
        </is>
      </c>
      <c r="P246" s="2" t="n"/>
      <c r="Q246" s="2" t="inlineStr">
        <is>
          <t>2026-10-26</t>
        </is>
      </c>
      <c r="R246" s="3" t="inlineStr">
        <is>
          <t>https://www.nitori-net.tw/product/8920341-8920342set7</t>
        </is>
      </c>
      <c r="S246" s="2" t="inlineStr">
        <is>
          <t>官網</t>
        </is>
      </c>
      <c r="T246" s="2" t="inlineStr">
        <is>
          <t>high</t>
        </is>
      </c>
      <c r="U246" s="2" t="inlineStr">
        <is>
          <t>SET:8920341-8920342set7|347|2|7;內含整理托盤 L WH(8920343)×2；尺寸取自套組頁【組合內容】與【尺寸】；查詢日套組售價347（原價373）</t>
        </is>
      </c>
      <c r="V246" s="2" t="inlineStr">
        <is>
          <t>整組 NT$347，此尺寸 2 件／共 7 件</t>
        </is>
      </c>
    </row>
    <row r="247">
      <c r="A247" s="2" t="inlineStr">
        <is>
          <t>NITORI-131</t>
        </is>
      </c>
      <c r="B247" s="2" t="inlineStr">
        <is>
          <t>NITORI</t>
        </is>
      </c>
      <c r="C247" s="2" t="inlineStr">
        <is>
          <t>冰箱整理收納</t>
        </is>
      </c>
      <c r="D247" s="2" t="inlineStr">
        <is>
          <t>冰箱用整理收納6件組（拆件 12x29.5x5）</t>
        </is>
      </c>
      <c r="E247" s="2" t="inlineStr">
        <is>
          <t>8920423-8920433set</t>
        </is>
      </c>
      <c r="F247" s="2" t="n">
        <v>12</v>
      </c>
      <c r="G247" s="2" t="n">
        <v>29.5</v>
      </c>
      <c r="H247" s="2" t="n">
        <v>5</v>
      </c>
      <c r="I247" s="2" t="n"/>
      <c r="J247" s="2" t="n"/>
      <c r="K247" s="2" t="n"/>
      <c r="L247" s="2" t="inlineStr">
        <is>
          <t>PET</t>
        </is>
      </c>
      <c r="M247" s="2" t="inlineStr">
        <is>
          <t>透明</t>
        </is>
      </c>
      <c r="N247" s="2" t="inlineStr"/>
      <c r="O247" s="2" t="inlineStr">
        <is>
          <t>N</t>
        </is>
      </c>
      <c r="P247" s="2" t="n"/>
      <c r="Q247" s="2" t="inlineStr">
        <is>
          <t>2026-10-26</t>
        </is>
      </c>
      <c r="R247" s="3" t="inlineStr">
        <is>
          <t>https://www.nitori-net.tw/product/8920423-8920433set</t>
        </is>
      </c>
      <c r="S247" s="2" t="inlineStr">
        <is>
          <t>官網</t>
        </is>
      </c>
      <c r="T247" s="2" t="inlineStr">
        <is>
          <t>high</t>
        </is>
      </c>
      <c r="U247" s="2" t="inlineStr">
        <is>
          <t>SET:8920423-8920433set|774|2|6;內含冰箱用整理托盤 窄淺型 S W120(8920423)×2；尺寸取自套組頁【組合內容】與【尺寸】；套組另含冰箱用整理架 窄淺型×2、窄深型×1（開放式架，本次不收）；官網：整理架與托盤組合可作抽屜使用，堆疊最多4層</t>
        </is>
      </c>
      <c r="V247" s="2" t="inlineStr">
        <is>
          <t>整組 NT$774，此尺寸 2 件／共 6 件</t>
        </is>
      </c>
    </row>
    <row r="248">
      <c r="A248" s="2" t="inlineStr">
        <is>
          <t>NITORI-132</t>
        </is>
      </c>
      <c r="B248" s="2" t="inlineStr">
        <is>
          <t>NITORI</t>
        </is>
      </c>
      <c r="C248" s="2" t="inlineStr">
        <is>
          <t>冰箱整理收納</t>
        </is>
      </c>
      <c r="D248" s="2" t="inlineStr">
        <is>
          <t>冰箱用整理收納6件組（拆件 12x29.5x10）</t>
        </is>
      </c>
      <c r="E248" s="2" t="inlineStr">
        <is>
          <t>8920423-8920433set</t>
        </is>
      </c>
      <c r="F248" s="2" t="n">
        <v>12</v>
      </c>
      <c r="G248" s="2" t="n">
        <v>29.5</v>
      </c>
      <c r="H248" s="2" t="n">
        <v>10</v>
      </c>
      <c r="I248" s="2" t="n"/>
      <c r="J248" s="2" t="n"/>
      <c r="K248" s="2" t="n"/>
      <c r="L248" s="2" t="inlineStr">
        <is>
          <t>PET</t>
        </is>
      </c>
      <c r="M248" s="2" t="inlineStr">
        <is>
          <t>透明</t>
        </is>
      </c>
      <c r="N248" s="2" t="inlineStr"/>
      <c r="O248" s="2" t="inlineStr">
        <is>
          <t>N</t>
        </is>
      </c>
      <c r="P248" s="2" t="n"/>
      <c r="Q248" s="2" t="inlineStr">
        <is>
          <t>2026-10-26</t>
        </is>
      </c>
      <c r="R248" s="3" t="inlineStr">
        <is>
          <t>https://www.nitori-net.tw/product/8920423-8920433set</t>
        </is>
      </c>
      <c r="S248" s="2" t="inlineStr">
        <is>
          <t>官網</t>
        </is>
      </c>
      <c r="T248" s="2" t="inlineStr">
        <is>
          <t>high</t>
        </is>
      </c>
      <c r="U248" s="2" t="inlineStr">
        <is>
          <t>SET:8920423-8920433set|774|1|6;內含冰箱用整理托盤 窄深型 S W120(8920424)×1；尺寸取自套組頁【組合內容】與【尺寸】；套組另含冰箱用整理架 窄淺型×2、窄深型×1（開放式架，本次不收）；官網：整理架與托盤組合可作抽屜使用，堆疊最多4層</t>
        </is>
      </c>
      <c r="V248" s="2" t="inlineStr">
        <is>
          <t>整組 NT$774，此尺寸 1 件／共 6 件</t>
        </is>
      </c>
    </row>
    <row r="249">
      <c r="A249" s="2" t="inlineStr">
        <is>
          <t>IKEA-001</t>
        </is>
      </c>
      <c r="B249" s="2" t="inlineStr">
        <is>
          <t>IKEA</t>
        </is>
      </c>
      <c r="C249" s="2" t="inlineStr">
        <is>
          <t>BAXNA</t>
        </is>
      </c>
      <c r="D249" s="2" t="inlineStr">
        <is>
          <t>BAXNA 收納盒 26x34x10 公分</t>
        </is>
      </c>
      <c r="E249" s="2" t="inlineStr">
        <is>
          <t>204.743.71</t>
        </is>
      </c>
      <c r="F249" s="2" t="n">
        <v>34</v>
      </c>
      <c r="G249" s="2" t="n">
        <v>26</v>
      </c>
      <c r="H249" s="2" t="n">
        <v>10</v>
      </c>
      <c r="I249" s="2" t="n"/>
      <c r="J249" s="2" t="n"/>
      <c r="K249" s="2" t="n"/>
      <c r="L249" s="2" t="inlineStr">
        <is>
          <t>布料:100%聚酯纖維 (至少90%再生材料)；插入配件:聚丙烯塑膠</t>
        </is>
      </c>
      <c r="M249" s="2" t="inlineStr">
        <is>
          <t>灰色+白色</t>
        </is>
      </c>
      <c r="N249" s="2" t="inlineStr"/>
      <c r="O249" s="2" t="inlineStr">
        <is>
          <t>N</t>
        </is>
      </c>
      <c r="P249" s="2" t="n">
        <v>149</v>
      </c>
      <c r="Q249" s="2" t="inlineStr">
        <is>
          <t>2026-10-26</t>
        </is>
      </c>
      <c r="R249" s="3" t="inlineStr">
        <is>
          <t>https://www.ikea.com.tw/zh/products/boxes-and-organisers/organisers/baxna-art-20474371</t>
        </is>
      </c>
      <c r="S249" s="2" t="inlineStr">
        <is>
          <t>官網</t>
        </is>
      </c>
      <c r="T249" s="2" t="inlineStr">
        <is>
          <t>high</t>
        </is>
      </c>
      <c r="U249" s="2" t="inlineStr"/>
      <c r="V249" s="2" t="inlineStr"/>
    </row>
    <row r="250">
      <c r="A250" s="2" t="inlineStr">
        <is>
          <t>IKEA-002</t>
        </is>
      </c>
      <c r="B250" s="2" t="inlineStr">
        <is>
          <t>IKEA</t>
        </is>
      </c>
      <c r="C250" s="2" t="inlineStr">
        <is>
          <t>BAXNA</t>
        </is>
      </c>
      <c r="D250" s="2" t="inlineStr">
        <is>
          <t>BAXNA 收納盒 26x34x18 公分</t>
        </is>
      </c>
      <c r="E250" s="2" t="inlineStr">
        <is>
          <t>804.862.91</t>
        </is>
      </c>
      <c r="F250" s="2" t="n">
        <v>34</v>
      </c>
      <c r="G250" s="2" t="n">
        <v>26</v>
      </c>
      <c r="H250" s="2" t="n">
        <v>18</v>
      </c>
      <c r="I250" s="2" t="n"/>
      <c r="J250" s="2" t="n"/>
      <c r="K250" s="2" t="n"/>
      <c r="L250" s="2" t="inlineStr">
        <is>
          <t>布料:100%聚酯纖維 (至少90%再生材料)；插入配件:聚丙烯塑膠</t>
        </is>
      </c>
      <c r="M250" s="2" t="inlineStr">
        <is>
          <t>灰色+白色</t>
        </is>
      </c>
      <c r="N250" s="2" t="inlineStr"/>
      <c r="O250" s="2" t="inlineStr">
        <is>
          <t>N</t>
        </is>
      </c>
      <c r="P250" s="2" t="n">
        <v>199</v>
      </c>
      <c r="Q250" s="2" t="inlineStr">
        <is>
          <t>2026-10-26</t>
        </is>
      </c>
      <c r="R250" s="3" t="inlineStr">
        <is>
          <t>https://www.ikea.com.tw/zh/products/boxes-and-organisers/organisers/baxna-art-80486291</t>
        </is>
      </c>
      <c r="S250" s="2" t="inlineStr">
        <is>
          <t>官網</t>
        </is>
      </c>
      <c r="T250" s="2" t="inlineStr">
        <is>
          <t>high</t>
        </is>
      </c>
      <c r="U250" s="2" t="inlineStr">
        <is>
          <t>適用於較深的抽屜，方便收納T恤、毛衣及毛巾</t>
        </is>
      </c>
      <c r="V250" s="2" t="inlineStr"/>
    </row>
    <row r="251">
      <c r="A251" s="2" t="inlineStr">
        <is>
          <t>IKEA-003</t>
        </is>
      </c>
      <c r="B251" s="2" t="inlineStr">
        <is>
          <t>IKEA</t>
        </is>
      </c>
      <c r="C251" s="2" t="inlineStr">
        <is>
          <t>BEKNA</t>
        </is>
      </c>
      <c r="D251" s="2" t="inlineStr">
        <is>
          <t>BEKNA 置物籃 25x35x20 公分</t>
        </is>
      </c>
      <c r="E251" s="2" t="inlineStr">
        <is>
          <t>905.133.93</t>
        </is>
      </c>
      <c r="F251" s="2" t="n">
        <v>25</v>
      </c>
      <c r="G251" s="2" t="n">
        <v>35</v>
      </c>
      <c r="H251" s="2" t="n">
        <v>20</v>
      </c>
      <c r="I251" s="2" t="n"/>
      <c r="J251" s="2" t="n"/>
      <c r="K251" s="2" t="n"/>
      <c r="L251" s="2" t="inlineStr">
        <is>
          <t>內部框架:鋼質, 粉末塗層；主體:聚乙烯塑膠</t>
        </is>
      </c>
      <c r="M251" s="2" t="inlineStr">
        <is>
          <t>塑膠籐質</t>
        </is>
      </c>
      <c r="N251" s="2" t="inlineStr"/>
      <c r="O251" s="2" t="inlineStr">
        <is>
          <t>N</t>
        </is>
      </c>
      <c r="P251" s="2" t="n">
        <v>499</v>
      </c>
      <c r="Q251" s="2" t="inlineStr">
        <is>
          <t>2026-10-26</t>
        </is>
      </c>
      <c r="R251" s="3" t="inlineStr">
        <is>
          <t>https://www.ikea.com.tw/zh/products/boxes-and-organisers/boxes-and-baskets/bekna-art-90513393</t>
        </is>
      </c>
      <c r="S251" s="2" t="inlineStr">
        <is>
          <t>官網</t>
        </is>
      </c>
      <c r="T251" s="2" t="inlineStr">
        <is>
          <t>high</t>
        </is>
      </c>
      <c r="U251" s="2" t="inlineStr"/>
      <c r="V251" s="2" t="inlineStr"/>
    </row>
    <row r="252">
      <c r="A252" s="2" t="inlineStr">
        <is>
          <t>IKEA-004</t>
        </is>
      </c>
      <c r="B252" s="2" t="inlineStr">
        <is>
          <t>IKEA</t>
        </is>
      </c>
      <c r="C252" s="2" t="inlineStr">
        <is>
          <t>BILLINGEN</t>
        </is>
      </c>
      <c r="D252" s="2" t="inlineStr">
        <is>
          <t>BILLINGEN 抽屜收納盤 33x17 公分</t>
        </is>
      </c>
      <c r="E252" s="2" t="inlineStr">
        <is>
          <t>102.704.02</t>
        </is>
      </c>
      <c r="F252" s="2" t="n">
        <v>17</v>
      </c>
      <c r="G252" s="2" t="n">
        <v>32.5</v>
      </c>
      <c r="H252" s="2" t="n">
        <v>6</v>
      </c>
      <c r="I252" s="2" t="n"/>
      <c r="J252" s="2" t="n"/>
      <c r="K252" s="2" t="n"/>
      <c r="L252" s="2" t="inlineStr">
        <is>
          <t>聚丙烯塑膠</t>
        </is>
      </c>
      <c r="M252" s="2" t="inlineStr">
        <is>
          <t>白色</t>
        </is>
      </c>
      <c r="N252" s="2" t="inlineStr"/>
      <c r="O252" s="2" t="inlineStr">
        <is>
          <t>N</t>
        </is>
      </c>
      <c r="P252" s="2" t="n">
        <v>49</v>
      </c>
      <c r="Q252" s="2" t="inlineStr">
        <is>
          <t>2026-10-26</t>
        </is>
      </c>
      <c r="R252" s="3" t="inlineStr">
        <is>
          <t>https://www.ikea.com.tw/zh/products/boxes-and-organisers/organisers/billingen-art-10270402</t>
        </is>
      </c>
      <c r="S252" s="2" t="inlineStr">
        <is>
          <t>官網</t>
        </is>
      </c>
      <c r="T252" s="2" t="inlineStr">
        <is>
          <t>high</t>
        </is>
      </c>
      <c r="U252" s="2" t="inlineStr">
        <is>
          <t>官網標示為長度×寬度×高度，outer_d 填「長度」值</t>
        </is>
      </c>
      <c r="V252" s="2" t="inlineStr"/>
    </row>
    <row r="253">
      <c r="A253" s="2" t="inlineStr">
        <is>
          <t>IKEA-005</t>
        </is>
      </c>
      <c r="B253" s="2" t="inlineStr">
        <is>
          <t>IKEA</t>
        </is>
      </c>
      <c r="C253" s="2" t="inlineStr">
        <is>
          <t>BLÄDDRA</t>
        </is>
      </c>
      <c r="D253" s="2" t="inlineStr">
        <is>
          <t>BLÄDDRA 收納盒 33x38x33 公分</t>
        </is>
      </c>
      <c r="E253" s="2" t="inlineStr">
        <is>
          <t>305.867.78</t>
        </is>
      </c>
      <c r="F253" s="2" t="n">
        <v>33</v>
      </c>
      <c r="G253" s="2" t="n">
        <v>38</v>
      </c>
      <c r="H253" s="2" t="n">
        <v>33</v>
      </c>
      <c r="I253" s="2" t="n"/>
      <c r="J253" s="2" t="n"/>
      <c r="K253" s="2" t="n"/>
      <c r="L253" s="2" t="inlineStr">
        <is>
          <t>基本材質:100%聚酯纖維 (至少90%再生材料)；夾層材質:紙板 (至少30%再生材料)</t>
        </is>
      </c>
      <c r="M253" s="2" t="inlineStr">
        <is>
          <t>灰色</t>
        </is>
      </c>
      <c r="N253" s="2" t="inlineStr"/>
      <c r="O253" s="2" t="inlineStr">
        <is>
          <t>N</t>
        </is>
      </c>
      <c r="P253" s="2" t="n">
        <v>399</v>
      </c>
      <c r="Q253" s="2" t="inlineStr">
        <is>
          <t>2026-10-26</t>
        </is>
      </c>
      <c r="R253" s="3" t="inlineStr">
        <is>
          <t>https://www.ikea.com.tw/zh/products/boxes-and-organisers/boxes-and-baskets/bladdra-art-30586778</t>
        </is>
      </c>
      <c r="S253" s="2" t="inlineStr">
        <is>
          <t>官網</t>
        </is>
      </c>
      <c r="T253" s="2" t="inlineStr">
        <is>
          <t>high</t>
        </is>
      </c>
      <c r="U253" s="2" t="inlineStr">
        <is>
          <t>適用於KALLAX層架組；適用KALLAX層架組</t>
        </is>
      </c>
      <c r="V253" s="2" t="inlineStr"/>
    </row>
    <row r="254">
      <c r="A254" s="2" t="inlineStr">
        <is>
          <t>IKEA-006</t>
        </is>
      </c>
      <c r="B254" s="2" t="inlineStr">
        <is>
          <t>IKEA</t>
        </is>
      </c>
      <c r="C254" s="2" t="inlineStr">
        <is>
          <t>BRANÄS</t>
        </is>
      </c>
      <c r="D254" s="2" t="inlineStr">
        <is>
          <t>BRANÄS 置物籃 32x34x32 公分</t>
        </is>
      </c>
      <c r="E254" s="2" t="inlineStr">
        <is>
          <t>801.731.53</t>
        </is>
      </c>
      <c r="F254" s="2" t="n">
        <v>32</v>
      </c>
      <c r="G254" s="2" t="n">
        <v>34</v>
      </c>
      <c r="H254" s="2" t="n">
        <v>32</v>
      </c>
      <c r="I254" s="2" t="n"/>
      <c r="J254" s="2" t="n"/>
      <c r="K254" s="2" t="n"/>
      <c r="L254" s="2" t="inlineStr">
        <is>
          <t>基本材質:籐, 壓克力亮光漆；外框:實心木材；鉸鏈:聚丙烯塑膠；卡釘/ 螺絲釘:鋼質, 鍍鋅；毛氈墊:100%聚酯纖維</t>
        </is>
      </c>
      <c r="M254" s="2" t="inlineStr">
        <is>
          <t>籐製</t>
        </is>
      </c>
      <c r="N254" s="2" t="inlineStr"/>
      <c r="O254" s="2" t="inlineStr">
        <is>
          <t>N</t>
        </is>
      </c>
      <c r="P254" s="2" t="n">
        <v>499</v>
      </c>
      <c r="Q254" s="2" t="inlineStr">
        <is>
          <t>2026-10-26</t>
        </is>
      </c>
      <c r="R254" s="3" t="inlineStr">
        <is>
          <t>https://www.ikea.com.tw/zh/products/boxes-and-organisers/boxes-and-baskets/branas-art-80173153</t>
        </is>
      </c>
      <c r="S254" s="2" t="inlineStr">
        <is>
          <t>官網</t>
        </is>
      </c>
      <c r="T254" s="2" t="inlineStr">
        <is>
          <t>high</t>
        </is>
      </c>
      <c r="U254" s="2" t="inlineStr">
        <is>
          <t>適合搭配KALLAX層架組</t>
        </is>
      </c>
      <c r="V254" s="2" t="inlineStr"/>
    </row>
    <row r="255">
      <c r="A255" s="2" t="inlineStr">
        <is>
          <t>IKEA-007</t>
        </is>
      </c>
      <c r="B255" s="2" t="inlineStr">
        <is>
          <t>IKEA</t>
        </is>
      </c>
      <c r="C255" s="2" t="inlineStr">
        <is>
          <t>BULLIG</t>
        </is>
      </c>
      <c r="D255" s="2" t="inlineStr">
        <is>
          <t>BULLIG 收納盒 32x35x33 公分</t>
        </is>
      </c>
      <c r="E255" s="2" t="inlineStr">
        <is>
          <t>104.745.93</t>
        </is>
      </c>
      <c r="F255" s="2" t="n">
        <v>32</v>
      </c>
      <c r="G255" s="2" t="n">
        <v>35</v>
      </c>
      <c r="H255" s="2" t="n">
        <v>33</v>
      </c>
      <c r="I255" s="2" t="n"/>
      <c r="J255" s="2" t="n"/>
      <c r="K255" s="2" t="n"/>
      <c r="L255" s="2" t="inlineStr">
        <is>
          <t>竹, 壓克力亮光漆</t>
        </is>
      </c>
      <c r="M255" s="2" t="inlineStr">
        <is>
          <t>竹+棕色</t>
        </is>
      </c>
      <c r="N255" s="2" t="inlineStr">
        <is>
          <t>Y</t>
        </is>
      </c>
      <c r="O255" s="2" t="inlineStr">
        <is>
          <t>N</t>
        </is>
      </c>
      <c r="P255" s="2" t="n">
        <v>699</v>
      </c>
      <c r="Q255" s="2" t="inlineStr">
        <is>
          <t>2026-10-26</t>
        </is>
      </c>
      <c r="R255" s="3" t="inlineStr">
        <is>
          <t>https://www.ikea.com.tw/zh/products/boxes-and-organisers/boxes-and-baskets/bullig-art-10474593</t>
        </is>
      </c>
      <c r="S255" s="2" t="inlineStr">
        <is>
          <t>官網</t>
        </is>
      </c>
      <c r="T255" s="2" t="inlineStr">
        <is>
          <t>high</t>
        </is>
      </c>
      <c r="U255" s="2" t="inlineStr">
        <is>
          <t>官網標示為長度×寬度×高度，outer_d 填「長度」值；適合搭配KALLAX層架組</t>
        </is>
      </c>
      <c r="V255" s="2" t="inlineStr"/>
    </row>
    <row r="256">
      <c r="A256" s="2" t="inlineStr">
        <is>
          <t>IKEA-008</t>
        </is>
      </c>
      <c r="B256" s="2" t="inlineStr">
        <is>
          <t>IKEA</t>
        </is>
      </c>
      <c r="C256" s="2" t="inlineStr">
        <is>
          <t>DRÖNA</t>
        </is>
      </c>
      <c r="D256" s="2" t="inlineStr">
        <is>
          <t>DRÖNA 收納盒 33x38x33 公分</t>
        </is>
      </c>
      <c r="E256" s="2" t="inlineStr">
        <is>
          <t>204.439.78</t>
        </is>
      </c>
      <c r="F256" s="2" t="n">
        <v>33</v>
      </c>
      <c r="G256" s="2" t="n">
        <v>38</v>
      </c>
      <c r="H256" s="2" t="n">
        <v>33</v>
      </c>
      <c r="I256" s="2" t="n"/>
      <c r="J256" s="2" t="n"/>
      <c r="K256" s="2" t="n"/>
      <c r="L256" s="2" t="inlineStr">
        <is>
          <t>基本材質:100%聚酯纖維 (至少90%再生材料)；夾層材質:紙板 (至少30%再生材料)；裡布:100% 聚丙烯</t>
        </is>
      </c>
      <c r="M256" s="2" t="inlineStr">
        <is>
          <t>深灰色/白色/米色+圓點/藍色/黑色/黑色+淺乳白色</t>
        </is>
      </c>
      <c r="N256" s="2" t="inlineStr"/>
      <c r="O256" s="2" t="inlineStr">
        <is>
          <t>N</t>
        </is>
      </c>
      <c r="P256" s="2" t="n">
        <v>149</v>
      </c>
      <c r="Q256" s="2" t="inlineStr">
        <is>
          <t>2026-10-26</t>
        </is>
      </c>
      <c r="R256" s="3" t="inlineStr">
        <is>
          <t>https://www.ikea.com.tw/zh/products/boxes-and-organisers/boxes-and-baskets/drona-art-20443978</t>
        </is>
      </c>
      <c r="S256" s="2" t="inlineStr">
        <is>
          <t>官網</t>
        </is>
      </c>
      <c r="T256" s="2" t="inlineStr">
        <is>
          <t>high</t>
        </is>
      </c>
      <c r="U256" s="2" t="inlineStr">
        <is>
          <t>各色商品編號：深灰色=204.439.78、白色=702.628.28、米色+圓點=303.823.90、藍色=805.808.11、黑色=102.192.82、黑色+淺乳白色=806.257.15；DRÖNA 布蓋另售（26x19、36x26、39x34 公分）；適用於KALLAX層架組，或其他深度至少38公分的層架；DRÖNA系列幫你收納大大小小的物品；尺寸依KALLAX層架組設計</t>
        </is>
      </c>
      <c r="V256" s="2" t="inlineStr"/>
    </row>
    <row r="257">
      <c r="A257" s="2" t="inlineStr">
        <is>
          <t>IKEA-009</t>
        </is>
      </c>
      <c r="B257" s="2" t="inlineStr">
        <is>
          <t>IKEA</t>
        </is>
      </c>
      <c r="C257" s="2" t="inlineStr">
        <is>
          <t>DRÖNA</t>
        </is>
      </c>
      <c r="D257" s="2" t="inlineStr">
        <is>
          <t>DRÖNA 收納盒 25x35x25 公分</t>
        </is>
      </c>
      <c r="E257" s="2" t="inlineStr">
        <is>
          <t>904.670.70</t>
        </is>
      </c>
      <c r="F257" s="2" t="n">
        <v>25</v>
      </c>
      <c r="G257" s="2" t="n">
        <v>35</v>
      </c>
      <c r="H257" s="2" t="n">
        <v>25</v>
      </c>
      <c r="I257" s="2" t="n"/>
      <c r="J257" s="2" t="n"/>
      <c r="K257" s="2" t="n"/>
      <c r="L257" s="2" t="inlineStr">
        <is>
          <t>基本材質:100%聚酯纖維 (至少90%再生材料)；夾層材質:紙板 (至少30%再生材料)；裡布:100% 聚丙烯；底部:100%聚酯纖維 (至少90%再生材料), 100 % 聚氨酯</t>
        </is>
      </c>
      <c r="M257" s="2" t="inlineStr">
        <is>
          <t>白色/黑色/深灰色</t>
        </is>
      </c>
      <c r="N257" s="2" t="inlineStr"/>
      <c r="O257" s="2" t="inlineStr">
        <is>
          <t>N</t>
        </is>
      </c>
      <c r="P257" s="2" t="n">
        <v>99</v>
      </c>
      <c r="Q257" s="2" t="inlineStr">
        <is>
          <t>2026-10-26</t>
        </is>
      </c>
      <c r="R257" s="3" t="inlineStr">
        <is>
          <t>https://www.ikea.com.tw/zh/products/boxes-and-organisers/boxes-and-baskets/drona-art-90467070</t>
        </is>
      </c>
      <c r="S257" s="2" t="inlineStr">
        <is>
          <t>官網</t>
        </is>
      </c>
      <c r="T257" s="2" t="inlineStr">
        <is>
          <t>high</t>
        </is>
      </c>
      <c r="U257" s="2" t="inlineStr">
        <is>
          <t>官網標示為長度×寬度×高度，outer_d 填「長度」值；各色商品編號：白色=904.670.70、黑色=804.670.61、深灰色=506.321.28；DRÖNA 布蓋另售（26x19、36x26、39x34 公分）；非常適合用於BILLY書櫃（深28公分）、BESTÅ收納系列（深40公分）以及其他層架最少深25公分的收納組內；DRÖNA系列幫你收納大大小小的物品；適用BESTÅ層架組(深40公分)和BILLY書櫃</t>
        </is>
      </c>
      <c r="V257" s="2" t="inlineStr"/>
    </row>
    <row r="258">
      <c r="A258" s="2" t="inlineStr">
        <is>
          <t>IKEA-010</t>
        </is>
      </c>
      <c r="B258" s="2" t="inlineStr">
        <is>
          <t>IKEA</t>
        </is>
      </c>
      <c r="C258" s="2" t="inlineStr">
        <is>
          <t>DRÖNA</t>
        </is>
      </c>
      <c r="D258" s="2" t="inlineStr">
        <is>
          <t>DRÖNA 收納盒 18x25x15 公分</t>
        </is>
      </c>
      <c r="E258" s="2" t="inlineStr">
        <is>
          <t>306.321.34</t>
        </is>
      </c>
      <c r="F258" s="2" t="n">
        <v>18</v>
      </c>
      <c r="G258" s="2" t="n">
        <v>25</v>
      </c>
      <c r="H258" s="2" t="n">
        <v>15</v>
      </c>
      <c r="I258" s="2" t="n"/>
      <c r="J258" s="2" t="n"/>
      <c r="K258" s="2" t="n"/>
      <c r="L258" s="2" t="inlineStr">
        <is>
          <t>基本材質:100%聚酯纖維 (至少90%再生材料)；夾層材質:紙板 (至少30%再生材料)；裡布:100% 聚丙烯 (至少30%再生材料)</t>
        </is>
      </c>
      <c r="M258" s="2" t="inlineStr">
        <is>
          <t>深灰色/白色/黑色</t>
        </is>
      </c>
      <c r="N258" s="2" t="inlineStr"/>
      <c r="O258" s="2" t="inlineStr">
        <is>
          <t>N</t>
        </is>
      </c>
      <c r="P258" s="2" t="n"/>
      <c r="Q258" s="2" t="inlineStr">
        <is>
          <t>2026-10-26</t>
        </is>
      </c>
      <c r="R258" s="3" t="inlineStr">
        <is>
          <t>https://www.ikea.com.tw/zh/products/boxes-and-organisers/boxes-and-baskets/drona-art-30632134</t>
        </is>
      </c>
      <c r="S258" s="2" t="inlineStr">
        <is>
          <t>官網</t>
        </is>
      </c>
      <c r="T258" s="2" t="inlineStr">
        <is>
          <t>high</t>
        </is>
      </c>
      <c r="U258" s="2" t="inlineStr">
        <is>
          <t>SET:306.321.34|249|3|3;同尺寸3件裝，整包價249；包裝內含 3件裝；各色商品編號：深灰色=306.321.34、白色=506.321.33、黑色=006.321.35；DRÖNA 布蓋另售（26x19、36x26、39x34 公分）；尺寸適用於BILLY書櫃和其他最少深18公分的層架組；DRÖNA系列幫你收納大大小小的物品；適用於BILLY書櫃</t>
        </is>
      </c>
      <c r="V258" s="2" t="inlineStr">
        <is>
          <t>整組 NT$249，此尺寸 3 件／共 3 件</t>
        </is>
      </c>
    </row>
    <row r="259">
      <c r="A259" s="2" t="inlineStr">
        <is>
          <t>IKEA-011</t>
        </is>
      </c>
      <c r="B259" s="2" t="inlineStr">
        <is>
          <t>IKEA</t>
        </is>
      </c>
      <c r="C259" s="2" t="inlineStr">
        <is>
          <t>DRÖNA</t>
        </is>
      </c>
      <c r="D259" s="2" t="inlineStr">
        <is>
          <t>DRÖNA 附蓋收納盒 19x26x15 公分</t>
        </is>
      </c>
      <c r="E259" s="2" t="inlineStr">
        <is>
          <t>596.343.02</t>
        </is>
      </c>
      <c r="F259" s="2" t="n">
        <v>19</v>
      </c>
      <c r="G259" s="2" t="n">
        <v>26</v>
      </c>
      <c r="H259" s="2" t="n">
        <v>15</v>
      </c>
      <c r="I259" s="2" t="n"/>
      <c r="J259" s="2" t="n"/>
      <c r="K259" s="2" t="n"/>
      <c r="L259" s="2" t="inlineStr">
        <is>
          <t>收納盒；基本材質:100%聚酯纖維 (至少90%再生材料)；夾層材質:紙板 (至少30%再生材料)；裡布:100% 聚丙烯 (至少30%再生材料)；蓋子；表布:100%聚酯纖維 (至少90%再生材料)；夾層材質:聚丙烯塑膠；裡布:100% 聚丙烯 (至少30%再生材料)</t>
        </is>
      </c>
      <c r="M259" s="2" t="inlineStr">
        <is>
          <t>深灰色/黑色/白色</t>
        </is>
      </c>
      <c r="N259" s="2" t="inlineStr"/>
      <c r="O259" s="2" t="inlineStr">
        <is>
          <t>Y</t>
        </is>
      </c>
      <c r="P259" s="2" t="n">
        <v>339</v>
      </c>
      <c r="Q259" s="2" t="inlineStr">
        <is>
          <t>2026-10-26</t>
        </is>
      </c>
      <c r="R259" s="3" t="inlineStr">
        <is>
          <t>https://www.ikea.com.tw/zh/products/boxes-and-organisers/boxes-and-baskets/drona-spr-59634302</t>
        </is>
      </c>
      <c r="S259" s="2" t="inlineStr">
        <is>
          <t>官網</t>
        </is>
      </c>
      <c r="T259" s="2" t="inlineStr">
        <is>
          <t>high</t>
        </is>
      </c>
      <c r="U259" s="2" t="inlineStr">
        <is>
          <t>包裝內含 3件裝；收納盒＋蓋子組合，外寸為官網組合尺寸；內附：1 x 收納盒 DRÖNA 18x25x15 公分 3 x 蓋子 DRÖNA 26x19 公分；各色商品編號：深灰色=596.343.02、黑色=796.343.01、白色=196.345.06；尺寸適用於BILLY書櫃和其他最少深18公分的層架組；適用於BILLY書櫃</t>
        </is>
      </c>
      <c r="V259" s="2" t="inlineStr"/>
    </row>
    <row r="260">
      <c r="A260" s="2" t="inlineStr">
        <is>
          <t>IKEA-012</t>
        </is>
      </c>
      <c r="B260" s="2" t="inlineStr">
        <is>
          <t>IKEA</t>
        </is>
      </c>
      <c r="C260" s="2" t="inlineStr">
        <is>
          <t>DRÖNA</t>
        </is>
      </c>
      <c r="D260" s="2" t="inlineStr">
        <is>
          <t>DRÖNA 附蓋收納盒 26x36x25 公分</t>
        </is>
      </c>
      <c r="E260" s="2" t="inlineStr">
        <is>
          <t>596.345.09</t>
        </is>
      </c>
      <c r="F260" s="2" t="n">
        <v>26</v>
      </c>
      <c r="G260" s="2" t="n">
        <v>36</v>
      </c>
      <c r="H260" s="2" t="n">
        <v>25</v>
      </c>
      <c r="I260" s="2" t="n"/>
      <c r="J260" s="2" t="n"/>
      <c r="K260" s="2" t="n"/>
      <c r="L260" s="2" t="inlineStr">
        <is>
          <t>收納盒；基本材質:100%聚酯纖維 (至少90%再生材料)；夾層材質:紙板 (至少30%再生材料)；裡布:100% 聚丙烯；底部:100%聚酯纖維 (至少90%再生材料), 100 % 聚氨酯；蓋子；表布:100%聚酯纖維 (至少90%再生材料)；夾層材質:聚丙烯塑膠；裡布:100% 聚丙烯 (至少30%再生材料)</t>
        </is>
      </c>
      <c r="M260" s="2" t="inlineStr">
        <is>
          <t>白色/深灰色/黑色</t>
        </is>
      </c>
      <c r="N260" s="2" t="inlineStr"/>
      <c r="O260" s="2" t="inlineStr">
        <is>
          <t>Y</t>
        </is>
      </c>
      <c r="P260" s="2" t="n">
        <v>139</v>
      </c>
      <c r="Q260" s="2" t="inlineStr">
        <is>
          <t>2026-10-26</t>
        </is>
      </c>
      <c r="R260" s="3" t="inlineStr">
        <is>
          <t>https://www.ikea.com.tw/zh/products/boxes-and-organisers/boxes-and-baskets/drona-spr-59634509</t>
        </is>
      </c>
      <c r="S260" s="2" t="inlineStr">
        <is>
          <t>官網</t>
        </is>
      </c>
      <c r="T260" s="2" t="inlineStr">
        <is>
          <t>high</t>
        </is>
      </c>
      <c r="U260" s="2" t="inlineStr">
        <is>
          <t>收納盒＋蓋子組合，外寸為官網組合尺寸；內附：1 x 收納盒 DRÖNA 25x35x25 公分 1 x 蓋子 DRÖNA 36x26 公分；各色商品編號：白色=596.345.09、深灰色=796.345.08、黑色=996.345.07；非常適合用於BILLY書櫃（深28公分）、BESTÅ收納系列（深40公分）以及其他層架最少深25公分的收納組內；適用BESTÅ層架組(深40公分)和BILLY書櫃</t>
        </is>
      </c>
      <c r="V260" s="2" t="inlineStr"/>
    </row>
    <row r="261">
      <c r="A261" s="2" t="inlineStr">
        <is>
          <t>IKEA-013</t>
        </is>
      </c>
      <c r="B261" s="2" t="inlineStr">
        <is>
          <t>IKEA</t>
        </is>
      </c>
      <c r="C261" s="2" t="inlineStr">
        <is>
          <t>DRÖNA</t>
        </is>
      </c>
      <c r="D261" s="2" t="inlineStr">
        <is>
          <t>DRÖNA 附蓋收納盒 34x39x33 公分</t>
        </is>
      </c>
      <c r="E261" s="2" t="inlineStr">
        <is>
          <t>996.345.12</t>
        </is>
      </c>
      <c r="F261" s="2" t="n">
        <v>34</v>
      </c>
      <c r="G261" s="2" t="n">
        <v>39</v>
      </c>
      <c r="H261" s="2" t="n">
        <v>33</v>
      </c>
      <c r="I261" s="2" t="n"/>
      <c r="J261" s="2" t="n"/>
      <c r="K261" s="2" t="n"/>
      <c r="L261" s="2" t="inlineStr">
        <is>
          <t>收納盒；基本材質:100%聚酯纖維 (至少90%再生材料)；夾層材質:紙板 (至少30%再生材料)；裡布:100% 聚丙烯；蓋子；表布:100%聚酯纖維 (至少90%再生材料)；夾層材質:聚丙烯塑膠；裡布:100% 聚丙烯 (至少30%再生材料)</t>
        </is>
      </c>
      <c r="M261" s="2" t="inlineStr">
        <is>
          <t>白色/深灰色/黑色</t>
        </is>
      </c>
      <c r="N261" s="2" t="inlineStr"/>
      <c r="O261" s="2" t="inlineStr">
        <is>
          <t>Y</t>
        </is>
      </c>
      <c r="P261" s="2" t="n">
        <v>199</v>
      </c>
      <c r="Q261" s="2" t="inlineStr">
        <is>
          <t>2026-10-26</t>
        </is>
      </c>
      <c r="R261" s="3" t="inlineStr">
        <is>
          <t>https://www.ikea.com.tw/zh/products/boxes-and-organisers/boxes-and-baskets/drona-spr-99634512</t>
        </is>
      </c>
      <c r="S261" s="2" t="inlineStr">
        <is>
          <t>官網</t>
        </is>
      </c>
      <c r="T261" s="2" t="inlineStr">
        <is>
          <t>high</t>
        </is>
      </c>
      <c r="U261" s="2" t="inlineStr">
        <is>
          <t>收納盒＋蓋子組合，外寸為官網組合尺寸；內附：1 x 收納盒 DRÖNA 33x38x33 公分 1 x 蓋子 DRÖNA 39x34 公分；各色商品編號：白色=996.345.12、深灰色=196.345.11、黑色=396.345.10；適用於KALLAX層架組，或其他深度至少38公分的層架；尺寸依KALLAX層架組設計</t>
        </is>
      </c>
      <c r="V261" s="2" t="inlineStr"/>
    </row>
    <row r="262">
      <c r="A262" s="2" t="inlineStr">
        <is>
          <t>IKEA-014</t>
        </is>
      </c>
      <c r="B262" s="2" t="inlineStr">
        <is>
          <t>IKEA</t>
        </is>
      </c>
      <c r="C262" s="2" t="inlineStr">
        <is>
          <t>DRÖNJÖNS</t>
        </is>
      </c>
      <c r="D262" s="2" t="inlineStr">
        <is>
          <t>DRÖNJÖNS 收納盒 33x37x33 公分</t>
        </is>
      </c>
      <c r="E262" s="2" t="inlineStr">
        <is>
          <t>005.154.95</t>
        </is>
      </c>
      <c r="F262" s="2" t="n">
        <v>33</v>
      </c>
      <c r="G262" s="2" t="n">
        <v>37</v>
      </c>
      <c r="H262" s="2" t="n">
        <v>33</v>
      </c>
      <c r="I262" s="2" t="n"/>
      <c r="J262" s="2" t="n"/>
      <c r="K262" s="2" t="n"/>
      <c r="L262" s="2" t="inlineStr">
        <is>
          <t>鋼質, 環氧/聚酯粉末塗料</t>
        </is>
      </c>
      <c r="M262" s="2" t="inlineStr">
        <is>
          <t>白色</t>
        </is>
      </c>
      <c r="N262" s="2" t="inlineStr"/>
      <c r="O262" s="2" t="inlineStr">
        <is>
          <t>N</t>
        </is>
      </c>
      <c r="P262" s="2" t="n">
        <v>399</v>
      </c>
      <c r="Q262" s="2" t="inlineStr">
        <is>
          <t>2026-10-26</t>
        </is>
      </c>
      <c r="R262" s="3" t="inlineStr">
        <is>
          <t>https://www.ikea.com.tw/zh/products/boxes-and-organisers/boxes-and-baskets/dronjons-art-00515495</t>
        </is>
      </c>
      <c r="S262" s="2" t="inlineStr">
        <is>
          <t>官網</t>
        </is>
      </c>
      <c r="T262" s="2" t="inlineStr">
        <is>
          <t>high</t>
        </is>
      </c>
      <c r="U262" s="2" t="inlineStr">
        <is>
          <t>可放在KALLAX層架組合及其他最少深38公分的層架組合內</t>
        </is>
      </c>
      <c r="V262" s="2" t="inlineStr"/>
    </row>
    <row r="263">
      <c r="A263" s="2" t="inlineStr">
        <is>
          <t>IKEA-015</t>
        </is>
      </c>
      <c r="B263" s="2" t="inlineStr">
        <is>
          <t>IKEA</t>
        </is>
      </c>
      <c r="C263" s="2" t="inlineStr">
        <is>
          <t>DRÖNJÖNS</t>
        </is>
      </c>
      <c r="D263" s="2" t="inlineStr">
        <is>
          <t>DRÖNJÖNS 文具收納盒 25x20 公分</t>
        </is>
      </c>
      <c r="E263" s="2" t="inlineStr">
        <is>
          <t>804.288.28</t>
        </is>
      </c>
      <c r="F263" s="2" t="n">
        <v>25</v>
      </c>
      <c r="G263" s="2" t="n">
        <v>20</v>
      </c>
      <c r="H263" s="2" t="n">
        <v>20</v>
      </c>
      <c r="I263" s="2" t="n"/>
      <c r="J263" s="2" t="n"/>
      <c r="K263" s="2" t="n"/>
      <c r="L263" s="2" t="inlineStr">
        <is>
          <t>基本材質:鋼質, 粉末塗層；防刮痕保護:100 % 聚酯纖維</t>
        </is>
      </c>
      <c r="M263" s="2" t="inlineStr">
        <is>
          <t>白色</t>
        </is>
      </c>
      <c r="N263" s="2" t="inlineStr"/>
      <c r="O263" s="2" t="inlineStr">
        <is>
          <t>N</t>
        </is>
      </c>
      <c r="P263" s="2" t="n">
        <v>399</v>
      </c>
      <c r="Q263" s="2" t="inlineStr">
        <is>
          <t>2026-10-26</t>
        </is>
      </c>
      <c r="R263" s="3" t="inlineStr">
        <is>
          <t>https://www.ikea.com.tw/zh/products/boxes-and-organisers/organisers/dronjons-art-80428828</t>
        </is>
      </c>
      <c r="S263" s="2" t="inlineStr">
        <is>
          <t>官網</t>
        </is>
      </c>
      <c r="T263" s="2" t="inlineStr">
        <is>
          <t>high</t>
        </is>
      </c>
      <c r="U263" s="2" t="inlineStr"/>
      <c r="V263" s="2" t="inlineStr"/>
    </row>
    <row r="264">
      <c r="A264" s="2" t="inlineStr">
        <is>
          <t>IKEA-016</t>
        </is>
      </c>
      <c r="B264" s="2" t="inlineStr">
        <is>
          <t>IKEA</t>
        </is>
      </c>
      <c r="C264" s="2" t="inlineStr">
        <is>
          <t>DRÖNJÖNS</t>
        </is>
      </c>
      <c r="D264" s="2" t="inlineStr">
        <is>
          <t>DRÖNJÖNS 文件匣 34x24x7 公分</t>
        </is>
      </c>
      <c r="E264" s="2" t="inlineStr">
        <is>
          <t>404.288.25</t>
        </is>
      </c>
      <c r="F264" s="2" t="n">
        <v>34</v>
      </c>
      <c r="G264" s="2" t="n">
        <v>24</v>
      </c>
      <c r="H264" s="2" t="n">
        <v>7</v>
      </c>
      <c r="I264" s="2" t="n"/>
      <c r="J264" s="2" t="n"/>
      <c r="K264" s="2" t="n"/>
      <c r="L264" s="2" t="inlineStr">
        <is>
          <t>鋼質, 粉末塗層</t>
        </is>
      </c>
      <c r="M264" s="2" t="inlineStr">
        <is>
          <t>白色</t>
        </is>
      </c>
      <c r="N264" s="2" t="inlineStr">
        <is>
          <t>Y</t>
        </is>
      </c>
      <c r="O264" s="2" t="inlineStr">
        <is>
          <t>N</t>
        </is>
      </c>
      <c r="P264" s="2" t="n"/>
      <c r="Q264" s="2" t="inlineStr">
        <is>
          <t>2026-10-26</t>
        </is>
      </c>
      <c r="R264" s="3" t="inlineStr">
        <is>
          <t>https://www.ikea.com.tw/zh/products/boxes-and-organisers/organisers/dronjons-art-40428825</t>
        </is>
      </c>
      <c r="S264" s="2" t="inlineStr">
        <is>
          <t>官網</t>
        </is>
      </c>
      <c r="T264" s="2" t="inlineStr">
        <is>
          <t>high</t>
        </is>
      </c>
      <c r="U264" s="2" t="inlineStr">
        <is>
          <t>SET:404.288.25|299|2|2;同尺寸2件裝，整包價299；文件匣；包裝內含 2件裝；容易堆疊，也可分開使用</t>
        </is>
      </c>
      <c r="V264" s="2" t="inlineStr">
        <is>
          <t>整組 NT$299，此尺寸 2 件／共 2 件</t>
        </is>
      </c>
    </row>
    <row r="265">
      <c r="A265" s="2" t="inlineStr">
        <is>
          <t>IKEA-017</t>
        </is>
      </c>
      <c r="B265" s="2" t="inlineStr">
        <is>
          <t>IKEA</t>
        </is>
      </c>
      <c r="C265" s="2" t="inlineStr">
        <is>
          <t>FJÄDERHARV</t>
        </is>
      </c>
      <c r="D265" s="2" t="inlineStr">
        <is>
          <t>FJÄDERHARV 附蓋收納盒 25x35x16 公分</t>
        </is>
      </c>
      <c r="E265" s="2" t="inlineStr">
        <is>
          <t>105.969.24</t>
        </is>
      </c>
      <c r="F265" s="2" t="n">
        <v>25</v>
      </c>
      <c r="G265" s="2" t="n">
        <v>35</v>
      </c>
      <c r="H265" s="2" t="n">
        <v>16</v>
      </c>
      <c r="I265" s="2" t="n"/>
      <c r="J265" s="2" t="n"/>
      <c r="K265" s="2" t="n"/>
      <c r="L265" s="2" t="inlineStr">
        <is>
          <t>紙板 (至少100%再生材料), 紙</t>
        </is>
      </c>
      <c r="M265" s="2" t="inlineStr">
        <is>
          <t>白色/碳黑色</t>
        </is>
      </c>
      <c r="N265" s="2" t="inlineStr"/>
      <c r="O265" s="2" t="inlineStr">
        <is>
          <t>Y</t>
        </is>
      </c>
      <c r="P265" s="2" t="n">
        <v>149</v>
      </c>
      <c r="Q265" s="2" t="inlineStr">
        <is>
          <t>2026-10-26</t>
        </is>
      </c>
      <c r="R265" s="3" t="inlineStr">
        <is>
          <t>https://www.ikea.com.tw/zh/products/boxes-and-organisers/boxes-and-baskets/fjaderharv-art-10596924</t>
        </is>
      </c>
      <c r="S265" s="2" t="inlineStr">
        <is>
          <t>官網</t>
        </is>
      </c>
      <c r="T265" s="2" t="inlineStr">
        <is>
          <t>high</t>
        </is>
      </c>
      <c r="U265" s="2" t="inlineStr">
        <is>
          <t>官網標示為長度×寬度×高度，outer_d 填「長度」值；各色商品編號：白色=105.969.24、碳黑色=905.969.20；尺寸適用於我們大部分最少深25公分的收納系列內。BESTÅ收納組尤為合適；盒子堅固耐用，且附有裁切的把手孔，方便從層架拉出、提起；FJÄDERHARV系列的產品，容易搭配並提供相同的高度，賦予書櫃整潔的外觀</t>
        </is>
      </c>
      <c r="V265" s="2" t="inlineStr"/>
    </row>
    <row r="266">
      <c r="A266" s="2" t="inlineStr">
        <is>
          <t>IKEA-018</t>
        </is>
      </c>
      <c r="B266" s="2" t="inlineStr">
        <is>
          <t>IKEA</t>
        </is>
      </c>
      <c r="C266" s="2" t="inlineStr">
        <is>
          <t>FJÄDERHARV</t>
        </is>
      </c>
      <c r="D266" s="2" t="inlineStr">
        <is>
          <t>FJÄDERHARV 附蓋收納盒 32x35x31 公分</t>
        </is>
      </c>
      <c r="E266" s="2" t="inlineStr">
        <is>
          <t>605.969.26</t>
        </is>
      </c>
      <c r="F266" s="2" t="n">
        <v>32</v>
      </c>
      <c r="G266" s="2" t="n">
        <v>35</v>
      </c>
      <c r="H266" s="2" t="n">
        <v>31</v>
      </c>
      <c r="I266" s="2" t="n"/>
      <c r="J266" s="2" t="n"/>
      <c r="K266" s="2" t="n"/>
      <c r="L266" s="2" t="inlineStr">
        <is>
          <t>紙板 (至少100%再生材料), 紙</t>
        </is>
      </c>
      <c r="M266" s="2" t="inlineStr">
        <is>
          <t>白色/碳黑色</t>
        </is>
      </c>
      <c r="N266" s="2" t="inlineStr"/>
      <c r="O266" s="2" t="inlineStr">
        <is>
          <t>Y</t>
        </is>
      </c>
      <c r="P266" s="2" t="n">
        <v>199</v>
      </c>
      <c r="Q266" s="2" t="inlineStr">
        <is>
          <t>2026-10-26</t>
        </is>
      </c>
      <c r="R266" s="3" t="inlineStr">
        <is>
          <t>https://www.ikea.com.tw/zh/products/boxes-and-organisers/boxes-and-baskets/fjaderharv-art-60596926</t>
        </is>
      </c>
      <c r="S266" s="2" t="inlineStr">
        <is>
          <t>官網</t>
        </is>
      </c>
      <c r="T266" s="2" t="inlineStr">
        <is>
          <t>high</t>
        </is>
      </c>
      <c r="U266" s="2" t="inlineStr">
        <is>
          <t>官網標示為長度×寬度×高度，outer_d 填「長度」值；各色商品編號：白色=605.969.26、碳黑色=505.969.22；FJÄDERHARV系列的產品，容易搭配並提供相同的高度，賦予書櫃整潔的外觀；適用於KALLAX層架組，或其他深度至少38公分的層架；盒子堅固耐用，且附有裁切的把手孔，方便從層架拉出、提起</t>
        </is>
      </c>
      <c r="V266" s="2" t="inlineStr"/>
    </row>
    <row r="267">
      <c r="A267" s="2" t="inlineStr">
        <is>
          <t>IKEA-019</t>
        </is>
      </c>
      <c r="B267" s="2" t="inlineStr">
        <is>
          <t>IKEA</t>
        </is>
      </c>
      <c r="C267" s="2" t="inlineStr">
        <is>
          <t>FODERTRÅG</t>
        </is>
      </c>
      <c r="D267" s="2" t="inlineStr">
        <is>
          <t>FODERTRÅG 桌面/牆面收納盒 25x18x15 公分</t>
        </is>
      </c>
      <c r="E267" s="2" t="inlineStr">
        <is>
          <t>705.907.64</t>
        </is>
      </c>
      <c r="F267" s="2" t="n">
        <v>25</v>
      </c>
      <c r="G267" s="2" t="n">
        <v>18</v>
      </c>
      <c r="H267" s="2" t="n">
        <v>15</v>
      </c>
      <c r="I267" s="2" t="n"/>
      <c r="J267" s="2" t="n"/>
      <c r="K267" s="2" t="n"/>
      <c r="L267" s="2" t="inlineStr">
        <is>
          <t>聚丙烯塑膠 (至少50%再生材料)</t>
        </is>
      </c>
      <c r="M267" s="2" t="inlineStr">
        <is>
          <t>亮黃色/淺灰色/灰藍色</t>
        </is>
      </c>
      <c r="N267" s="2" t="inlineStr">
        <is>
          <t>Y</t>
        </is>
      </c>
      <c r="O267" s="2" t="inlineStr">
        <is>
          <t>N</t>
        </is>
      </c>
      <c r="P267" s="2" t="n">
        <v>99</v>
      </c>
      <c r="Q267" s="2" t="inlineStr">
        <is>
          <t>2026-10-26</t>
        </is>
      </c>
      <c r="R267" s="3" t="inlineStr">
        <is>
          <t>https://www.ikea.com.tw/zh/products/boxes-and-organisers/organisers/fodertrag-art-70590764</t>
        </is>
      </c>
      <c r="S267" s="2" t="inlineStr">
        <is>
          <t>官網</t>
        </is>
      </c>
      <c r="T267" s="2" t="inlineStr">
        <is>
          <t>high</t>
        </is>
      </c>
      <c r="U267" s="2" t="inlineStr">
        <is>
          <t>各色商品編號：亮黃色=705.907.64、淺灰色=405.907.65、灰藍色=905.907.63；可使放一個或多個收納架在書桌或層架上，打造實用的收納解決方案。 你也可以將它們固定在牆上(螺絲需另購)</t>
        </is>
      </c>
      <c r="V267" s="2" t="inlineStr"/>
    </row>
    <row r="268">
      <c r="A268" s="2" t="inlineStr">
        <is>
          <t>IKEA-020</t>
        </is>
      </c>
      <c r="B268" s="2" t="inlineStr">
        <is>
          <t>IKEA</t>
        </is>
      </c>
      <c r="C268" s="2" t="inlineStr">
        <is>
          <t>FÅNGGRÖDA</t>
        </is>
      </c>
      <c r="D268" s="2" t="inlineStr">
        <is>
          <t>FÅNGGRÖDA 隔層儲物格 35x24x14 公分</t>
        </is>
      </c>
      <c r="E268" s="2" t="inlineStr">
        <is>
          <t>905.595.26</t>
        </is>
      </c>
      <c r="F268" s="2" t="n">
        <v>35</v>
      </c>
      <c r="G268" s="2" t="n">
        <v>24</v>
      </c>
      <c r="H268" s="2" t="n">
        <v>14</v>
      </c>
      <c r="I268" s="2" t="n"/>
      <c r="J268" s="2" t="n"/>
      <c r="K268" s="2" t="n"/>
      <c r="L268" s="2" t="inlineStr">
        <is>
          <t>聚丙烯塑膠 (至少20%再生材料)</t>
        </is>
      </c>
      <c r="M268" s="2" t="inlineStr">
        <is>
          <t>淺灰色</t>
        </is>
      </c>
      <c r="N268" s="2" t="inlineStr"/>
      <c r="O268" s="2" t="inlineStr">
        <is>
          <t>N</t>
        </is>
      </c>
      <c r="P268" s="2" t="n">
        <v>149</v>
      </c>
      <c r="Q268" s="2" t="inlineStr">
        <is>
          <t>2026-10-26</t>
        </is>
      </c>
      <c r="R268" s="3" t="inlineStr">
        <is>
          <t>https://www.ikea.com.tw/zh/products/boxes-and-organisers/organisers/fanggroda-art-90559526</t>
        </is>
      </c>
      <c r="S268" s="2" t="inlineStr">
        <is>
          <t>官網</t>
        </is>
      </c>
      <c r="T268" s="2" t="inlineStr">
        <is>
          <t>high</t>
        </is>
      </c>
      <c r="U268" s="2" t="inlineStr">
        <is>
          <t>4個間隔讓你可以有效地用盡抽屜的空間，連較細小的配件都放得妥當；適合搭配BOAXEL和JONAXEL網籃，亦可以用於其他抽屜和收納櫃；可以將多個FÅNGGRÖDA隔層儲物架放在同一抽屜內，善用空間之餘又能井井有條</t>
        </is>
      </c>
      <c r="V268" s="2" t="inlineStr"/>
    </row>
    <row r="269">
      <c r="A269" s="2" t="inlineStr">
        <is>
          <t>IKEA-021</t>
        </is>
      </c>
      <c r="B269" s="2" t="inlineStr">
        <is>
          <t>IKEA</t>
        </is>
      </c>
      <c r="C269" s="2" t="inlineStr">
        <is>
          <t>GJÄTTA</t>
        </is>
      </c>
      <c r="D269" s="2" t="inlineStr">
        <is>
          <t>GJÄTTA 附蓋收納盒 25x35x20 公分</t>
        </is>
      </c>
      <c r="E269" s="2" t="inlineStr">
        <is>
          <t>005.996.78</t>
        </is>
      </c>
      <c r="F269" s="2" t="n">
        <v>25</v>
      </c>
      <c r="G269" s="2" t="n">
        <v>35</v>
      </c>
      <c r="H269" s="2" t="n">
        <v>20</v>
      </c>
      <c r="I269" s="2" t="n"/>
      <c r="J269" s="2" t="n"/>
      <c r="K269" s="2" t="n"/>
      <c r="L269" s="2" t="inlineStr">
        <is>
          <t>紙板 (至少100%再生材料), 100 % 聚酯纖維, 無氯漂白紙</t>
        </is>
      </c>
      <c r="M269" s="2" t="inlineStr">
        <is>
          <t>絲絨 深綠色</t>
        </is>
      </c>
      <c r="N269" s="2" t="inlineStr"/>
      <c r="O269" s="2" t="inlineStr">
        <is>
          <t>Y</t>
        </is>
      </c>
      <c r="P269" s="2" t="n">
        <v>349</v>
      </c>
      <c r="Q269" s="2" t="inlineStr">
        <is>
          <t>2026-10-26</t>
        </is>
      </c>
      <c r="R269" s="3" t="inlineStr">
        <is>
          <t>https://www.ikea.com.tw/zh/products/boxes-and-organisers/boxes-and-baskets/gjatta-art-00599678</t>
        </is>
      </c>
      <c r="S269" s="2" t="inlineStr">
        <is>
          <t>官網</t>
        </is>
      </c>
      <c r="T269" s="2" t="inlineStr">
        <is>
          <t>high</t>
        </is>
      </c>
      <c r="U269" s="2" t="inlineStr">
        <is>
          <t>官網標示為長度×寬度×高度，outer_d 填「長度」值；尺寸適用於我們大部分最少深25公分的收納系列內。BESTÅ收納組尤為合適</t>
        </is>
      </c>
      <c r="V269" s="2" t="inlineStr"/>
    </row>
    <row r="270">
      <c r="A270" s="2" t="inlineStr">
        <is>
          <t>IKEA-022</t>
        </is>
      </c>
      <c r="B270" s="2" t="inlineStr">
        <is>
          <t>IKEA</t>
        </is>
      </c>
      <c r="C270" s="2" t="inlineStr">
        <is>
          <t>GJÄTTA</t>
        </is>
      </c>
      <c r="D270" s="2" t="inlineStr">
        <is>
          <t>GJÄTTA 附蓋收納盒 32x35x32 公分</t>
        </is>
      </c>
      <c r="E270" s="2" t="inlineStr">
        <is>
          <t>005.996.83</t>
        </is>
      </c>
      <c r="F270" s="2" t="n">
        <v>32</v>
      </c>
      <c r="G270" s="2" t="n">
        <v>35</v>
      </c>
      <c r="H270" s="2" t="n">
        <v>32</v>
      </c>
      <c r="I270" s="2" t="n"/>
      <c r="J270" s="2" t="n"/>
      <c r="K270" s="2" t="n"/>
      <c r="L270" s="2" t="inlineStr">
        <is>
          <t>紙板 (至少100%再生材料), 100 % 聚酯纖維, 無氯漂白紙</t>
        </is>
      </c>
      <c r="M270" s="2" t="inlineStr">
        <is>
          <t>絲絨 深綠色</t>
        </is>
      </c>
      <c r="N270" s="2" t="inlineStr"/>
      <c r="O270" s="2" t="inlineStr">
        <is>
          <t>Y</t>
        </is>
      </c>
      <c r="P270" s="2" t="n">
        <v>499</v>
      </c>
      <c r="Q270" s="2" t="inlineStr">
        <is>
          <t>2026-10-26</t>
        </is>
      </c>
      <c r="R270" s="3" t="inlineStr">
        <is>
          <t>https://www.ikea.com.tw/zh/products/boxes-and-organisers/boxes-and-baskets/gjatta-art-00599683</t>
        </is>
      </c>
      <c r="S270" s="2" t="inlineStr">
        <is>
          <t>官網</t>
        </is>
      </c>
      <c r="T270" s="2" t="inlineStr">
        <is>
          <t>high</t>
        </is>
      </c>
      <c r="U270" s="2" t="inlineStr">
        <is>
          <t>官網標示為長度×寬度×高度，outer_d 填「長度」值；適合放入KALLAX層架組合和其他最少深35公分的層架內</t>
        </is>
      </c>
      <c r="V270" s="2" t="inlineStr"/>
    </row>
    <row r="271">
      <c r="A271" s="2" t="inlineStr">
        <is>
          <t>IKEA-023</t>
        </is>
      </c>
      <c r="B271" s="2" t="inlineStr">
        <is>
          <t>IKEA</t>
        </is>
      </c>
      <c r="C271" s="2" t="inlineStr">
        <is>
          <t>GJÄTTA</t>
        </is>
      </c>
      <c r="D271" s="2" t="inlineStr">
        <is>
          <t>GJÄTTA 附蓋收納盒 18x25x15 公分</t>
        </is>
      </c>
      <c r="E271" s="2" t="inlineStr">
        <is>
          <t>605.996.80</t>
        </is>
      </c>
      <c r="F271" s="2" t="n">
        <v>18</v>
      </c>
      <c r="G271" s="2" t="n">
        <v>25</v>
      </c>
      <c r="H271" s="2" t="n">
        <v>15</v>
      </c>
      <c r="I271" s="2" t="n"/>
      <c r="J271" s="2" t="n"/>
      <c r="K271" s="2" t="n"/>
      <c r="L271" s="2" t="inlineStr">
        <is>
          <t>紙板 (至少100%再生材料), 100 % 聚酯纖維, 無氯漂白紙</t>
        </is>
      </c>
      <c r="M271" s="2" t="inlineStr">
        <is>
          <t>絲絨 淺灰色</t>
        </is>
      </c>
      <c r="N271" s="2" t="inlineStr"/>
      <c r="O271" s="2" t="inlineStr">
        <is>
          <t>Y</t>
        </is>
      </c>
      <c r="P271" s="2" t="n">
        <v>199</v>
      </c>
      <c r="Q271" s="2" t="inlineStr">
        <is>
          <t>2026-10-26</t>
        </is>
      </c>
      <c r="R271" s="3" t="inlineStr">
        <is>
          <t>https://www.ikea.com.tw/zh/products/boxes-and-organisers/boxes-and-baskets/gjatta-art-60599680</t>
        </is>
      </c>
      <c r="S271" s="2" t="inlineStr">
        <is>
          <t>官網</t>
        </is>
      </c>
      <c r="T271" s="2" t="inlineStr">
        <is>
          <t>high</t>
        </is>
      </c>
      <c r="U271" s="2" t="inlineStr">
        <is>
          <t>官網標示為長度×寬度×高度，outer_d 填「長度」值；尺寸適用於BILLY書櫃和其他最少深18公分的層架組</t>
        </is>
      </c>
      <c r="V271" s="2" t="inlineStr"/>
    </row>
    <row r="272">
      <c r="A272" s="2" t="inlineStr">
        <is>
          <t>IKEA-024</t>
        </is>
      </c>
      <c r="B272" s="2" t="inlineStr">
        <is>
          <t>IKEA</t>
        </is>
      </c>
      <c r="C272" s="2" t="inlineStr">
        <is>
          <t>GÄRDESGÅRD</t>
        </is>
      </c>
      <c r="D272" s="2" t="inlineStr">
        <is>
          <t>GÄRDESGÅRD 附蓋收納盒 25x35x16 公分</t>
        </is>
      </c>
      <c r="E272" s="2" t="inlineStr">
        <is>
          <t>805.969.54</t>
        </is>
      </c>
      <c r="F272" s="2" t="n">
        <v>25</v>
      </c>
      <c r="G272" s="2" t="n">
        <v>35</v>
      </c>
      <c r="H272" s="2" t="n">
        <v>16</v>
      </c>
      <c r="I272" s="2" t="n"/>
      <c r="J272" s="2" t="n"/>
      <c r="K272" s="2" t="n"/>
      <c r="L272" s="2" t="inlineStr">
        <is>
          <t>紙板 (至少100%再生材料), 紙</t>
        </is>
      </c>
      <c r="M272" s="2" t="inlineStr">
        <is>
          <t>自然色</t>
        </is>
      </c>
      <c r="N272" s="2" t="inlineStr"/>
      <c r="O272" s="2" t="inlineStr">
        <is>
          <t>Y</t>
        </is>
      </c>
      <c r="P272" s="2" t="n">
        <v>179</v>
      </c>
      <c r="Q272" s="2" t="inlineStr">
        <is>
          <t>2026-10-26</t>
        </is>
      </c>
      <c r="R272" s="3" t="inlineStr">
        <is>
          <t>https://www.ikea.com.tw/zh/products/boxes-and-organisers/boxes-and-baskets/gardesgard-art-80596954</t>
        </is>
      </c>
      <c r="S272" s="2" t="inlineStr">
        <is>
          <t>官網</t>
        </is>
      </c>
      <c r="T272" s="2" t="inlineStr">
        <is>
          <t>high</t>
        </is>
      </c>
      <c r="U272" s="2" t="inlineStr">
        <is>
          <t>官網標示為長度×寬度×高度，outer_d 填「長度」值；盒子堅固耐用，且附有裁切的把手孔，方便從層架拉出、提起；GÄRDESGÅRD系列的產品，容易搭配並提供相同的高度，賦予書櫃整潔的外觀</t>
        </is>
      </c>
      <c r="V272" s="2" t="inlineStr"/>
    </row>
    <row r="273">
      <c r="A273" s="2" t="inlineStr">
        <is>
          <t>IKEA-025</t>
        </is>
      </c>
      <c r="B273" s="2" t="inlineStr">
        <is>
          <t>IKEA</t>
        </is>
      </c>
      <c r="C273" s="2" t="inlineStr">
        <is>
          <t>GÄRDESGÅRD</t>
        </is>
      </c>
      <c r="D273" s="2" t="inlineStr">
        <is>
          <t>GÄRDESGÅRD 附蓋收納盒 32x35x31 公分</t>
        </is>
      </c>
      <c r="E273" s="2" t="inlineStr">
        <is>
          <t>305.969.56</t>
        </is>
      </c>
      <c r="F273" s="2" t="n">
        <v>32</v>
      </c>
      <c r="G273" s="2" t="n">
        <v>35</v>
      </c>
      <c r="H273" s="2" t="n">
        <v>31</v>
      </c>
      <c r="I273" s="2" t="n"/>
      <c r="J273" s="2" t="n"/>
      <c r="K273" s="2" t="n"/>
      <c r="L273" s="2" t="inlineStr">
        <is>
          <t>紙板 (至少100%再生材料), 紙</t>
        </is>
      </c>
      <c r="M273" s="2" t="inlineStr">
        <is>
          <t>自然色</t>
        </is>
      </c>
      <c r="N273" s="2" t="inlineStr"/>
      <c r="O273" s="2" t="inlineStr">
        <is>
          <t>Y</t>
        </is>
      </c>
      <c r="P273" s="2" t="n">
        <v>249</v>
      </c>
      <c r="Q273" s="2" t="inlineStr">
        <is>
          <t>2026-10-26</t>
        </is>
      </c>
      <c r="R273" s="3" t="inlineStr">
        <is>
          <t>https://www.ikea.com.tw/zh/products/boxes-and-organisers/boxes-and-baskets/gardesgard-art-30596956</t>
        </is>
      </c>
      <c r="S273" s="2" t="inlineStr">
        <is>
          <t>官網</t>
        </is>
      </c>
      <c r="T273" s="2" t="inlineStr">
        <is>
          <t>high</t>
        </is>
      </c>
      <c r="U273" s="2" t="inlineStr">
        <is>
          <t>官網標示為長度×寬度×高度，outer_d 填「長度」值；GÄRDESGÅRD系列的產品，容易搭配並提供相同的高度，賦予書櫃整潔的外觀；盒子堅固耐用，且附有裁切的把手孔，方便從層架拉出、提起</t>
        </is>
      </c>
      <c r="V273" s="2" t="inlineStr"/>
    </row>
    <row r="274">
      <c r="A274" s="2" t="inlineStr">
        <is>
          <t>IKEA-026</t>
        </is>
      </c>
      <c r="B274" s="2" t="inlineStr">
        <is>
          <t>IKEA</t>
        </is>
      </c>
      <c r="C274" s="2" t="inlineStr">
        <is>
          <t>HARVMATTA</t>
        </is>
      </c>
      <c r="D274" s="2" t="inlineStr">
        <is>
          <t>HARVMATTA 分格收納盒 24x18x6 公分</t>
        </is>
      </c>
      <c r="E274" s="2" t="inlineStr">
        <is>
          <t>005.553.06</t>
        </is>
      </c>
      <c r="F274" s="2" t="n">
        <v>18</v>
      </c>
      <c r="G274" s="2" t="n">
        <v>24</v>
      </c>
      <c r="H274" s="2" t="n">
        <v>6</v>
      </c>
      <c r="I274" s="2" t="n"/>
      <c r="J274" s="2" t="n"/>
      <c r="K274" s="2" t="n"/>
      <c r="L274" s="2" t="inlineStr">
        <is>
          <t>鋼質, 環氧/聚酯粉末塗料, 軟木</t>
        </is>
      </c>
      <c r="M274" s="2" t="inlineStr">
        <is>
          <t>深米灰色</t>
        </is>
      </c>
      <c r="N274" s="2" t="inlineStr"/>
      <c r="O274" s="2" t="inlineStr">
        <is>
          <t>N</t>
        </is>
      </c>
      <c r="P274" s="2" t="n">
        <v>399</v>
      </c>
      <c r="Q274" s="2" t="inlineStr">
        <is>
          <t>2026-10-26</t>
        </is>
      </c>
      <c r="R274" s="3" t="inlineStr">
        <is>
          <t>https://www.ikea.com.tw/zh/products/boxes-and-organisers/organisers/harvmatta-art-00555306</t>
        </is>
      </c>
      <c r="S274" s="2" t="inlineStr">
        <is>
          <t>官網</t>
        </is>
      </c>
      <c r="T274" s="2" t="inlineStr">
        <is>
          <t>high</t>
        </is>
      </c>
      <c r="U274" s="2" t="inlineStr">
        <is>
          <t>官網商品說明提及「連蓋盒子」，但品名未標附蓋；has_lid 依品名填 N，待確認；官網標示為長度×寬度×高度，outer_d 填「長度」值；這個連蓋盒子設計精美，隨時可以變成書桌上或書櫃內最吸引的裝飾品。可以單獨放置或搭配其他盒子一併使用</t>
        </is>
      </c>
      <c r="V274" s="2" t="inlineStr"/>
    </row>
    <row r="275">
      <c r="A275" s="2" t="inlineStr">
        <is>
          <t>IKEA-027</t>
        </is>
      </c>
      <c r="B275" s="2" t="inlineStr">
        <is>
          <t>IKEA</t>
        </is>
      </c>
      <c r="C275" s="2" t="inlineStr">
        <is>
          <t>HARVMATTA</t>
        </is>
      </c>
      <c r="D275" s="2" t="inlineStr">
        <is>
          <t>HARVMATTA 附蓋收納盒 24x35x6 公分</t>
        </is>
      </c>
      <c r="E275" s="2" t="inlineStr">
        <is>
          <t>105.553.01</t>
        </is>
      </c>
      <c r="F275" s="2" t="n">
        <v>24</v>
      </c>
      <c r="G275" s="2" t="n">
        <v>35</v>
      </c>
      <c r="H275" s="2" t="n">
        <v>6</v>
      </c>
      <c r="I275" s="2" t="n"/>
      <c r="J275" s="2" t="n"/>
      <c r="K275" s="2" t="n"/>
      <c r="L275" s="2" t="inlineStr">
        <is>
          <t>鋼質, 環氧/聚酯粉末塗料, 軟木</t>
        </is>
      </c>
      <c r="M275" s="2" t="inlineStr">
        <is>
          <t>碳黑色</t>
        </is>
      </c>
      <c r="N275" s="2" t="inlineStr">
        <is>
          <t>Y</t>
        </is>
      </c>
      <c r="O275" s="2" t="inlineStr">
        <is>
          <t>Y</t>
        </is>
      </c>
      <c r="P275" s="2" t="n">
        <v>499</v>
      </c>
      <c r="Q275" s="2" t="inlineStr">
        <is>
          <t>2026-10-26</t>
        </is>
      </c>
      <c r="R275" s="3" t="inlineStr">
        <is>
          <t>https://www.ikea.com.tw/zh/products/boxes-and-organisers/organisers/harvmatta-art-10555301</t>
        </is>
      </c>
      <c r="S275" s="2" t="inlineStr">
        <is>
          <t>官網</t>
        </is>
      </c>
      <c r="T275" s="2" t="inlineStr">
        <is>
          <t>high</t>
        </is>
      </c>
      <c r="U275" s="2" t="inlineStr">
        <is>
          <t>這個連蓋盒子設計精美，隨時可以變成書桌上或書櫃內最吸引的裝飾品。可以單獨放置或搭配其他盒子一併使用</t>
        </is>
      </c>
      <c r="V275" s="2" t="inlineStr"/>
    </row>
    <row r="276">
      <c r="A276" s="2" t="inlineStr">
        <is>
          <t>IKEA-028</t>
        </is>
      </c>
      <c r="B276" s="2" t="inlineStr">
        <is>
          <t>IKEA</t>
        </is>
      </c>
      <c r="C276" s="2" t="inlineStr">
        <is>
          <t>HEMMAFIXARE</t>
        </is>
      </c>
      <c r="D276" s="2" t="inlineStr">
        <is>
          <t>HEMMAFIXARE 鞋盒 23x34x19 公分</t>
        </is>
      </c>
      <c r="E276" s="2" t="inlineStr">
        <is>
          <t>505.039.23</t>
        </is>
      </c>
      <c r="F276" s="2" t="n">
        <v>23</v>
      </c>
      <c r="G276" s="2" t="n">
        <v>34</v>
      </c>
      <c r="H276" s="2" t="n">
        <v>19</v>
      </c>
      <c r="I276" s="2" t="n"/>
      <c r="J276" s="2" t="n"/>
      <c r="K276" s="2" t="n"/>
      <c r="L276" s="2" t="inlineStr">
        <is>
          <t>布料:100 % 聚乙烯塑膠, 100%聚酯纖維 (至少90%再生材料)；支撐布料:100 % PEVA塑膠；插入配件/ 連接條:聚丙烯塑膠；彈性帶:100 % 聚酯纖維</t>
        </is>
      </c>
      <c r="M276" s="2" t="inlineStr">
        <is>
          <t>布 條紋+白色+灰色</t>
        </is>
      </c>
      <c r="N276" s="2" t="inlineStr">
        <is>
          <t>Y</t>
        </is>
      </c>
      <c r="O276" s="2" t="inlineStr">
        <is>
          <t>N</t>
        </is>
      </c>
      <c r="P276" s="2" t="n"/>
      <c r="Q276" s="2" t="inlineStr">
        <is>
          <t>2026-10-26</t>
        </is>
      </c>
      <c r="R276" s="3" t="inlineStr">
        <is>
          <t>https://www.ikea.com.tw/zh/products/clothes-and-shoe-organisers-and-accessories/clothes-and-shoes-organisers/hemmafixare-art-50503923</t>
        </is>
      </c>
      <c r="S276" s="2" t="inlineStr">
        <is>
          <t>官網</t>
        </is>
      </c>
      <c r="T276" s="2" t="inlineStr">
        <is>
          <t>high</t>
        </is>
      </c>
      <c r="U276" s="2" t="inlineStr">
        <is>
          <t>SET:505.039.23|399|2|2;同尺寸2件裝，整包價399；包裝內含 2件裝；開口在前面，即使上下堆疊，也容易拿取鞋子；這個鞋盒除了可以放在PAX衣櫥系列中，放到其他你喜歡的位置也十分合適；專為PAX衣櫃所設計</t>
        </is>
      </c>
      <c r="V276" s="2" t="inlineStr">
        <is>
          <t>整組 NT$399，此尺寸 2 件／共 2 件</t>
        </is>
      </c>
    </row>
    <row r="277">
      <c r="A277" s="2" t="inlineStr">
        <is>
          <t>IKEA-029</t>
        </is>
      </c>
      <c r="B277" s="2" t="inlineStr">
        <is>
          <t>IKEA</t>
        </is>
      </c>
      <c r="C277" s="2" t="inlineStr">
        <is>
          <t>HÖVAGN</t>
        </is>
      </c>
      <c r="D277" s="2" t="inlineStr">
        <is>
          <t>HÖVAGN 附蓋收納盒 6x9x3.5 公分</t>
        </is>
      </c>
      <c r="E277" s="2" t="inlineStr">
        <is>
          <t>205.343.94</t>
        </is>
      </c>
      <c r="F277" s="2" t="n">
        <v>6</v>
      </c>
      <c r="G277" s="2" t="n">
        <v>9</v>
      </c>
      <c r="H277" s="2" t="n">
        <v>3.5</v>
      </c>
      <c r="I277" s="2" t="n"/>
      <c r="J277" s="2" t="n"/>
      <c r="K277" s="2" t="n"/>
      <c r="L277" s="2" t="inlineStr">
        <is>
          <t>盒:聚丙烯塑膠；彈片:聚丙烯塑膠, 聚丙烯塑膠</t>
        </is>
      </c>
      <c r="M277" s="2" t="inlineStr"/>
      <c r="N277" s="2" t="inlineStr">
        <is>
          <t>Y</t>
        </is>
      </c>
      <c r="O277" s="2" t="inlineStr">
        <is>
          <t>Y</t>
        </is>
      </c>
      <c r="P277" s="2" t="n"/>
      <c r="Q277" s="2" t="inlineStr">
        <is>
          <t>2026-10-26</t>
        </is>
      </c>
      <c r="R277" s="3" t="inlineStr">
        <is>
          <t>https://www.ikea.com.tw/zh/products/boxes-and-organisers/organisers/hovagn-art-20534394</t>
        </is>
      </c>
      <c r="S277" s="2" t="inlineStr">
        <is>
          <t>官網</t>
        </is>
      </c>
      <c r="T277" s="2" t="inlineStr">
        <is>
          <t>high</t>
        </is>
      </c>
      <c r="U277" s="2" t="inlineStr">
        <is>
          <t>SET:205.343.94|59|4|4;同尺寸4件裝，整包價59；官網標示為長度×寬度×高度，outer_d 填「長度」值；包裝內含 4件裝</t>
        </is>
      </c>
      <c r="V277" s="2" t="inlineStr">
        <is>
          <t>整組 NT$59，此尺寸 4 件／共 4 件</t>
        </is>
      </c>
    </row>
    <row r="278">
      <c r="A278" s="2" t="inlineStr">
        <is>
          <t>IKEA-030</t>
        </is>
      </c>
      <c r="B278" s="2" t="inlineStr">
        <is>
          <t>IKEA</t>
        </is>
      </c>
      <c r="C278" s="2" t="inlineStr">
        <is>
          <t>HÖVAGN</t>
        </is>
      </c>
      <c r="D278" s="2" t="inlineStr">
        <is>
          <t>HÖVAGN 附蓋收納盒 6x9x5.5 公分</t>
        </is>
      </c>
      <c r="E278" s="2" t="inlineStr">
        <is>
          <t>705.343.96</t>
        </is>
      </c>
      <c r="F278" s="2" t="n">
        <v>6</v>
      </c>
      <c r="G278" s="2" t="n">
        <v>9</v>
      </c>
      <c r="H278" s="2" t="n">
        <v>5.5</v>
      </c>
      <c r="I278" s="2" t="n"/>
      <c r="J278" s="2" t="n"/>
      <c r="K278" s="2" t="n"/>
      <c r="L278" s="2" t="inlineStr">
        <is>
          <t>盒:聚丙烯塑膠；彈片:聚丙烯塑膠, 聚丙烯塑膠</t>
        </is>
      </c>
      <c r="M278" s="2" t="inlineStr"/>
      <c r="N278" s="2" t="inlineStr">
        <is>
          <t>Y</t>
        </is>
      </c>
      <c r="O278" s="2" t="inlineStr">
        <is>
          <t>Y</t>
        </is>
      </c>
      <c r="P278" s="2" t="n"/>
      <c r="Q278" s="2" t="inlineStr">
        <is>
          <t>2026-10-26</t>
        </is>
      </c>
      <c r="R278" s="3" t="inlineStr">
        <is>
          <t>https://www.ikea.com.tw/zh/products/boxes-and-organisers/organisers/hovagn-art-70534396</t>
        </is>
      </c>
      <c r="S278" s="2" t="inlineStr">
        <is>
          <t>官網</t>
        </is>
      </c>
      <c r="T278" s="2" t="inlineStr">
        <is>
          <t>high</t>
        </is>
      </c>
      <c r="U278" s="2" t="inlineStr">
        <is>
          <t>SET:705.343.96|59|3|3;同尺寸3件裝，整包價59；官網標示為長度×寬度×高度，outer_d 填「長度」值；包裝內含 3件裝</t>
        </is>
      </c>
      <c r="V278" s="2" t="inlineStr">
        <is>
          <t>整組 NT$59，此尺寸 3 件／共 3 件</t>
        </is>
      </c>
    </row>
    <row r="279">
      <c r="A279" s="2" t="inlineStr">
        <is>
          <t>IKEA-031</t>
        </is>
      </c>
      <c r="B279" s="2" t="inlineStr">
        <is>
          <t>IKEA</t>
        </is>
      </c>
      <c r="C279" s="2" t="inlineStr">
        <is>
          <t>HÖVAGN</t>
        </is>
      </c>
      <c r="D279" s="2" t="inlineStr">
        <is>
          <t>HÖVAGN 附蓋收納盒 8x12x5 公分</t>
        </is>
      </c>
      <c r="E279" s="2" t="inlineStr">
        <is>
          <t>505.343.97</t>
        </is>
      </c>
      <c r="F279" s="2" t="n">
        <v>8</v>
      </c>
      <c r="G279" s="2" t="n">
        <v>12</v>
      </c>
      <c r="H279" s="2" t="n">
        <v>5</v>
      </c>
      <c r="I279" s="2" t="n"/>
      <c r="J279" s="2" t="n"/>
      <c r="K279" s="2" t="n"/>
      <c r="L279" s="2" t="inlineStr">
        <is>
          <t>盒:聚丙烯塑膠；彈片:聚丙烯塑膠, 聚丙烯塑膠</t>
        </is>
      </c>
      <c r="M279" s="2" t="inlineStr"/>
      <c r="N279" s="2" t="inlineStr">
        <is>
          <t>Y</t>
        </is>
      </c>
      <c r="O279" s="2" t="inlineStr">
        <is>
          <t>Y</t>
        </is>
      </c>
      <c r="P279" s="2" t="n"/>
      <c r="Q279" s="2" t="inlineStr">
        <is>
          <t>2026-10-26</t>
        </is>
      </c>
      <c r="R279" s="3" t="inlineStr">
        <is>
          <t>https://www.ikea.com.tw/zh/products/boxes-and-organisers/organisers/hovagn-art-50534397</t>
        </is>
      </c>
      <c r="S279" s="2" t="inlineStr">
        <is>
          <t>官網</t>
        </is>
      </c>
      <c r="T279" s="2" t="inlineStr">
        <is>
          <t>high</t>
        </is>
      </c>
      <c r="U279" s="2" t="inlineStr">
        <is>
          <t>SET:505.343.97|59|3|3;同尺寸3件裝，整包價59；官網標示為長度×寬度×高度，outer_d 填「長度」值；包裝內含 3件裝</t>
        </is>
      </c>
      <c r="V279" s="2" t="inlineStr">
        <is>
          <t>整組 NT$59，此尺寸 3 件／共 3 件</t>
        </is>
      </c>
    </row>
    <row r="280">
      <c r="A280" s="2" t="inlineStr">
        <is>
          <t>IKEA-032</t>
        </is>
      </c>
      <c r="B280" s="2" t="inlineStr">
        <is>
          <t>IKEA</t>
        </is>
      </c>
      <c r="C280" s="2" t="inlineStr">
        <is>
          <t>HÖVAGN</t>
        </is>
      </c>
      <c r="D280" s="2" t="inlineStr">
        <is>
          <t>HÖVAGN 附蓋收納盒 8x12x7 公分</t>
        </is>
      </c>
      <c r="E280" s="2" t="inlineStr">
        <is>
          <t>305.343.98</t>
        </is>
      </c>
      <c r="F280" s="2" t="n">
        <v>8</v>
      </c>
      <c r="G280" s="2" t="n">
        <v>12</v>
      </c>
      <c r="H280" s="2" t="n">
        <v>7</v>
      </c>
      <c r="I280" s="2" t="n"/>
      <c r="J280" s="2" t="n"/>
      <c r="K280" s="2" t="n"/>
      <c r="L280" s="2" t="inlineStr">
        <is>
          <t>盒:聚丙烯塑膠；彈片:聚丙烯塑膠, 聚丙烯塑膠</t>
        </is>
      </c>
      <c r="M280" s="2" t="inlineStr"/>
      <c r="N280" s="2" t="inlineStr">
        <is>
          <t>Y</t>
        </is>
      </c>
      <c r="O280" s="2" t="inlineStr">
        <is>
          <t>Y</t>
        </is>
      </c>
      <c r="P280" s="2" t="n"/>
      <c r="Q280" s="2" t="inlineStr">
        <is>
          <t>2026-10-26</t>
        </is>
      </c>
      <c r="R280" s="3" t="inlineStr">
        <is>
          <t>https://www.ikea.com.tw/zh/products/boxes-and-organisers/organisers/hovagn-art-30534398</t>
        </is>
      </c>
      <c r="S280" s="2" t="inlineStr">
        <is>
          <t>官網</t>
        </is>
      </c>
      <c r="T280" s="2" t="inlineStr">
        <is>
          <t>high</t>
        </is>
      </c>
      <c r="U280" s="2" t="inlineStr">
        <is>
          <t>SET:305.343.98|59|2|2;同尺寸2件裝，整包價59；官網標示為長度×寬度×高度，outer_d 填「長度」值；包裝內含 2件裝</t>
        </is>
      </c>
      <c r="V280" s="2" t="inlineStr">
        <is>
          <t>整組 NT$59，此尺寸 2 件／共 2 件</t>
        </is>
      </c>
    </row>
    <row r="281">
      <c r="A281" s="2" t="inlineStr">
        <is>
          <t>IKEA-033</t>
        </is>
      </c>
      <c r="B281" s="2" t="inlineStr">
        <is>
          <t>IKEA</t>
        </is>
      </c>
      <c r="C281" s="2" t="inlineStr">
        <is>
          <t>JÄGMÄSTARE</t>
        </is>
      </c>
      <c r="D281" s="2" t="inlineStr">
        <is>
          <t>JÄGMÄSTARE 置物籃 25x35x20 公分</t>
        </is>
      </c>
      <c r="E281" s="2" t="inlineStr">
        <is>
          <t>405.558.75</t>
        </is>
      </c>
      <c r="F281" s="2" t="n">
        <v>25</v>
      </c>
      <c r="G281" s="2" t="n">
        <v>35</v>
      </c>
      <c r="H281" s="2" t="n">
        <v>20</v>
      </c>
      <c r="I281" s="2" t="n"/>
      <c r="J281" s="2" t="n"/>
      <c r="K281" s="2" t="n"/>
      <c r="L281" s="2" t="inlineStr">
        <is>
          <t>盒/箱:100%聚酯纖維 (至少80%再生材料)；鈕扣:鋅</t>
        </is>
      </c>
      <c r="M281" s="2" t="inlineStr"/>
      <c r="N281" s="2" t="inlineStr"/>
      <c r="O281" s="2" t="inlineStr">
        <is>
          <t>N</t>
        </is>
      </c>
      <c r="P281" s="2" t="n">
        <v>299</v>
      </c>
      <c r="Q281" s="2" t="inlineStr">
        <is>
          <t>2026-10-26</t>
        </is>
      </c>
      <c r="R281" s="3" t="inlineStr">
        <is>
          <t>https://www.ikea.com.tw/zh/products/boxes-and-organisers/boxes-and-baskets/jagmastare-art-40555875</t>
        </is>
      </c>
      <c r="S281" s="2" t="inlineStr">
        <is>
          <t>官網</t>
        </is>
      </c>
      <c r="T281" s="2" t="inlineStr">
        <is>
          <t>high</t>
        </is>
      </c>
      <c r="U281" s="2" t="inlineStr">
        <is>
          <t>適合放在衣櫃內放衣物和配飾，又或是放在書櫃內收納電線和電子配件</t>
        </is>
      </c>
      <c r="V281" s="2" t="inlineStr"/>
    </row>
    <row r="282">
      <c r="A282" s="2" t="inlineStr">
        <is>
          <t>IKEA-034</t>
        </is>
      </c>
      <c r="B282" s="2" t="inlineStr">
        <is>
          <t>IKEA</t>
        </is>
      </c>
      <c r="C282" s="2" t="inlineStr">
        <is>
          <t>KACKLA</t>
        </is>
      </c>
      <c r="D282" s="2" t="inlineStr">
        <is>
          <t>KACKLA 延伸儲物盒 13-18x9 公分</t>
        </is>
      </c>
      <c r="E282" s="2" t="inlineStr">
        <is>
          <t>005.343.85</t>
        </is>
      </c>
      <c r="F282" s="2" t="n">
        <v>12.5</v>
      </c>
      <c r="G282" s="2" t="n">
        <v>9</v>
      </c>
      <c r="H282" s="2" t="n">
        <v>6.7</v>
      </c>
      <c r="I282" s="2" t="n"/>
      <c r="J282" s="2" t="n"/>
      <c r="K282" s="2" t="n"/>
      <c r="L282" s="2" t="inlineStr">
        <is>
          <t>聚丙烯塑膠</t>
        </is>
      </c>
      <c r="M282" s="2" t="inlineStr">
        <is>
          <t>白色</t>
        </is>
      </c>
      <c r="N282" s="2" t="inlineStr"/>
      <c r="O282" s="2" t="inlineStr">
        <is>
          <t>N</t>
        </is>
      </c>
      <c r="P282" s="2" t="n">
        <v>59</v>
      </c>
      <c r="Q282" s="2" t="inlineStr">
        <is>
          <t>2026-10-26</t>
        </is>
      </c>
      <c r="R282" s="3" t="inlineStr">
        <is>
          <t>https://www.ikea.com.tw/zh/products/boxes-and-organisers/organisers/kackla-art-00534385</t>
        </is>
      </c>
      <c r="S282" s="2" t="inlineStr">
        <is>
          <t>官網</t>
        </is>
      </c>
      <c r="T282" s="2" t="inlineStr">
        <is>
          <t>high</t>
        </is>
      </c>
      <c r="U282" s="2" t="inlineStr">
        <is>
          <t>可伸縮，寬度 12.5–17.5 公分（outer_w 填最小寬度）</t>
        </is>
      </c>
      <c r="V282" s="2" t="inlineStr"/>
    </row>
    <row r="283">
      <c r="A283" s="2" t="inlineStr">
        <is>
          <t>IKEA-035</t>
        </is>
      </c>
      <c r="B283" s="2" t="inlineStr">
        <is>
          <t>IKEA</t>
        </is>
      </c>
      <c r="C283" s="2" t="inlineStr">
        <is>
          <t>KACKLA</t>
        </is>
      </c>
      <c r="D283" s="2" t="inlineStr">
        <is>
          <t>KACKLA 延伸儲物盒 18-28x13 公分</t>
        </is>
      </c>
      <c r="E283" s="2" t="inlineStr">
        <is>
          <t>805.343.86</t>
        </is>
      </c>
      <c r="F283" s="2" t="n">
        <v>18</v>
      </c>
      <c r="G283" s="2" t="n">
        <v>12.5</v>
      </c>
      <c r="H283" s="2" t="n">
        <v>6.7</v>
      </c>
      <c r="I283" s="2" t="n"/>
      <c r="J283" s="2" t="n"/>
      <c r="K283" s="2" t="n"/>
      <c r="L283" s="2" t="inlineStr">
        <is>
          <t>聚丙烯塑膠</t>
        </is>
      </c>
      <c r="M283" s="2" t="inlineStr">
        <is>
          <t>白色</t>
        </is>
      </c>
      <c r="N283" s="2" t="inlineStr"/>
      <c r="O283" s="2" t="inlineStr">
        <is>
          <t>N</t>
        </is>
      </c>
      <c r="P283" s="2" t="n">
        <v>79</v>
      </c>
      <c r="Q283" s="2" t="inlineStr">
        <is>
          <t>2026-10-26</t>
        </is>
      </c>
      <c r="R283" s="3" t="inlineStr">
        <is>
          <t>https://www.ikea.com.tw/zh/products/boxes-and-organisers/organisers/kackla-art-80534386</t>
        </is>
      </c>
      <c r="S283" s="2" t="inlineStr">
        <is>
          <t>官網</t>
        </is>
      </c>
      <c r="T283" s="2" t="inlineStr">
        <is>
          <t>high</t>
        </is>
      </c>
      <c r="U283" s="2" t="inlineStr">
        <is>
          <t>可伸縮，寬度 18–28 公分（outer_w 填最小寬度）</t>
        </is>
      </c>
      <c r="V283" s="2" t="inlineStr"/>
    </row>
    <row r="284">
      <c r="A284" s="2" t="inlineStr">
        <is>
          <t>IKEA-036</t>
        </is>
      </c>
      <c r="B284" s="2" t="inlineStr">
        <is>
          <t>IKEA</t>
        </is>
      </c>
      <c r="C284" s="2" t="inlineStr">
        <is>
          <t>KACKLA</t>
        </is>
      </c>
      <c r="D284" s="2" t="inlineStr">
        <is>
          <t>KACKLA 延伸儲物盒 25-38x19 公分</t>
        </is>
      </c>
      <c r="E284" s="2" t="inlineStr">
        <is>
          <t>305.343.84</t>
        </is>
      </c>
      <c r="F284" s="2" t="n">
        <v>25</v>
      </c>
      <c r="G284" s="2" t="n">
        <v>18.5</v>
      </c>
      <c r="H284" s="2" t="n">
        <v>6.7</v>
      </c>
      <c r="I284" s="2" t="n"/>
      <c r="J284" s="2" t="n"/>
      <c r="K284" s="2" t="n"/>
      <c r="L284" s="2" t="inlineStr">
        <is>
          <t>聚丙烯塑膠</t>
        </is>
      </c>
      <c r="M284" s="2" t="inlineStr">
        <is>
          <t>白色</t>
        </is>
      </c>
      <c r="N284" s="2" t="inlineStr"/>
      <c r="O284" s="2" t="inlineStr">
        <is>
          <t>N</t>
        </is>
      </c>
      <c r="P284" s="2" t="n">
        <v>99</v>
      </c>
      <c r="Q284" s="2" t="inlineStr">
        <is>
          <t>2026-10-26</t>
        </is>
      </c>
      <c r="R284" s="3" t="inlineStr">
        <is>
          <t>https://www.ikea.com.tw/zh/products/boxes-and-organisers/organisers/kackla-art-30534384</t>
        </is>
      </c>
      <c r="S284" s="2" t="inlineStr">
        <is>
          <t>官網</t>
        </is>
      </c>
      <c r="T284" s="2" t="inlineStr">
        <is>
          <t>high</t>
        </is>
      </c>
      <c r="U284" s="2" t="inlineStr">
        <is>
          <t>可伸縮，寬度 25–38 公分（outer_w 填最小寬度）</t>
        </is>
      </c>
      <c r="V284" s="2" t="inlineStr"/>
    </row>
    <row r="285">
      <c r="A285" s="2" t="inlineStr">
        <is>
          <t>IKEA-037</t>
        </is>
      </c>
      <c r="B285" s="2" t="inlineStr">
        <is>
          <t>IKEA</t>
        </is>
      </c>
      <c r="C285" s="2" t="inlineStr">
        <is>
          <t>KACKLA</t>
        </is>
      </c>
      <c r="D285" s="2" t="inlineStr">
        <is>
          <t>KACKLA 延伸儲物盒 25-38x9 公分</t>
        </is>
      </c>
      <c r="E285" s="2" t="inlineStr">
        <is>
          <t>505.343.83</t>
        </is>
      </c>
      <c r="F285" s="2" t="n">
        <v>25</v>
      </c>
      <c r="G285" s="2" t="n">
        <v>9</v>
      </c>
      <c r="H285" s="2" t="n">
        <v>6.7</v>
      </c>
      <c r="I285" s="2" t="n"/>
      <c r="J285" s="2" t="n"/>
      <c r="K285" s="2" t="n"/>
      <c r="L285" s="2" t="inlineStr">
        <is>
          <t>聚丙烯塑膠</t>
        </is>
      </c>
      <c r="M285" s="2" t="inlineStr">
        <is>
          <t>白色</t>
        </is>
      </c>
      <c r="N285" s="2" t="inlineStr"/>
      <c r="O285" s="2" t="inlineStr">
        <is>
          <t>N</t>
        </is>
      </c>
      <c r="P285" s="2" t="n">
        <v>89</v>
      </c>
      <c r="Q285" s="2" t="inlineStr">
        <is>
          <t>2026-10-26</t>
        </is>
      </c>
      <c r="R285" s="3" t="inlineStr">
        <is>
          <t>https://www.ikea.com.tw/zh/products/boxes-and-organisers/organisers/kackla-art-50534383</t>
        </is>
      </c>
      <c r="S285" s="2" t="inlineStr">
        <is>
          <t>官網</t>
        </is>
      </c>
      <c r="T285" s="2" t="inlineStr">
        <is>
          <t>high</t>
        </is>
      </c>
      <c r="U285" s="2" t="inlineStr">
        <is>
          <t>可伸縮，寬度 25–38 公分（outer_w 填最小寬度）</t>
        </is>
      </c>
      <c r="V285" s="2" t="inlineStr"/>
    </row>
    <row r="286">
      <c r="A286" s="2" t="inlineStr">
        <is>
          <t>IKEA-038</t>
        </is>
      </c>
      <c r="B286" s="2" t="inlineStr">
        <is>
          <t>IKEA</t>
        </is>
      </c>
      <c r="C286" s="2" t="inlineStr">
        <is>
          <t>KNAGGLIG</t>
        </is>
      </c>
      <c r="D286" s="2" t="inlineStr">
        <is>
          <t>KNAGGLIG 收納盒 23x31x15 公分</t>
        </is>
      </c>
      <c r="E286" s="2" t="inlineStr">
        <is>
          <t>502.923.60</t>
        </is>
      </c>
      <c r="F286" s="2" t="n">
        <v>23</v>
      </c>
      <c r="G286" s="2" t="n">
        <v>31</v>
      </c>
      <c r="H286" s="2" t="n">
        <v>15</v>
      </c>
      <c r="I286" s="2" t="n"/>
      <c r="J286" s="2" t="n"/>
      <c r="K286" s="2" t="n"/>
      <c r="L286" s="2" t="inlineStr">
        <is>
          <t>基本材質:實心松木；其它配件:鋼質, 鍍鋅</t>
        </is>
      </c>
      <c r="M286" s="2" t="inlineStr">
        <is>
          <t>松木</t>
        </is>
      </c>
      <c r="N286" s="2" t="inlineStr">
        <is>
          <t>Y</t>
        </is>
      </c>
      <c r="O286" s="2" t="inlineStr">
        <is>
          <t>N</t>
        </is>
      </c>
      <c r="P286" s="2" t="n">
        <v>299</v>
      </c>
      <c r="Q286" s="2" t="inlineStr">
        <is>
          <t>2026-10-26</t>
        </is>
      </c>
      <c r="R286" s="3" t="inlineStr">
        <is>
          <t>https://www.ikea.com.tw/zh/products/boxes-and-organisers/boxes-and-baskets/knagglig-art-50292360</t>
        </is>
      </c>
      <c r="S286" s="2" t="inlineStr">
        <is>
          <t>官網</t>
        </is>
      </c>
      <c r="T286" s="2" t="inlineStr">
        <is>
          <t>high</t>
        </is>
      </c>
      <c r="U286" s="2" t="inlineStr">
        <is>
          <t>可上下堆疊2個盒子，節省空間；適用於深30公分IVAR層架組</t>
        </is>
      </c>
      <c r="V286" s="2" t="inlineStr"/>
    </row>
    <row r="287">
      <c r="A287" s="2" t="inlineStr">
        <is>
          <t>IKEA-039</t>
        </is>
      </c>
      <c r="B287" s="2" t="inlineStr">
        <is>
          <t>IKEA</t>
        </is>
      </c>
      <c r="C287" s="2" t="inlineStr">
        <is>
          <t>KNIPSA</t>
        </is>
      </c>
      <c r="D287" s="2" t="inlineStr">
        <is>
          <t>KNIPSA 置物籃 32x33x32 公分</t>
        </is>
      </c>
      <c r="E287" s="2" t="inlineStr">
        <is>
          <t>901.732.99</t>
        </is>
      </c>
      <c r="F287" s="2" t="n">
        <v>32</v>
      </c>
      <c r="G287" s="2" t="n">
        <v>33</v>
      </c>
      <c r="H287" s="2" t="n">
        <v>32</v>
      </c>
      <c r="I287" s="2" t="n"/>
      <c r="J287" s="2" t="n"/>
      <c r="K287" s="2" t="n"/>
      <c r="L287" s="2" t="inlineStr">
        <is>
          <t>海草, 壓克力亮光漆, 鋼質, 環氧/聚酯粉末塗料</t>
        </is>
      </c>
      <c r="M287" s="2" t="inlineStr">
        <is>
          <t>海草</t>
        </is>
      </c>
      <c r="N287" s="2" t="inlineStr"/>
      <c r="O287" s="2" t="inlineStr">
        <is>
          <t>N</t>
        </is>
      </c>
      <c r="P287" s="2" t="n">
        <v>799</v>
      </c>
      <c r="Q287" s="2" t="inlineStr">
        <is>
          <t>2026-10-26</t>
        </is>
      </c>
      <c r="R287" s="3" t="inlineStr">
        <is>
          <t>https://www.ikea.com.tw/zh/products/boxes-and-organisers/boxes-and-baskets/knipsa-art-90173299</t>
        </is>
      </c>
      <c r="S287" s="2" t="inlineStr">
        <is>
          <t>官網</t>
        </is>
      </c>
      <c r="T287" s="2" t="inlineStr">
        <is>
          <t>high</t>
        </is>
      </c>
      <c r="U287" s="2" t="inlineStr">
        <is>
          <t>適合搭配KALLAX層架組</t>
        </is>
      </c>
      <c r="V287" s="2" t="inlineStr"/>
    </row>
    <row r="288">
      <c r="A288" s="2" t="inlineStr">
        <is>
          <t>IKEA-040</t>
        </is>
      </c>
      <c r="B288" s="2" t="inlineStr">
        <is>
          <t>IKEA</t>
        </is>
      </c>
      <c r="C288" s="2" t="inlineStr">
        <is>
          <t>KOMPLEMENT</t>
        </is>
      </c>
      <c r="D288" s="2" t="inlineStr">
        <is>
          <t>KOMPLEMENT 收納盒 15x27x12 公分</t>
        </is>
      </c>
      <c r="E288" s="2" t="inlineStr">
        <is>
          <t>204.057.78</t>
        </is>
      </c>
      <c r="F288" s="2" t="n">
        <v>15</v>
      </c>
      <c r="G288" s="2" t="n">
        <v>27</v>
      </c>
      <c r="H288" s="2" t="n">
        <v>12</v>
      </c>
      <c r="I288" s="2" t="n"/>
      <c r="J288" s="2" t="n"/>
      <c r="K288" s="2" t="n"/>
      <c r="L288" s="2" t="inlineStr">
        <is>
          <t>100%聚酯纖維</t>
        </is>
      </c>
      <c r="M288" s="2" t="inlineStr">
        <is>
          <t>淺灰色</t>
        </is>
      </c>
      <c r="N288" s="2" t="inlineStr"/>
      <c r="O288" s="2" t="inlineStr">
        <is>
          <t>N</t>
        </is>
      </c>
      <c r="P288" s="2" t="n"/>
      <c r="Q288" s="2" t="inlineStr">
        <is>
          <t>2026-10-26</t>
        </is>
      </c>
      <c r="R288" s="3" t="inlineStr">
        <is>
          <t>https://www.ikea.com.tw/zh/products/boxes-and-organisers/organisers/komplement-art-20405778</t>
        </is>
      </c>
      <c r="S288" s="2" t="inlineStr">
        <is>
          <t>官網</t>
        </is>
      </c>
      <c r="T288" s="2" t="inlineStr">
        <is>
          <t>high</t>
        </is>
      </c>
      <c r="U288" s="2" t="inlineStr">
        <is>
          <t>SET:204.057.78|299|2|2;同尺寸2件裝，整包價299；包裝內含 2件裝；放在衣櫃內，整齊收納衣物配飾；這個收納盒除了可以放在PAX衣櫥系列中，放到其他你喜歡的位置也十分合適；適用於PAX櫃框內的KOMPLEMENT抽屜和外拉式收納盤；50x58公分KOMPLEMENT抽屜可搭配：1個KOMPLEMENT收納盒(15x27x12公分)、1個KOMPLEMENT收納盒(25x27x12公分)</t>
        </is>
      </c>
      <c r="V288" s="2" t="inlineStr">
        <is>
          <t>整組 NT$299，此尺寸 2 件／共 2 件</t>
        </is>
      </c>
    </row>
    <row r="289">
      <c r="A289" s="2" t="inlineStr">
        <is>
          <t>IKEA-041</t>
        </is>
      </c>
      <c r="B289" s="2" t="inlineStr">
        <is>
          <t>IKEA</t>
        </is>
      </c>
      <c r="C289" s="2" t="inlineStr">
        <is>
          <t>KOMPLEMENT</t>
        </is>
      </c>
      <c r="D289" s="2" t="inlineStr">
        <is>
          <t>KOMPLEMENT 收納盒 25x27x12 公分</t>
        </is>
      </c>
      <c r="E289" s="2" t="inlineStr">
        <is>
          <t>004.057.79</t>
        </is>
      </c>
      <c r="F289" s="2" t="n">
        <v>25</v>
      </c>
      <c r="G289" s="2" t="n">
        <v>26.5</v>
      </c>
      <c r="H289" s="2" t="n">
        <v>12</v>
      </c>
      <c r="I289" s="2" t="n"/>
      <c r="J289" s="2" t="n"/>
      <c r="K289" s="2" t="n"/>
      <c r="L289" s="2" t="inlineStr">
        <is>
          <t>100%聚酯纖維</t>
        </is>
      </c>
      <c r="M289" s="2" t="inlineStr">
        <is>
          <t>淺灰色</t>
        </is>
      </c>
      <c r="N289" s="2" t="inlineStr"/>
      <c r="O289" s="2" t="inlineStr">
        <is>
          <t>N</t>
        </is>
      </c>
      <c r="P289" s="2" t="n"/>
      <c r="Q289" s="2" t="inlineStr">
        <is>
          <t>2026-10-26</t>
        </is>
      </c>
      <c r="R289" s="3" t="inlineStr">
        <is>
          <t>https://www.ikea.com.tw/zh/products/boxes-and-organisers/organisers/komplement-art-00405779</t>
        </is>
      </c>
      <c r="S289" s="2" t="inlineStr">
        <is>
          <t>官網</t>
        </is>
      </c>
      <c r="T289" s="2" t="inlineStr">
        <is>
          <t>high</t>
        </is>
      </c>
      <c r="U289" s="2" t="inlineStr">
        <is>
          <t>SET:004.057.79|399|2|2;同尺寸2件裝，整包價399；包裝內含 2件裝；放在衣櫃內，整齊收納衣物配飾；這個收納盒除了可以放在PAX衣櫥系列中，放到其他你喜歡的位置也十分合適；適用於PAX櫃框內的KOMPLEMENT抽屜和外拉式收納盤；50x58公分KOMPLEMENT抽屜可搭配：1個KOMPLEMENT收納盒(15x27x12公分)、1個KOMPLEMENT收納盒(25x27x12公分)</t>
        </is>
      </c>
      <c r="V289" s="2" t="inlineStr">
        <is>
          <t>整組 NT$399，此尺寸 2 件／共 2 件</t>
        </is>
      </c>
    </row>
    <row r="290">
      <c r="A290" s="2" t="inlineStr">
        <is>
          <t>IKEA-042</t>
        </is>
      </c>
      <c r="B290" s="2" t="inlineStr">
        <is>
          <t>IKEA</t>
        </is>
      </c>
      <c r="C290" s="2" t="inlineStr">
        <is>
          <t>KOSINGEN</t>
        </is>
      </c>
      <c r="D290" s="2" t="inlineStr">
        <is>
          <t>KOSINGEN 收納盒 33x38x33 公分</t>
        </is>
      </c>
      <c r="E290" s="2" t="inlineStr">
        <is>
          <t>906.010.83</t>
        </is>
      </c>
      <c r="F290" s="2" t="n">
        <v>33</v>
      </c>
      <c r="G290" s="2" t="n">
        <v>38</v>
      </c>
      <c r="H290" s="2" t="n">
        <v>33</v>
      </c>
      <c r="I290" s="2" t="n"/>
      <c r="J290" s="2" t="n"/>
      <c r="K290" s="2" t="n"/>
      <c r="L290" s="2" t="inlineStr">
        <is>
          <t>基本材質:100% 聚丙烯 (至少60%再生材料)；夾層材質:紙板 (至少30%再生材料)</t>
        </is>
      </c>
      <c r="M290" s="2" t="inlineStr">
        <is>
          <t>淺灰色</t>
        </is>
      </c>
      <c r="N290" s="2" t="inlineStr"/>
      <c r="O290" s="2" t="inlineStr">
        <is>
          <t>N</t>
        </is>
      </c>
      <c r="P290" s="2" t="n">
        <v>149</v>
      </c>
      <c r="Q290" s="2" t="inlineStr">
        <is>
          <t>2026-10-26</t>
        </is>
      </c>
      <c r="R290" s="3" t="inlineStr">
        <is>
          <t>https://www.ikea.com.tw/zh/products/boxes-and-organisers/boxes-and-baskets/kosingen-art-90601083</t>
        </is>
      </c>
      <c r="S290" s="2" t="inlineStr">
        <is>
          <t>官網</t>
        </is>
      </c>
      <c r="T290" s="2" t="inlineStr">
        <is>
          <t>high</t>
        </is>
      </c>
      <c r="U290" s="2" t="inlineStr">
        <is>
          <t>官網標示為長度×寬度×高度，outer_d 填「長度」值；可放在KALLAX層架組合及其他最少深38公分的層架組合內；尺寸依KALLAX層架組設計</t>
        </is>
      </c>
      <c r="V290" s="2" t="inlineStr"/>
    </row>
    <row r="291">
      <c r="A291" s="2" t="inlineStr">
        <is>
          <t>IKEA-043</t>
        </is>
      </c>
      <c r="B291" s="2" t="inlineStr">
        <is>
          <t>IKEA</t>
        </is>
      </c>
      <c r="C291" s="2" t="inlineStr">
        <is>
          <t>KUGGIS</t>
        </is>
      </c>
      <c r="D291" s="2" t="inlineStr">
        <is>
          <t>KUGGIS 5隔層儲物格 17x26x4 公分</t>
        </is>
      </c>
      <c r="E291" s="2" t="inlineStr">
        <is>
          <t>206.033.11</t>
        </is>
      </c>
      <c r="F291" s="2" t="n">
        <v>17</v>
      </c>
      <c r="G291" s="2" t="n">
        <v>26</v>
      </c>
      <c r="H291" s="2" t="n">
        <v>4</v>
      </c>
      <c r="I291" s="2" t="n"/>
      <c r="J291" s="2" t="n"/>
      <c r="K291" s="2" t="n"/>
      <c r="L291" s="2" t="inlineStr">
        <is>
          <t>PET塑膠 (至少50%再生材料)</t>
        </is>
      </c>
      <c r="M291" s="2" t="inlineStr">
        <is>
          <t>白色</t>
        </is>
      </c>
      <c r="N291" s="2" t="inlineStr"/>
      <c r="O291" s="2" t="inlineStr">
        <is>
          <t>N</t>
        </is>
      </c>
      <c r="P291" s="2" t="n">
        <v>69</v>
      </c>
      <c r="Q291" s="2" t="inlineStr">
        <is>
          <t>2026-10-26</t>
        </is>
      </c>
      <c r="R291" s="3" t="inlineStr">
        <is>
          <t>https://www.ikea.com.tw/zh/products/boxes-and-organisers/organisers/kuggis-art-20603311</t>
        </is>
      </c>
      <c r="S291" s="2" t="inlineStr">
        <is>
          <t>官網</t>
        </is>
      </c>
      <c r="T291" s="2" t="inlineStr">
        <is>
          <t>high</t>
        </is>
      </c>
      <c r="U291" s="2" t="inlineStr">
        <is>
          <t>官網標示為長度×寬度×高度，outer_d 填「長度」值</t>
        </is>
      </c>
      <c r="V291" s="2" t="inlineStr"/>
    </row>
    <row r="292">
      <c r="A292" s="2" t="inlineStr">
        <is>
          <t>IKEA-044</t>
        </is>
      </c>
      <c r="B292" s="2" t="inlineStr">
        <is>
          <t>IKEA</t>
        </is>
      </c>
      <c r="C292" s="2" t="inlineStr">
        <is>
          <t>KUGGIS</t>
        </is>
      </c>
      <c r="D292" s="2" t="inlineStr">
        <is>
          <t>KUGGIS 收納盒 13x18x8 公分</t>
        </is>
      </c>
      <c r="E292" s="2" t="inlineStr">
        <is>
          <t>205.991.49</t>
        </is>
      </c>
      <c r="F292" s="2" t="n">
        <v>13</v>
      </c>
      <c r="G292" s="2" t="n">
        <v>18</v>
      </c>
      <c r="H292" s="2" t="n">
        <v>8</v>
      </c>
      <c r="I292" s="2" t="n"/>
      <c r="J292" s="2" t="n"/>
      <c r="K292" s="2" t="n"/>
      <c r="L292" s="2" t="inlineStr">
        <is>
          <t>PET塑膠 (至少50%再生材料)</t>
        </is>
      </c>
      <c r="M292" s="2" t="inlineStr">
        <is>
          <t>淺灰色/白色</t>
        </is>
      </c>
      <c r="N292" s="2" t="inlineStr"/>
      <c r="O292" s="2" t="inlineStr">
        <is>
          <t>N</t>
        </is>
      </c>
      <c r="P292" s="2" t="n">
        <v>69</v>
      </c>
      <c r="Q292" s="2" t="inlineStr">
        <is>
          <t>2026-10-26</t>
        </is>
      </c>
      <c r="R292" s="3" t="inlineStr">
        <is>
          <t>https://www.ikea.com.tw/zh/products/boxes-and-organisers/boxes-and-baskets/kuggis-art-20599149</t>
        </is>
      </c>
      <c r="S292" s="2" t="inlineStr">
        <is>
          <t>官網</t>
        </is>
      </c>
      <c r="T292" s="2" t="inlineStr">
        <is>
          <t>high</t>
        </is>
      </c>
      <c r="U292" s="2" t="inlineStr">
        <is>
          <t>各色商品編號：淺灰色=205.991.49、白色=205.685.48；同尺寸 KUGGIS 蓋子另售（白色/淺灰色/黑藍色/竹）；可放入最少深15公分的ENHET系列的櫃或架，或其他最少深13公分的收納架上；可以放置容易遺失的細小物件，放在層架或浴室收納櫃內使用最為合適；可搭配KUGGIS蓋子使用，有效防塵防污，方便堆疊擺放；耐用塑膠製造，部分採用再生材質；KUGGIS系列產品中所有尺寸均可相互搭配使用</t>
        </is>
      </c>
      <c r="V292" s="2" t="inlineStr"/>
    </row>
    <row r="293">
      <c r="A293" s="2" t="inlineStr">
        <is>
          <t>IKEA-045</t>
        </is>
      </c>
      <c r="B293" s="2" t="inlineStr">
        <is>
          <t>IKEA</t>
        </is>
      </c>
      <c r="C293" s="2" t="inlineStr">
        <is>
          <t>KUGGIS</t>
        </is>
      </c>
      <c r="D293" s="2" t="inlineStr">
        <is>
          <t>KUGGIS 收納盒 18x26x8 公分</t>
        </is>
      </c>
      <c r="E293" s="2" t="inlineStr">
        <is>
          <t>005.991.50</t>
        </is>
      </c>
      <c r="F293" s="2" t="n">
        <v>18</v>
      </c>
      <c r="G293" s="2" t="n">
        <v>26</v>
      </c>
      <c r="H293" s="2" t="n">
        <v>8</v>
      </c>
      <c r="I293" s="2" t="n"/>
      <c r="J293" s="2" t="n"/>
      <c r="K293" s="2" t="n"/>
      <c r="L293" s="2" t="inlineStr">
        <is>
          <t>PET塑膠 (至少50%再生材料)</t>
        </is>
      </c>
      <c r="M293" s="2" t="inlineStr">
        <is>
          <t>淺灰色/白色/黑藍色</t>
        </is>
      </c>
      <c r="N293" s="2" t="inlineStr"/>
      <c r="O293" s="2" t="inlineStr">
        <is>
          <t>N</t>
        </is>
      </c>
      <c r="P293" s="2" t="n">
        <v>89</v>
      </c>
      <c r="Q293" s="2" t="inlineStr">
        <is>
          <t>2026-10-26</t>
        </is>
      </c>
      <c r="R293" s="3" t="inlineStr">
        <is>
          <t>https://www.ikea.com.tw/zh/products/boxes-and-organisers/boxes-and-baskets/kuggis-art-00599150</t>
        </is>
      </c>
      <c r="S293" s="2" t="inlineStr">
        <is>
          <t>官網</t>
        </is>
      </c>
      <c r="T293" s="2" t="inlineStr">
        <is>
          <t>high</t>
        </is>
      </c>
      <c r="U293" s="2" t="inlineStr">
        <is>
          <t>各色商品編號：淺灰色=005.991.50、白色=105.685.63、黑藍色=406.101.98；同尺寸 KUGGIS 蓋子另售（白色/淺灰色/黑藍色/竹）；尺寸適用於BILLY書櫃和其他最少深18公分的層架組；放在書桌、層架上或衣櫃內，整齊收納充電器、化妝品或工作配件；可搭配KUGGIS蓋子使用，有效防塵防污，方便堆疊擺放；耐用塑膠製造，部分採用再生材質；KUGGIS系列產品中所有尺寸均可相互搭配使用</t>
        </is>
      </c>
      <c r="V293" s="2" t="inlineStr"/>
    </row>
    <row r="294">
      <c r="A294" s="2" t="inlineStr">
        <is>
          <t>IKEA-046</t>
        </is>
      </c>
      <c r="B294" s="2" t="inlineStr">
        <is>
          <t>IKEA</t>
        </is>
      </c>
      <c r="C294" s="2" t="inlineStr">
        <is>
          <t>KUGGIS</t>
        </is>
      </c>
      <c r="D294" s="2" t="inlineStr">
        <is>
          <t>KUGGIS 收納盒 18x26x15 公分</t>
        </is>
      </c>
      <c r="E294" s="2" t="inlineStr">
        <is>
          <t>305.991.58</t>
        </is>
      </c>
      <c r="F294" s="2" t="n">
        <v>18</v>
      </c>
      <c r="G294" s="2" t="n">
        <v>26</v>
      </c>
      <c r="H294" s="2" t="n">
        <v>15</v>
      </c>
      <c r="I294" s="2" t="n"/>
      <c r="J294" s="2" t="n"/>
      <c r="K294" s="2" t="n"/>
      <c r="L294" s="2" t="inlineStr">
        <is>
          <t>PET塑膠 (至少50%再生材料)</t>
        </is>
      </c>
      <c r="M294" s="2" t="inlineStr">
        <is>
          <t>淺灰色/白色</t>
        </is>
      </c>
      <c r="N294" s="2" t="inlineStr"/>
      <c r="O294" s="2" t="inlineStr">
        <is>
          <t>N</t>
        </is>
      </c>
      <c r="P294" s="2" t="n">
        <v>149</v>
      </c>
      <c r="Q294" s="2" t="inlineStr">
        <is>
          <t>2026-10-26</t>
        </is>
      </c>
      <c r="R294" s="3" t="inlineStr">
        <is>
          <t>https://www.ikea.com.tw/zh/products/boxes-and-organisers/boxes-and-baskets/kuggis-art-30599158</t>
        </is>
      </c>
      <c r="S294" s="2" t="inlineStr">
        <is>
          <t>官網</t>
        </is>
      </c>
      <c r="T294" s="2" t="inlineStr">
        <is>
          <t>high</t>
        </is>
      </c>
      <c r="U294" s="2" t="inlineStr">
        <is>
          <t>官網標示為長度×寬度×高度，outer_d 填「長度」值；容積 5.5公升；各色商品編號：淺灰色=305.991.58、白色=005.685.30；同尺寸 KUGGIS 蓋子另售（白色/淺灰色/黑藍色/竹）；尺寸適用於BILLY書櫃和其他最少深18公分的層架組；可搭配KUGGIS蓋子使用，有效防塵防污，方便堆疊擺放；耐用塑膠製造，部分採用再生材質；KUGGIS系列產品中所有尺寸均可相互搭配使用；KUGGIS系列的收納盒與蓋子，備有不同顏色和尺寸可供選擇，讓你根據喜好、空間和需求隨意混搭</t>
        </is>
      </c>
      <c r="V294" s="2" t="inlineStr"/>
    </row>
    <row r="295">
      <c r="A295" s="2" t="inlineStr">
        <is>
          <t>IKEA-047</t>
        </is>
      </c>
      <c r="B295" s="2" t="inlineStr">
        <is>
          <t>IKEA</t>
        </is>
      </c>
      <c r="C295" s="2" t="inlineStr">
        <is>
          <t>KUGGIS</t>
        </is>
      </c>
      <c r="D295" s="2" t="inlineStr">
        <is>
          <t>KUGGIS 收納盒 26x35x15 公分</t>
        </is>
      </c>
      <c r="E295" s="2" t="inlineStr">
        <is>
          <t>805.991.51</t>
        </is>
      </c>
      <c r="F295" s="2" t="n">
        <v>26</v>
      </c>
      <c r="G295" s="2" t="n">
        <v>35</v>
      </c>
      <c r="H295" s="2" t="n">
        <v>15</v>
      </c>
      <c r="I295" s="2" t="n"/>
      <c r="J295" s="2" t="n"/>
      <c r="K295" s="2" t="n"/>
      <c r="L295" s="2" t="inlineStr">
        <is>
          <t>PET塑膠 (至少50%再生材料)</t>
        </is>
      </c>
      <c r="M295" s="2" t="inlineStr">
        <is>
          <t>淺灰色/白色/黑藍色</t>
        </is>
      </c>
      <c r="N295" s="2" t="inlineStr"/>
      <c r="O295" s="2" t="inlineStr">
        <is>
          <t>N</t>
        </is>
      </c>
      <c r="P295" s="2" t="n">
        <v>189</v>
      </c>
      <c r="Q295" s="2" t="inlineStr">
        <is>
          <t>2026-10-26</t>
        </is>
      </c>
      <c r="R295" s="3" t="inlineStr">
        <is>
          <t>https://www.ikea.com.tw/zh/products/boxes-and-organisers/boxes-and-baskets/kuggis-art-80599151</t>
        </is>
      </c>
      <c r="S295" s="2" t="inlineStr">
        <is>
          <t>官網</t>
        </is>
      </c>
      <c r="T295" s="2" t="inlineStr">
        <is>
          <t>high</t>
        </is>
      </c>
      <c r="U295" s="2" t="inlineStr">
        <is>
          <t>各色商品編號：淺灰色=805.991.51、白色=705.685.36、黑藍色=806.102.00；同尺寸 KUGGIS 蓋子另售（白色/淺灰色/黑藍色/竹）；可搭配KUGGIS蓋子使用，有效防塵防污，方便堆疊擺放；耐用塑膠製造，部分採用再生材質；KUGGIS系列產品中所有尺寸均可相互搭配使用；KUGGIS系列的收納盒與蓋子，備有不同顏色和尺寸可供選擇，讓你根據喜好、空間和需求隨意混搭；尺寸適用於我們大部分最少深25公分的收納系列。 和BILLY書櫃和BESTÅ收納更是完美搭配</t>
        </is>
      </c>
      <c r="V295" s="2" t="inlineStr"/>
    </row>
    <row r="296">
      <c r="A296" s="2" t="inlineStr">
        <is>
          <t>IKEA-048</t>
        </is>
      </c>
      <c r="B296" s="2" t="inlineStr">
        <is>
          <t>IKEA</t>
        </is>
      </c>
      <c r="C296" s="2" t="inlineStr">
        <is>
          <t>KUGGIS</t>
        </is>
      </c>
      <c r="D296" s="2" t="inlineStr">
        <is>
          <t>KUGGIS 附蓋收納盒 13x18x8 公分</t>
        </is>
      </c>
      <c r="E296" s="2" t="inlineStr">
        <is>
          <t>295.967.59</t>
        </is>
      </c>
      <c r="F296" s="2" t="n">
        <v>13</v>
      </c>
      <c r="G296" s="2" t="n">
        <v>18</v>
      </c>
      <c r="H296" s="2" t="n">
        <v>8</v>
      </c>
      <c r="I296" s="2" t="n"/>
      <c r="J296" s="2" t="n"/>
      <c r="K296" s="2" t="n"/>
      <c r="L296" s="2" t="inlineStr">
        <is>
          <t>PET塑膠 (至少50%再生材料)</t>
        </is>
      </c>
      <c r="M296" s="2" t="inlineStr">
        <is>
          <t>淺灰色/淺灰色+竹/白色/白色+竹</t>
        </is>
      </c>
      <c r="N296" s="2" t="inlineStr">
        <is>
          <t>Y</t>
        </is>
      </c>
      <c r="O296" s="2" t="inlineStr">
        <is>
          <t>Y</t>
        </is>
      </c>
      <c r="P296" s="2" t="n">
        <v>99</v>
      </c>
      <c r="Q296" s="2" t="inlineStr">
        <is>
          <t>2026-10-26</t>
        </is>
      </c>
      <c r="R296" s="3" t="inlineStr">
        <is>
          <t>https://www.ikea.com.tw/zh/products/boxes-and-organisers/boxes-and-baskets/kuggis-spr-29596759</t>
        </is>
      </c>
      <c r="S296" s="2" t="inlineStr">
        <is>
          <t>官網</t>
        </is>
      </c>
      <c r="T296" s="2" t="inlineStr">
        <is>
          <t>high</t>
        </is>
      </c>
      <c r="U296" s="2" t="inlineStr">
        <is>
          <t>收納盒＋蓋子組合，外寸為官網組合尺寸；內附：1 x 收納盒 KUGGIS 13x18x8 公分 1 x 蓋子 KUGGIS 13x18 公分；各色商品編號：淺灰色=295.967.59、淺灰色+竹=095.968.21、白色=795.611.54、白色+竹=495.612.83；售價依顏色不同：淺灰色 99、淺灰色+竹 129、白色 99、白色+竹 129；price_twd 填最低價；不同尺寸的收納盒可相互堆疊；可放入最少深15公分的ENHET系列的櫃或架，或其他最少深13公分的收納架上；可以放置容易遺失的細小物件，放在層架或浴室收納櫃內使用最為合適；部分以回收再做的PET塑膠物料製造，KUGGIS系列內的一個產品，所有尺寸均可相互搭配選購</t>
        </is>
      </c>
      <c r="V296" s="2" t="inlineStr"/>
    </row>
    <row r="297">
      <c r="A297" s="2" t="inlineStr">
        <is>
          <t>IKEA-049</t>
        </is>
      </c>
      <c r="B297" s="2" t="inlineStr">
        <is>
          <t>IKEA</t>
        </is>
      </c>
      <c r="C297" s="2" t="inlineStr">
        <is>
          <t>KUGGIS</t>
        </is>
      </c>
      <c r="D297" s="2" t="inlineStr">
        <is>
          <t>KUGGIS 附蓋收納盒 18x26x8 公分</t>
        </is>
      </c>
      <c r="E297" s="2" t="inlineStr">
        <is>
          <t>495.967.58</t>
        </is>
      </c>
      <c r="F297" s="2" t="n">
        <v>18</v>
      </c>
      <c r="G297" s="2" t="n">
        <v>26</v>
      </c>
      <c r="H297" s="2" t="n">
        <v>8</v>
      </c>
      <c r="I297" s="2" t="n"/>
      <c r="J297" s="2" t="n"/>
      <c r="K297" s="2" t="n"/>
      <c r="L297" s="2" t="inlineStr">
        <is>
          <t>PET塑膠 (至少50%再生材料)</t>
        </is>
      </c>
      <c r="M297" s="2" t="inlineStr">
        <is>
          <t>淺灰色/淺灰色+竹/白色/白色+竹/黑藍色/黑藍色+竹</t>
        </is>
      </c>
      <c r="N297" s="2" t="inlineStr">
        <is>
          <t>Y</t>
        </is>
      </c>
      <c r="O297" s="2" t="inlineStr">
        <is>
          <t>Y</t>
        </is>
      </c>
      <c r="P297" s="2" t="n">
        <v>139</v>
      </c>
      <c r="Q297" s="2" t="inlineStr">
        <is>
          <t>2026-10-26</t>
        </is>
      </c>
      <c r="R297" s="3" t="inlineStr">
        <is>
          <t>https://www.ikea.com.tw/zh/products/boxes-and-organisers/boxes-and-baskets/kuggis-spr-49596758</t>
        </is>
      </c>
      <c r="S297" s="2" t="inlineStr">
        <is>
          <t>官網</t>
        </is>
      </c>
      <c r="T297" s="2" t="inlineStr">
        <is>
          <t>high</t>
        </is>
      </c>
      <c r="U297" s="2" t="inlineStr">
        <is>
          <t>收納盒＋蓋子組合，外寸為官網組合尺寸；內附：1 x 收納盒 KUGGIS 18x26x8 公分 1 x 蓋子 KUGGIS 18x26 公分；各色商品編號：淺灰色=495.967.58、淺灰色+竹=595.968.14、白色=795.611.87、白色+竹=595.612.87、黑藍色=096.001.68、黑藍色+竹=296.102.13；售價依顏色不同：淺灰色 139、淺灰色+竹 189、白色 139、白色+竹 189、黑藍色 139、黑藍色+竹 189；price_twd 填最低價；不同尺寸的收納盒可相互堆疊；尺寸適用於BILLY書櫃和其他最少深18公分的層架組；部分以回收再做的PET塑膠物料製造，KUGGIS系列內的一個產品，所有尺寸均可相互搭配選購</t>
        </is>
      </c>
      <c r="V297" s="2" t="inlineStr"/>
    </row>
    <row r="298">
      <c r="A298" s="2" t="inlineStr">
        <is>
          <t>IKEA-050</t>
        </is>
      </c>
      <c r="B298" s="2" t="inlineStr">
        <is>
          <t>IKEA</t>
        </is>
      </c>
      <c r="C298" s="2" t="inlineStr">
        <is>
          <t>KUGGIS</t>
        </is>
      </c>
      <c r="D298" s="2" t="inlineStr">
        <is>
          <t>KUGGIS 附蓋收納盒 18x26x15 公分</t>
        </is>
      </c>
      <c r="E298" s="2" t="inlineStr">
        <is>
          <t>595.967.67</t>
        </is>
      </c>
      <c r="F298" s="2" t="n">
        <v>18</v>
      </c>
      <c r="G298" s="2" t="n">
        <v>26</v>
      </c>
      <c r="H298" s="2" t="n">
        <v>15</v>
      </c>
      <c r="I298" s="2" t="n"/>
      <c r="J298" s="2" t="n"/>
      <c r="K298" s="2" t="n"/>
      <c r="L298" s="2" t="inlineStr">
        <is>
          <t>PET塑膠 (至少50%再生材料)</t>
        </is>
      </c>
      <c r="M298" s="2" t="inlineStr">
        <is>
          <t>淺灰色/淺灰色+竹/白色/白色+竹</t>
        </is>
      </c>
      <c r="N298" s="2" t="inlineStr">
        <is>
          <t>Y</t>
        </is>
      </c>
      <c r="O298" s="2" t="inlineStr">
        <is>
          <t>Y</t>
        </is>
      </c>
      <c r="P298" s="2" t="n">
        <v>199</v>
      </c>
      <c r="Q298" s="2" t="inlineStr">
        <is>
          <t>2026-10-26</t>
        </is>
      </c>
      <c r="R298" s="3" t="inlineStr">
        <is>
          <t>https://www.ikea.com.tw/zh/products/boxes-and-organisers/boxes-and-baskets/kuggis-spr-59596767</t>
        </is>
      </c>
      <c r="S298" s="2" t="inlineStr">
        <is>
          <t>官網</t>
        </is>
      </c>
      <c r="T298" s="2" t="inlineStr">
        <is>
          <t>high</t>
        </is>
      </c>
      <c r="U298" s="2" t="inlineStr">
        <is>
          <t>收納盒＋蓋子組合，外寸為官網組合尺寸；內附：1 x 收納盒 KUGGIS 18x26x15 公分 1 x 蓋子 KUGGIS 18x26 公分；各色商品編號：淺灰色=595.967.67、淺灰色+竹=695.968.23、白色=295.611.56、白色+竹=995.612.85；售價依顏色不同：淺灰色 199、淺灰色+竹 249、白色 199、白色+竹 249；price_twd 填最低價；不同尺寸的收納盒可相互堆疊；尺寸適用於BILLY書櫃和其他最少深18公分的層架組；部分以回收再做的PET塑膠物料製造，KUGGIS系列內的一個產品，所有尺寸均可相互搭配選購</t>
        </is>
      </c>
      <c r="V298" s="2" t="inlineStr"/>
    </row>
    <row r="299">
      <c r="A299" s="2" t="inlineStr">
        <is>
          <t>IKEA-051</t>
        </is>
      </c>
      <c r="B299" s="2" t="inlineStr">
        <is>
          <t>IKEA</t>
        </is>
      </c>
      <c r="C299" s="2" t="inlineStr">
        <is>
          <t>KUGGIS</t>
        </is>
      </c>
      <c r="D299" s="2" t="inlineStr">
        <is>
          <t>KUGGIS 附蓋收納盒 26x35x15 公分</t>
        </is>
      </c>
      <c r="E299" s="2" t="inlineStr">
        <is>
          <t>795.967.66</t>
        </is>
      </c>
      <c r="F299" s="2" t="n">
        <v>26</v>
      </c>
      <c r="G299" s="2" t="n">
        <v>35</v>
      </c>
      <c r="H299" s="2" t="n">
        <v>15</v>
      </c>
      <c r="I299" s="2" t="n"/>
      <c r="J299" s="2" t="n"/>
      <c r="K299" s="2" t="n"/>
      <c r="L299" s="2" t="inlineStr">
        <is>
          <t>PET塑膠 (至少50%再生材料)</t>
        </is>
      </c>
      <c r="M299" s="2" t="inlineStr">
        <is>
          <t>淺灰色/淺灰色+竹/白色/白色+竹/黑藍色/黑藍色+竹</t>
        </is>
      </c>
      <c r="N299" s="2" t="inlineStr">
        <is>
          <t>Y</t>
        </is>
      </c>
      <c r="O299" s="2" t="inlineStr">
        <is>
          <t>Y</t>
        </is>
      </c>
      <c r="P299" s="2" t="n">
        <v>289</v>
      </c>
      <c r="Q299" s="2" t="inlineStr">
        <is>
          <t>2026-10-26</t>
        </is>
      </c>
      <c r="R299" s="3" t="inlineStr">
        <is>
          <t>https://www.ikea.com.tw/zh/products/boxes-and-organisers/boxes-and-baskets/kuggis-spr-79596766</t>
        </is>
      </c>
      <c r="S299" s="2" t="inlineStr">
        <is>
          <t>官網</t>
        </is>
      </c>
      <c r="T299" s="2" t="inlineStr">
        <is>
          <t>high</t>
        </is>
      </c>
      <c r="U299" s="2" t="inlineStr">
        <is>
          <t>收納盒＋蓋子組合，外寸為官網組合尺寸；內附：1 x 收納盒 KUGGIS 26x35x15 公分 1 x 蓋子 KUGGIS 26x35 公分；各色商品編號：淺灰色=795.967.66、淺灰色+竹=295.968.20、白色=295.611.99、白色+竹=195.612.89、黑藍色=696.001.70、黑藍色+竹=796.102.15；售價依顏色不同：淺灰色 289、淺灰色+竹 389、白色 289、白色+竹 389、黑藍色 289、黑藍色+竹 389；price_twd 填最低價；不同尺寸的收納盒可相互堆疊；部分以回收再做的PET塑膠物料製造，KUGGIS系列內的一個產品，所有尺寸均可相互搭配選購；尺寸適用於我們大部分最少深25公分的收納系列。 和BILLY書櫃和BESTÅ收納更是完美搭配；適用於BILLY書櫃(深28公分)及BESTÅ收納組合(深40公分)</t>
        </is>
      </c>
      <c r="V299" s="2" t="inlineStr"/>
    </row>
    <row r="300">
      <c r="A300" s="2" t="inlineStr">
        <is>
          <t>IKEA-052</t>
        </is>
      </c>
      <c r="B300" s="2" t="inlineStr">
        <is>
          <t>IKEA</t>
        </is>
      </c>
      <c r="C300" s="2" t="inlineStr">
        <is>
          <t>KUGGIS</t>
        </is>
      </c>
      <c r="D300" s="2" t="inlineStr">
        <is>
          <t>KUGGIS 附蓋收納盒 32x32x32 公分</t>
        </is>
      </c>
      <c r="E300" s="2" t="inlineStr">
        <is>
          <t>805.268.76</t>
        </is>
      </c>
      <c r="F300" s="2" t="n">
        <v>32</v>
      </c>
      <c r="G300" s="2" t="n">
        <v>32</v>
      </c>
      <c r="H300" s="2" t="n">
        <v>32</v>
      </c>
      <c r="I300" s="2" t="n"/>
      <c r="J300" s="2" t="n"/>
      <c r="K300" s="2" t="n"/>
      <c r="L300" s="2" t="inlineStr">
        <is>
          <t>PET塑膠 (至少50%再生材料)</t>
        </is>
      </c>
      <c r="M300" s="2" t="inlineStr">
        <is>
          <t>白色</t>
        </is>
      </c>
      <c r="N300" s="2" t="inlineStr">
        <is>
          <t>Y</t>
        </is>
      </c>
      <c r="O300" s="2" t="inlineStr">
        <is>
          <t>Y</t>
        </is>
      </c>
      <c r="P300" s="2" t="n">
        <v>599</v>
      </c>
      <c r="Q300" s="2" t="inlineStr">
        <is>
          <t>2026-10-26</t>
        </is>
      </c>
      <c r="R300" s="3" t="inlineStr">
        <is>
          <t>https://www.ikea.com.tw/zh/products/boxes-and-organisers/boxes-and-baskets/kuggis-art-80526876</t>
        </is>
      </c>
      <c r="S300" s="2" t="inlineStr">
        <is>
          <t>官網</t>
        </is>
      </c>
      <c r="T300" s="2" t="inlineStr">
        <is>
          <t>high</t>
        </is>
      </c>
      <c r="U300" s="2" t="inlineStr">
        <is>
          <t>官網標示為長度×寬度×高度，outer_d 填「長度」值；既可保護收納物,也讓儲物盒可堆疊收納,更省空間；適用於KALLAX及VIHALS收納系列，或其他深度至少32公分的收納組；盒子有裁切的把手，方便從層架拉出來</t>
        </is>
      </c>
      <c r="V300" s="2" t="inlineStr"/>
    </row>
    <row r="301">
      <c r="A301" s="2" t="inlineStr">
        <is>
          <t>IKEA-053</t>
        </is>
      </c>
      <c r="B301" s="2" t="inlineStr">
        <is>
          <t>IKEA</t>
        </is>
      </c>
      <c r="C301" s="2" t="inlineStr">
        <is>
          <t>KVARNVIK</t>
        </is>
      </c>
      <c r="D301" s="2" t="inlineStr">
        <is>
          <t>KVARNVIK 附蓋收納盒 18x25x15 公分</t>
        </is>
      </c>
      <c r="E301" s="2" t="inlineStr">
        <is>
          <t>504.128.76</t>
        </is>
      </c>
      <c r="F301" s="2" t="n">
        <v>18</v>
      </c>
      <c r="G301" s="2" t="n">
        <v>25</v>
      </c>
      <c r="H301" s="2" t="n">
        <v>15</v>
      </c>
      <c r="I301" s="2" t="n"/>
      <c r="J301" s="2" t="n"/>
      <c r="K301" s="2" t="n"/>
      <c r="L301" s="2" t="inlineStr">
        <is>
          <t>基本材質:紙板 (至少100%再生材料), 紙；金屬配件:鋼質</t>
        </is>
      </c>
      <c r="M301" s="2" t="inlineStr">
        <is>
          <t>灰色</t>
        </is>
      </c>
      <c r="N301" s="2" t="inlineStr"/>
      <c r="O301" s="2" t="inlineStr">
        <is>
          <t>Y</t>
        </is>
      </c>
      <c r="P301" s="2" t="n">
        <v>299</v>
      </c>
      <c r="Q301" s="2" t="inlineStr">
        <is>
          <t>2026-10-26</t>
        </is>
      </c>
      <c r="R301" s="3" t="inlineStr">
        <is>
          <t>https://www.ikea.com.tw/zh/products/boxes-and-organisers/boxes-and-baskets/kvarnvik-art-50412876</t>
        </is>
      </c>
      <c r="S301" s="2" t="inlineStr">
        <is>
          <t>官網</t>
        </is>
      </c>
      <c r="T301" s="2" t="inlineStr">
        <is>
          <t>high</t>
        </is>
      </c>
      <c r="U301" s="2" t="inlineStr">
        <is>
          <t>官網標示為長度×寬度×高度，outer_d 填「長度」值；尺寸適用於BILLY書櫃和其他最少深18公分的層架組</t>
        </is>
      </c>
      <c r="V301" s="2" t="inlineStr"/>
    </row>
    <row r="302">
      <c r="A302" s="2" t="inlineStr">
        <is>
          <t>IKEA-054</t>
        </is>
      </c>
      <c r="B302" s="2" t="inlineStr">
        <is>
          <t>IKEA</t>
        </is>
      </c>
      <c r="C302" s="2" t="inlineStr">
        <is>
          <t>KVARNVIK</t>
        </is>
      </c>
      <c r="D302" s="2" t="inlineStr">
        <is>
          <t>KVARNVIK 附蓋收納盒 25x35x20 公分</t>
        </is>
      </c>
      <c r="E302" s="2" t="inlineStr">
        <is>
          <t>904.128.79</t>
        </is>
      </c>
      <c r="F302" s="2" t="n">
        <v>25</v>
      </c>
      <c r="G302" s="2" t="n">
        <v>35</v>
      </c>
      <c r="H302" s="2" t="n">
        <v>20</v>
      </c>
      <c r="I302" s="2" t="n"/>
      <c r="J302" s="2" t="n"/>
      <c r="K302" s="2" t="n"/>
      <c r="L302" s="2" t="inlineStr">
        <is>
          <t>基本材質:紙板 (至少100%再生材料), 紙；金屬配件:鋼質</t>
        </is>
      </c>
      <c r="M302" s="2" t="inlineStr">
        <is>
          <t>灰色</t>
        </is>
      </c>
      <c r="N302" s="2" t="inlineStr"/>
      <c r="O302" s="2" t="inlineStr">
        <is>
          <t>Y</t>
        </is>
      </c>
      <c r="P302" s="2" t="n">
        <v>349</v>
      </c>
      <c r="Q302" s="2" t="inlineStr">
        <is>
          <t>2026-10-26</t>
        </is>
      </c>
      <c r="R302" s="3" t="inlineStr">
        <is>
          <t>https://www.ikea.com.tw/zh/products/boxes-and-organisers/boxes-and-baskets/kvarnvik-art-90412879</t>
        </is>
      </c>
      <c r="S302" s="2" t="inlineStr">
        <is>
          <t>官網</t>
        </is>
      </c>
      <c r="T302" s="2" t="inlineStr">
        <is>
          <t>high</t>
        </is>
      </c>
      <c r="U302" s="2" t="inlineStr">
        <is>
          <t>官網標示為長度×寬度×高度，outer_d 填「長度」值；適合搭配HEMNES系列及含深25公分層板的其他收納家具</t>
        </is>
      </c>
      <c r="V302" s="2" t="inlineStr"/>
    </row>
    <row r="303">
      <c r="A303" s="2" t="inlineStr">
        <is>
          <t>IKEA-055</t>
        </is>
      </c>
      <c r="B303" s="2" t="inlineStr">
        <is>
          <t>IKEA</t>
        </is>
      </c>
      <c r="C303" s="2" t="inlineStr">
        <is>
          <t>KVARNVIK</t>
        </is>
      </c>
      <c r="D303" s="2" t="inlineStr">
        <is>
          <t>KVARNVIK 附蓋收納盒 32x35x32 公分</t>
        </is>
      </c>
      <c r="E303" s="2" t="inlineStr">
        <is>
          <t>904.669.52</t>
        </is>
      </c>
      <c r="F303" s="2" t="n">
        <v>35</v>
      </c>
      <c r="G303" s="2" t="n">
        <v>32</v>
      </c>
      <c r="H303" s="2" t="n">
        <v>32</v>
      </c>
      <c r="I303" s="2" t="n"/>
      <c r="J303" s="2" t="n"/>
      <c r="K303" s="2" t="n"/>
      <c r="L303" s="2" t="inlineStr">
        <is>
          <t>基本材質:紙板 (至少100%再生材料), 紙；金屬配件:鋼質</t>
        </is>
      </c>
      <c r="M303" s="2" t="inlineStr">
        <is>
          <t>灰色</t>
        </is>
      </c>
      <c r="N303" s="2" t="inlineStr"/>
      <c r="O303" s="2" t="inlineStr">
        <is>
          <t>Y</t>
        </is>
      </c>
      <c r="P303" s="2" t="n">
        <v>499</v>
      </c>
      <c r="Q303" s="2" t="inlineStr">
        <is>
          <t>2026-10-26</t>
        </is>
      </c>
      <c r="R303" s="3" t="inlineStr">
        <is>
          <t>https://www.ikea.com.tw/zh/products/boxes-and-organisers/boxes-and-baskets/kvarnvik-art-90466952</t>
        </is>
      </c>
      <c r="S303" s="2" t="inlineStr">
        <is>
          <t>官網</t>
        </is>
      </c>
      <c r="T303" s="2" t="inlineStr">
        <is>
          <t>high</t>
        </is>
      </c>
      <c r="U303" s="2" t="inlineStr">
        <is>
          <t>官網標示為長度×寬度×高度，outer_d 填「長度」值；適合搭配KALLAX層架組</t>
        </is>
      </c>
      <c r="V303" s="2" t="inlineStr"/>
    </row>
    <row r="304">
      <c r="A304" s="2" t="inlineStr">
        <is>
          <t>IKEA-056</t>
        </is>
      </c>
      <c r="B304" s="2" t="inlineStr">
        <is>
          <t>IKEA</t>
        </is>
      </c>
      <c r="C304" s="2" t="inlineStr">
        <is>
          <t>LJUNGAN</t>
        </is>
      </c>
      <c r="D304" s="2" t="inlineStr">
        <is>
          <t>LJUNGAN 置物籃 25x20x30 公分</t>
        </is>
      </c>
      <c r="E304" s="2" t="inlineStr">
        <is>
          <t>105.672.95</t>
        </is>
      </c>
      <c r="F304" s="2" t="n">
        <v>25</v>
      </c>
      <c r="G304" s="2" t="n">
        <v>30</v>
      </c>
      <c r="H304" s="2" t="n">
        <v>20</v>
      </c>
      <c r="I304" s="2" t="n"/>
      <c r="J304" s="2" t="n"/>
      <c r="K304" s="2" t="n"/>
      <c r="L304" s="2" t="inlineStr">
        <is>
          <t>籃:黃麻；縫紉線:100%聚酯纖維</t>
        </is>
      </c>
      <c r="M304" s="2" t="inlineStr"/>
      <c r="N304" s="2" t="inlineStr"/>
      <c r="O304" s="2" t="inlineStr">
        <is>
          <t>N</t>
        </is>
      </c>
      <c r="P304" s="2" t="n">
        <v>599</v>
      </c>
      <c r="Q304" s="2" t="inlineStr">
        <is>
          <t>2026-10-26</t>
        </is>
      </c>
      <c r="R304" s="3" t="inlineStr">
        <is>
          <t>https://www.ikea.com.tw/zh/products/boxes-and-organisers/boxes-and-baskets/ljungan-art-10567295</t>
        </is>
      </c>
      <c r="S304" s="2" t="inlineStr">
        <is>
          <t>官網</t>
        </is>
      </c>
      <c r="T304" s="2" t="inlineStr">
        <is>
          <t>high</t>
        </is>
      </c>
      <c r="U304" s="2" t="inlineStr"/>
      <c r="V304" s="2" t="inlineStr"/>
    </row>
    <row r="305">
      <c r="A305" s="2" t="inlineStr">
        <is>
          <t>IKEA-057</t>
        </is>
      </c>
      <c r="B305" s="2" t="inlineStr">
        <is>
          <t>IKEA</t>
        </is>
      </c>
      <c r="C305" s="2" t="inlineStr">
        <is>
          <t>LUSTIGKURRE</t>
        </is>
      </c>
      <c r="D305" s="2" t="inlineStr">
        <is>
          <t>LUSTIGKURRE 置物籃 32x33x32 公分</t>
        </is>
      </c>
      <c r="E305" s="2" t="inlineStr">
        <is>
          <t>104.574.09</t>
        </is>
      </c>
      <c r="F305" s="2" t="n">
        <v>32</v>
      </c>
      <c r="G305" s="2" t="n">
        <v>33</v>
      </c>
      <c r="H305" s="2" t="n">
        <v>32</v>
      </c>
      <c r="I305" s="2" t="n"/>
      <c r="J305" s="2" t="n"/>
      <c r="K305" s="2" t="n"/>
      <c r="L305" s="2" t="inlineStr">
        <is>
          <t>內部框架:鋼質, 粉末塗層；主體:布袋蓮, 海草, 透明漆</t>
        </is>
      </c>
      <c r="M305" s="2" t="inlineStr">
        <is>
          <t>自然色 布袋蓮+海草</t>
        </is>
      </c>
      <c r="N305" s="2" t="inlineStr"/>
      <c r="O305" s="2" t="inlineStr">
        <is>
          <t>N</t>
        </is>
      </c>
      <c r="P305" s="2" t="n">
        <v>599</v>
      </c>
      <c r="Q305" s="2" t="inlineStr">
        <is>
          <t>2026-10-26</t>
        </is>
      </c>
      <c r="R305" s="3" t="inlineStr">
        <is>
          <t>https://www.ikea.com.tw/zh/products/boxes-and-organisers/boxes-and-baskets/lustigkurre-art-10457409</t>
        </is>
      </c>
      <c r="S305" s="2" t="inlineStr">
        <is>
          <t>官網</t>
        </is>
      </c>
      <c r="T305" s="2" t="inlineStr">
        <is>
          <t>high</t>
        </is>
      </c>
      <c r="U305" s="2" t="inlineStr">
        <is>
          <t>適合放入KALLAX層架組合和其他最少深35公分的層架內</t>
        </is>
      </c>
      <c r="V305" s="2" t="inlineStr"/>
    </row>
    <row r="306">
      <c r="A306" s="2" t="inlineStr">
        <is>
          <t>IKEA-058</t>
        </is>
      </c>
      <c r="B306" s="2" t="inlineStr">
        <is>
          <t>IKEA</t>
        </is>
      </c>
      <c r="C306" s="2" t="inlineStr">
        <is>
          <t>MOJAN</t>
        </is>
      </c>
      <c r="D306" s="2" t="inlineStr">
        <is>
          <t>MOJAN 化妝品收納盒附2抽 25x12 公分</t>
        </is>
      </c>
      <c r="E306" s="2" t="inlineStr">
        <is>
          <t>105.219.24</t>
        </is>
      </c>
      <c r="F306" s="2" t="n">
        <v>25</v>
      </c>
      <c r="G306" s="2" t="n">
        <v>12</v>
      </c>
      <c r="H306" s="2" t="n">
        <v>5.5</v>
      </c>
      <c r="I306" s="2" t="n"/>
      <c r="J306" s="2" t="n"/>
      <c r="K306" s="2" t="n"/>
      <c r="L306" s="2" t="inlineStr">
        <is>
          <t>壓克力塑膠</t>
        </is>
      </c>
      <c r="M306" s="2" t="inlineStr"/>
      <c r="N306" s="2" t="inlineStr">
        <is>
          <t>Y</t>
        </is>
      </c>
      <c r="O306" s="2" t="inlineStr">
        <is>
          <t>N</t>
        </is>
      </c>
      <c r="P306" s="2" t="n">
        <v>399</v>
      </c>
      <c r="Q306" s="2" t="inlineStr">
        <is>
          <t>2026-10-26</t>
        </is>
      </c>
      <c r="R306" s="3" t="inlineStr">
        <is>
          <t>https://www.ikea.com.tw/zh/products/boxes-and-organisers/organisers/mojan-art-10521924</t>
        </is>
      </c>
      <c r="S306" s="2" t="inlineStr">
        <is>
          <t>官網</t>
        </is>
      </c>
      <c r="T306" s="2" t="inlineStr">
        <is>
          <t>high</t>
        </is>
      </c>
      <c r="U306" s="2" t="inlineStr">
        <is>
          <t>一層不夠放？ 就買幾個堆疊使用</t>
        </is>
      </c>
      <c r="V306" s="2" t="inlineStr"/>
    </row>
    <row r="307">
      <c r="A307" s="2" t="inlineStr">
        <is>
          <t>IKEA-059</t>
        </is>
      </c>
      <c r="B307" s="2" t="inlineStr">
        <is>
          <t>IKEA</t>
        </is>
      </c>
      <c r="C307" s="2" t="inlineStr">
        <is>
          <t>MOJAN</t>
        </is>
      </c>
      <c r="D307" s="2" t="inlineStr">
        <is>
          <t>MOJAN 化妝品收納盒附3抽 8.5x17 公分</t>
        </is>
      </c>
      <c r="E307" s="2" t="inlineStr">
        <is>
          <t>805.219.25</t>
        </is>
      </c>
      <c r="F307" s="2" t="n">
        <v>8.5</v>
      </c>
      <c r="G307" s="2" t="n">
        <v>17</v>
      </c>
      <c r="H307" s="2" t="n">
        <v>25</v>
      </c>
      <c r="I307" s="2" t="n"/>
      <c r="J307" s="2" t="n"/>
      <c r="K307" s="2" t="n"/>
      <c r="L307" s="2" t="inlineStr">
        <is>
          <t>壓克力塑膠</t>
        </is>
      </c>
      <c r="M307" s="2" t="inlineStr"/>
      <c r="N307" s="2" t="inlineStr">
        <is>
          <t>Y</t>
        </is>
      </c>
      <c r="O307" s="2" t="inlineStr">
        <is>
          <t>N</t>
        </is>
      </c>
      <c r="P307" s="2" t="n">
        <v>579</v>
      </c>
      <c r="Q307" s="2" t="inlineStr">
        <is>
          <t>2026-10-26</t>
        </is>
      </c>
      <c r="R307" s="3" t="inlineStr">
        <is>
          <t>https://www.ikea.com.tw/zh/products/boxes-and-organisers/organisers/mojan-art-80521925</t>
        </is>
      </c>
      <c r="S307" s="2" t="inlineStr">
        <is>
          <t>官網</t>
        </is>
      </c>
      <c r="T307" s="2" t="inlineStr">
        <is>
          <t>high</t>
        </is>
      </c>
      <c r="U307" s="2" t="inlineStr">
        <is>
          <t>每個抽屜前方附有圓孔，方便抽拉</t>
        </is>
      </c>
      <c r="V307" s="2" t="inlineStr"/>
    </row>
    <row r="308">
      <c r="A308" s="2" t="inlineStr">
        <is>
          <t>IKEA-060</t>
        </is>
      </c>
      <c r="B308" s="2" t="inlineStr">
        <is>
          <t>IKEA</t>
        </is>
      </c>
      <c r="C308" s="2" t="inlineStr">
        <is>
          <t>MOJAN</t>
        </is>
      </c>
      <c r="D308" s="2" t="inlineStr">
        <is>
          <t>MOJAN 化妝品收納盒附把手 25x12 公分</t>
        </is>
      </c>
      <c r="E308" s="2" t="inlineStr">
        <is>
          <t>205.219.28</t>
        </is>
      </c>
      <c r="F308" s="2" t="n">
        <v>25</v>
      </c>
      <c r="G308" s="2" t="n">
        <v>12</v>
      </c>
      <c r="H308" s="2" t="n">
        <v>8</v>
      </c>
      <c r="I308" s="2" t="n"/>
      <c r="J308" s="2" t="n"/>
      <c r="K308" s="2" t="n"/>
      <c r="L308" s="2" t="inlineStr">
        <is>
          <t>壓克力塑膠</t>
        </is>
      </c>
      <c r="M308" s="2" t="inlineStr"/>
      <c r="N308" s="2" t="inlineStr"/>
      <c r="O308" s="2" t="inlineStr">
        <is>
          <t>N</t>
        </is>
      </c>
      <c r="P308" s="2" t="n">
        <v>479</v>
      </c>
      <c r="Q308" s="2" t="inlineStr">
        <is>
          <t>2026-10-26</t>
        </is>
      </c>
      <c r="R308" s="3" t="inlineStr">
        <is>
          <t>https://www.ikea.com.tw/zh/products/boxes-and-organisers/organisers/mojan-art-20521928</t>
        </is>
      </c>
      <c r="S308" s="2" t="inlineStr">
        <is>
          <t>官網</t>
        </is>
      </c>
      <c r="T308" s="2" t="inlineStr">
        <is>
          <t>high</t>
        </is>
      </c>
      <c r="U308" s="2" t="inlineStr"/>
      <c r="V308" s="2" t="inlineStr"/>
    </row>
    <row r="309">
      <c r="A309" s="2" t="inlineStr">
        <is>
          <t>IKEA-061</t>
        </is>
      </c>
      <c r="B309" s="2" t="inlineStr">
        <is>
          <t>IKEA</t>
        </is>
      </c>
      <c r="C309" s="2" t="inlineStr">
        <is>
          <t>MOJAN</t>
        </is>
      </c>
      <c r="D309" s="2" t="inlineStr">
        <is>
          <t>MOJAN 化妝品收納盒附隔層及2抽 25x9 公分</t>
        </is>
      </c>
      <c r="E309" s="2" t="inlineStr">
        <is>
          <t>405.219.27</t>
        </is>
      </c>
      <c r="F309" s="2" t="n">
        <v>25</v>
      </c>
      <c r="G309" s="2" t="n">
        <v>9</v>
      </c>
      <c r="H309" s="2" t="n">
        <v>14.5</v>
      </c>
      <c r="I309" s="2" t="n"/>
      <c r="J309" s="2" t="n"/>
      <c r="K309" s="2" t="n"/>
      <c r="L309" s="2" t="inlineStr">
        <is>
          <t>壓克力塑膠</t>
        </is>
      </c>
      <c r="M309" s="2" t="inlineStr"/>
      <c r="N309" s="2" t="inlineStr"/>
      <c r="O309" s="2" t="inlineStr">
        <is>
          <t>N</t>
        </is>
      </c>
      <c r="P309" s="2" t="n">
        <v>479</v>
      </c>
      <c r="Q309" s="2" t="inlineStr">
        <is>
          <t>2026-10-26</t>
        </is>
      </c>
      <c r="R309" s="3" t="inlineStr">
        <is>
          <t>https://www.ikea.com.tw/zh/products/boxes-and-organisers/organisers/mojan-art-40521927</t>
        </is>
      </c>
      <c r="S309" s="2" t="inlineStr">
        <is>
          <t>官網</t>
        </is>
      </c>
      <c r="T309" s="2" t="inlineStr">
        <is>
          <t>high</t>
        </is>
      </c>
      <c r="U309" s="2" t="inlineStr">
        <is>
          <t>插筒間隔搭配抽屜，可收納不同長短的物品</t>
        </is>
      </c>
      <c r="V309" s="2" t="inlineStr"/>
    </row>
    <row r="310">
      <c r="A310" s="2" t="inlineStr">
        <is>
          <t>IKEA-062</t>
        </is>
      </c>
      <c r="B310" s="2" t="inlineStr">
        <is>
          <t>IKEA</t>
        </is>
      </c>
      <c r="C310" s="2" t="inlineStr">
        <is>
          <t>MÄVINN</t>
        </is>
      </c>
      <c r="D310" s="2" t="inlineStr">
        <is>
          <t>MÄVINN 置物籃 12x12x15 公分</t>
        </is>
      </c>
      <c r="E310" s="2" t="inlineStr">
        <is>
          <t>406.151.34</t>
        </is>
      </c>
      <c r="F310" s="2" t="n">
        <v>12</v>
      </c>
      <c r="G310" s="2" t="n">
        <v>12</v>
      </c>
      <c r="H310" s="2" t="n">
        <v>15</v>
      </c>
      <c r="I310" s="2" t="n"/>
      <c r="J310" s="2" t="n"/>
      <c r="K310" s="2" t="n"/>
      <c r="L310" s="2" t="inlineStr">
        <is>
          <t>主體:100%黃麻；手把/ 滾邊:100%棉</t>
        </is>
      </c>
      <c r="M310" s="2" t="inlineStr">
        <is>
          <t>黃麻</t>
        </is>
      </c>
      <c r="N310" s="2" t="inlineStr"/>
      <c r="O310" s="2" t="inlineStr">
        <is>
          <t>N</t>
        </is>
      </c>
      <c r="P310" s="2" t="n">
        <v>99</v>
      </c>
      <c r="Q310" s="2" t="inlineStr">
        <is>
          <t>2026-10-26</t>
        </is>
      </c>
      <c r="R310" s="3" t="inlineStr">
        <is>
          <t>https://www.ikea.com.tw/zh/products/boxes-and-organisers/boxes-and-baskets/mavinn-art-40615134</t>
        </is>
      </c>
      <c r="S310" s="2" t="inlineStr">
        <is>
          <t>官網</t>
        </is>
      </c>
      <c r="T310" s="2" t="inlineStr">
        <is>
          <t>high</t>
        </is>
      </c>
      <c r="U310" s="2" t="inlineStr">
        <is>
          <t>官網標示為長度×寬度×高度，outer_d 填「長度」值</t>
        </is>
      </c>
      <c r="V310" s="2" t="inlineStr"/>
    </row>
    <row r="311">
      <c r="A311" s="2" t="inlineStr">
        <is>
          <t>IKEA-063</t>
        </is>
      </c>
      <c r="B311" s="2" t="inlineStr">
        <is>
          <t>IKEA</t>
        </is>
      </c>
      <c r="C311" s="2" t="inlineStr">
        <is>
          <t>NOJIG</t>
        </is>
      </c>
      <c r="D311" s="2" t="inlineStr">
        <is>
          <t>NOJIG 收納盒 10x10x5 公分</t>
        </is>
      </c>
      <c r="E311" s="2" t="inlineStr">
        <is>
          <t>004.770.40</t>
        </is>
      </c>
      <c r="F311" s="2" t="n">
        <v>10</v>
      </c>
      <c r="G311" s="2" t="n">
        <v>10</v>
      </c>
      <c r="H311" s="2" t="n">
        <v>5</v>
      </c>
      <c r="I311" s="2" t="n"/>
      <c r="J311" s="2" t="n"/>
      <c r="K311" s="2" t="n"/>
      <c r="L311" s="2" t="inlineStr">
        <is>
          <t>聚丙烯塑膠 (至少20%再生材料)</t>
        </is>
      </c>
      <c r="M311" s="2" t="inlineStr">
        <is>
          <t>塑膠+米色</t>
        </is>
      </c>
      <c r="N311" s="2" t="inlineStr"/>
      <c r="O311" s="2" t="inlineStr">
        <is>
          <t>N</t>
        </is>
      </c>
      <c r="P311" s="2" t="n">
        <v>9</v>
      </c>
      <c r="Q311" s="2" t="inlineStr">
        <is>
          <t>2026-10-26</t>
        </is>
      </c>
      <c r="R311" s="3" t="inlineStr">
        <is>
          <t>https://www.ikea.com.tw/zh/products/boxes-and-organisers/organisers/nojig-art-00477040</t>
        </is>
      </c>
      <c r="S311" s="2" t="inlineStr">
        <is>
          <t>官網</t>
        </is>
      </c>
      <c r="T311" s="2" t="inlineStr">
        <is>
          <t>high</t>
        </is>
      </c>
      <c r="U311" s="2" t="inlineStr">
        <is>
          <t>利用收納盒，可以避免物品隨意散落，讓你一眼看得到抽屜有什麼物品</t>
        </is>
      </c>
      <c r="V311" s="2" t="inlineStr"/>
    </row>
    <row r="312">
      <c r="A312" s="2" t="inlineStr">
        <is>
          <t>IKEA-064</t>
        </is>
      </c>
      <c r="B312" s="2" t="inlineStr">
        <is>
          <t>IKEA</t>
        </is>
      </c>
      <c r="C312" s="2" t="inlineStr">
        <is>
          <t>NOJIG</t>
        </is>
      </c>
      <c r="D312" s="2" t="inlineStr">
        <is>
          <t>NOJIG 收納盒 10x20x5 公分</t>
        </is>
      </c>
      <c r="E312" s="2" t="inlineStr">
        <is>
          <t>704.680.80</t>
        </is>
      </c>
      <c r="F312" s="2" t="n">
        <v>10</v>
      </c>
      <c r="G312" s="2" t="n">
        <v>20</v>
      </c>
      <c r="H312" s="2" t="n">
        <v>5</v>
      </c>
      <c r="I312" s="2" t="n"/>
      <c r="J312" s="2" t="n"/>
      <c r="K312" s="2" t="n"/>
      <c r="L312" s="2" t="inlineStr">
        <is>
          <t>聚丙烯塑膠 (至少20%再生材料)</t>
        </is>
      </c>
      <c r="M312" s="2" t="inlineStr">
        <is>
          <t>塑膠+米色</t>
        </is>
      </c>
      <c r="N312" s="2" t="inlineStr"/>
      <c r="O312" s="2" t="inlineStr">
        <is>
          <t>N</t>
        </is>
      </c>
      <c r="P312" s="2" t="n">
        <v>19</v>
      </c>
      <c r="Q312" s="2" t="inlineStr">
        <is>
          <t>2026-10-26</t>
        </is>
      </c>
      <c r="R312" s="3" t="inlineStr">
        <is>
          <t>https://www.ikea.com.tw/zh/products/boxes-and-organisers/organisers/nojig-art-70468080</t>
        </is>
      </c>
      <c r="S312" s="2" t="inlineStr">
        <is>
          <t>官網</t>
        </is>
      </c>
      <c r="T312" s="2" t="inlineStr">
        <is>
          <t>high</t>
        </is>
      </c>
      <c r="U312" s="2" t="inlineStr">
        <is>
          <t>利用收納盒，可以避免物品隨意散落，讓你一眼看得到抽屜有什麼物品</t>
        </is>
      </c>
      <c r="V312" s="2" t="inlineStr"/>
    </row>
    <row r="313">
      <c r="A313" s="2" t="inlineStr">
        <is>
          <t>IKEA-065</t>
        </is>
      </c>
      <c r="B313" s="2" t="inlineStr">
        <is>
          <t>IKEA</t>
        </is>
      </c>
      <c r="C313" s="2" t="inlineStr">
        <is>
          <t>NOJIG</t>
        </is>
      </c>
      <c r="D313" s="2" t="inlineStr">
        <is>
          <t>NOJIG 收納盒 15x20x5 公分</t>
        </is>
      </c>
      <c r="E313" s="2" t="inlineStr">
        <is>
          <t>004.681.06</t>
        </is>
      </c>
      <c r="F313" s="2" t="n">
        <v>15</v>
      </c>
      <c r="G313" s="2" t="n">
        <v>20</v>
      </c>
      <c r="H313" s="2" t="n">
        <v>5</v>
      </c>
      <c r="I313" s="2" t="n"/>
      <c r="J313" s="2" t="n"/>
      <c r="K313" s="2" t="n"/>
      <c r="L313" s="2" t="inlineStr">
        <is>
          <t>聚丙烯塑膠 (至少20%再生材料)</t>
        </is>
      </c>
      <c r="M313" s="2" t="inlineStr">
        <is>
          <t>塑膠+米色</t>
        </is>
      </c>
      <c r="N313" s="2" t="inlineStr"/>
      <c r="O313" s="2" t="inlineStr">
        <is>
          <t>N</t>
        </is>
      </c>
      <c r="P313" s="2" t="n">
        <v>29</v>
      </c>
      <c r="Q313" s="2" t="inlineStr">
        <is>
          <t>2026-10-26</t>
        </is>
      </c>
      <c r="R313" s="3" t="inlineStr">
        <is>
          <t>https://www.ikea.com.tw/zh/products/boxes-and-organisers/organisers/nojig-art-00468106</t>
        </is>
      </c>
      <c r="S313" s="2" t="inlineStr">
        <is>
          <t>官網</t>
        </is>
      </c>
      <c r="T313" s="2" t="inlineStr">
        <is>
          <t>high</t>
        </is>
      </c>
      <c r="U313" s="2" t="inlineStr">
        <is>
          <t>利用收納盒，可以避免物品隨意散落，讓你一眼看得到抽屜有什麼物品</t>
        </is>
      </c>
      <c r="V313" s="2" t="inlineStr"/>
    </row>
    <row r="314">
      <c r="A314" s="2" t="inlineStr">
        <is>
          <t>IKEA-066</t>
        </is>
      </c>
      <c r="B314" s="2" t="inlineStr">
        <is>
          <t>IKEA</t>
        </is>
      </c>
      <c r="C314" s="2" t="inlineStr">
        <is>
          <t>NOJIG</t>
        </is>
      </c>
      <c r="D314" s="2" t="inlineStr">
        <is>
          <t>NOJIG 收納盒 20x25x10 公分</t>
        </is>
      </c>
      <c r="E314" s="2" t="inlineStr">
        <is>
          <t>804.681.07</t>
        </is>
      </c>
      <c r="F314" s="2" t="n">
        <v>20</v>
      </c>
      <c r="G314" s="2" t="n">
        <v>25</v>
      </c>
      <c r="H314" s="2" t="n">
        <v>10</v>
      </c>
      <c r="I314" s="2" t="n"/>
      <c r="J314" s="2" t="n"/>
      <c r="K314" s="2" t="n"/>
      <c r="L314" s="2" t="inlineStr">
        <is>
          <t>聚丙烯塑膠 (至少20%再生材料)</t>
        </is>
      </c>
      <c r="M314" s="2" t="inlineStr">
        <is>
          <t>塑膠+米色</t>
        </is>
      </c>
      <c r="N314" s="2" t="inlineStr"/>
      <c r="O314" s="2" t="inlineStr">
        <is>
          <t>N</t>
        </is>
      </c>
      <c r="P314" s="2" t="n">
        <v>39</v>
      </c>
      <c r="Q314" s="2" t="inlineStr">
        <is>
          <t>2026-10-26</t>
        </is>
      </c>
      <c r="R314" s="3" t="inlineStr">
        <is>
          <t>https://www.ikea.com.tw/zh/products/boxes-and-organisers/organisers/nojig-art-80468107</t>
        </is>
      </c>
      <c r="S314" s="2" t="inlineStr">
        <is>
          <t>官網</t>
        </is>
      </c>
      <c r="T314" s="2" t="inlineStr">
        <is>
          <t>high</t>
        </is>
      </c>
      <c r="U314" s="2" t="inlineStr">
        <is>
          <t>利用收納盒，可以避免物品隨意散落，讓你一眼看得到抽屜有什麼物品</t>
        </is>
      </c>
      <c r="V314" s="2" t="inlineStr"/>
    </row>
    <row r="315">
      <c r="A315" s="2" t="inlineStr">
        <is>
          <t>IKEA-067</t>
        </is>
      </c>
      <c r="B315" s="2" t="inlineStr">
        <is>
          <t>IKEA</t>
        </is>
      </c>
      <c r="C315" s="2" t="inlineStr">
        <is>
          <t>PAPPIS</t>
        </is>
      </c>
      <c r="D315" s="2" t="inlineStr">
        <is>
          <t>PAPPIS 附蓋收納盒 25x34x26 公分</t>
        </is>
      </c>
      <c r="E315" s="2" t="inlineStr">
        <is>
          <t>301.886.56</t>
        </is>
      </c>
      <c r="F315" s="2" t="n">
        <v>25</v>
      </c>
      <c r="G315" s="2" t="n">
        <v>34</v>
      </c>
      <c r="H315" s="2" t="n">
        <v>26</v>
      </c>
      <c r="I315" s="2" t="n"/>
      <c r="J315" s="2" t="n"/>
      <c r="K315" s="2" t="n"/>
      <c r="L315" s="2" t="inlineStr">
        <is>
          <t>100%再生瓦楞板</t>
        </is>
      </c>
      <c r="M315" s="2" t="inlineStr">
        <is>
          <t>棕色</t>
        </is>
      </c>
      <c r="N315" s="2" t="inlineStr"/>
      <c r="O315" s="2" t="inlineStr">
        <is>
          <t>Y</t>
        </is>
      </c>
      <c r="P315" s="2" t="n">
        <v>49</v>
      </c>
      <c r="Q315" s="2" t="inlineStr">
        <is>
          <t>2026-10-26</t>
        </is>
      </c>
      <c r="R315" s="3" t="inlineStr">
        <is>
          <t>https://www.ikea.com.tw/zh/products/boxes-and-organisers/boxes-and-baskets/pappis-art-30188656</t>
        </is>
      </c>
      <c r="S315" s="2" t="inlineStr">
        <is>
          <t>官網</t>
        </is>
      </c>
      <c r="T315" s="2" t="inlineStr">
        <is>
          <t>high</t>
        </is>
      </c>
      <c r="U315" s="2" t="inlineStr">
        <is>
          <t>容積 19公升；盒子堅固耐用，且附有裁切的把手孔，方便從層架拉出、提起</t>
        </is>
      </c>
      <c r="V315" s="2" t="inlineStr"/>
    </row>
    <row r="316">
      <c r="A316" s="2" t="inlineStr">
        <is>
          <t>IKEA-068</t>
        </is>
      </c>
      <c r="B316" s="2" t="inlineStr">
        <is>
          <t>IKEA</t>
        </is>
      </c>
      <c r="C316" s="2" t="inlineStr">
        <is>
          <t>PLOGSVÄNG</t>
        </is>
      </c>
      <c r="D316" s="2" t="inlineStr">
        <is>
          <t>PLOGSVÄNG 置物籃 15x20x10 公分</t>
        </is>
      </c>
      <c r="E316" s="2" t="inlineStr">
        <is>
          <t>505.934.57</t>
        </is>
      </c>
      <c r="F316" s="2" t="n">
        <v>15</v>
      </c>
      <c r="G316" s="2" t="n">
        <v>20</v>
      </c>
      <c r="H316" s="2" t="n">
        <v>10</v>
      </c>
      <c r="I316" s="2" t="n"/>
      <c r="J316" s="2" t="n"/>
      <c r="K316" s="2" t="n"/>
      <c r="L316" s="2" t="inlineStr">
        <is>
          <t>聚丙烯塑膠 (至少50%再生材料)</t>
        </is>
      </c>
      <c r="M316" s="2" t="inlineStr">
        <is>
          <t>白色</t>
        </is>
      </c>
      <c r="N316" s="2" t="inlineStr"/>
      <c r="O316" s="2" t="inlineStr">
        <is>
          <t>N</t>
        </is>
      </c>
      <c r="P316" s="2" t="n">
        <v>29</v>
      </c>
      <c r="Q316" s="2" t="inlineStr">
        <is>
          <t>2026-10-26</t>
        </is>
      </c>
      <c r="R316" s="3" t="inlineStr">
        <is>
          <t>https://www.ikea.com.tw/zh/products/boxes-and-organisers/organisers/plogsvang-art-50593457</t>
        </is>
      </c>
      <c r="S316" s="2" t="inlineStr">
        <is>
          <t>官網</t>
        </is>
      </c>
      <c r="T316" s="2" t="inlineStr">
        <is>
          <t>high</t>
        </is>
      </c>
      <c r="U316" s="2" t="inlineStr">
        <is>
          <t>官網標示為長度×寬度×高度，outer_d 填「長度」值；可以放置容易遺失的細小物件，放在層架或浴室收納櫃內使用最為合適；可放入最少有16公分深的收納櫃、推車和層架內</t>
        </is>
      </c>
      <c r="V316" s="2" t="inlineStr"/>
    </row>
    <row r="317">
      <c r="A317" s="2" t="inlineStr">
        <is>
          <t>IKEA-069</t>
        </is>
      </c>
      <c r="B317" s="2" t="inlineStr">
        <is>
          <t>IKEA</t>
        </is>
      </c>
      <c r="C317" s="2" t="inlineStr">
        <is>
          <t>RISATORP</t>
        </is>
      </c>
      <c r="D317" s="2" t="inlineStr">
        <is>
          <t>RISATORP 收納籃連隔層 33x24x11 公分</t>
        </is>
      </c>
      <c r="E317" s="2" t="inlineStr">
        <is>
          <t>505.303.99</t>
        </is>
      </c>
      <c r="F317" s="2" t="n">
        <v>33</v>
      </c>
      <c r="G317" s="2" t="n">
        <v>24</v>
      </c>
      <c r="H317" s="2" t="n">
        <v>11</v>
      </c>
      <c r="I317" s="2" t="n"/>
      <c r="J317" s="2" t="n"/>
      <c r="K317" s="2" t="n"/>
      <c r="L317" s="2" t="inlineStr">
        <is>
          <t>籃:鋼質, 粉末塗層；手把/ 隔層:實心樺木, 有色塗層.</t>
        </is>
      </c>
      <c r="M317" s="2" t="inlineStr">
        <is>
          <t>白色</t>
        </is>
      </c>
      <c r="N317" s="2" t="inlineStr"/>
      <c r="O317" s="2" t="inlineStr">
        <is>
          <t>N</t>
        </is>
      </c>
      <c r="P317" s="2" t="n">
        <v>449</v>
      </c>
      <c r="Q317" s="2" t="inlineStr">
        <is>
          <t>2026-10-26</t>
        </is>
      </c>
      <c r="R317" s="3" t="inlineStr">
        <is>
          <t>https://www.ikea.com.tw/zh/products/boxes-and-organisers/organisers/risatorp-art-50530399</t>
        </is>
      </c>
      <c r="S317" s="2" t="inlineStr">
        <is>
          <t>官網</t>
        </is>
      </c>
      <c r="T317" s="2" t="inlineStr">
        <is>
          <t>high</t>
        </is>
      </c>
      <c r="U317" s="2" t="inlineStr">
        <is>
          <t>非常適合放在櫃和略高的抽屜內，整齊收納細小物品</t>
        </is>
      </c>
      <c r="V317" s="2" t="inlineStr"/>
    </row>
    <row r="318">
      <c r="A318" s="2" t="inlineStr">
        <is>
          <t>IKEA-070</t>
        </is>
      </c>
      <c r="B318" s="2" t="inlineStr">
        <is>
          <t>IKEA</t>
        </is>
      </c>
      <c r="C318" s="2" t="inlineStr">
        <is>
          <t>RISATORP</t>
        </is>
      </c>
      <c r="D318" s="2" t="inlineStr">
        <is>
          <t>RISATORP 收納籃連隔層 33x24x23 公分</t>
        </is>
      </c>
      <c r="E318" s="2" t="inlineStr">
        <is>
          <t>705.303.98</t>
        </is>
      </c>
      <c r="F318" s="2" t="n">
        <v>33</v>
      </c>
      <c r="G318" s="2" t="n">
        <v>24</v>
      </c>
      <c r="H318" s="2" t="n">
        <v>23</v>
      </c>
      <c r="I318" s="2" t="n"/>
      <c r="J318" s="2" t="n"/>
      <c r="K318" s="2" t="n"/>
      <c r="L318" s="2" t="inlineStr">
        <is>
          <t>籃:鋼質, 粉末塗層；手把/ 隔層:實心樺木, 有色塗層.</t>
        </is>
      </c>
      <c r="M318" s="2" t="inlineStr">
        <is>
          <t>白色</t>
        </is>
      </c>
      <c r="N318" s="2" t="inlineStr"/>
      <c r="O318" s="2" t="inlineStr">
        <is>
          <t>N</t>
        </is>
      </c>
      <c r="P318" s="2" t="n">
        <v>649</v>
      </c>
      <c r="Q318" s="2" t="inlineStr">
        <is>
          <t>2026-10-26</t>
        </is>
      </c>
      <c r="R318" s="3" t="inlineStr">
        <is>
          <t>https://www.ikea.com.tw/zh/products/boxes-and-organisers/organisers/risatorp-art-70530398</t>
        </is>
      </c>
      <c r="S318" s="2" t="inlineStr">
        <is>
          <t>官網</t>
        </is>
      </c>
      <c r="T318" s="2" t="inlineStr">
        <is>
          <t>high</t>
        </is>
      </c>
      <c r="U318" s="2" t="inlineStr"/>
      <c r="V318" s="2" t="inlineStr"/>
    </row>
    <row r="319">
      <c r="A319" s="2" t="inlineStr">
        <is>
          <t>IKEA-071</t>
        </is>
      </c>
      <c r="B319" s="2" t="inlineStr">
        <is>
          <t>IKEA</t>
        </is>
      </c>
      <c r="C319" s="2" t="inlineStr">
        <is>
          <t>RISATORP</t>
        </is>
      </c>
      <c r="D319" s="2" t="inlineStr">
        <is>
          <t>RISATORP 網籃 25x26x18 公分</t>
        </is>
      </c>
      <c r="E319" s="2" t="inlineStr">
        <is>
          <t>005.887.12</t>
        </is>
      </c>
      <c r="F319" s="2" t="n">
        <v>26</v>
      </c>
      <c r="G319" s="2" t="n">
        <v>25</v>
      </c>
      <c r="H319" s="2" t="n">
        <v>18</v>
      </c>
      <c r="I319" s="2" t="n"/>
      <c r="J319" s="2" t="n"/>
      <c r="K319" s="2" t="n"/>
      <c r="L319" s="2" t="inlineStr">
        <is>
          <t>籃:鋼質, 粉末塗層；手把:實木貼皮, 樺木, 壓克力亮光漆；鉚釘:鋁質</t>
        </is>
      </c>
      <c r="M319" s="2" t="inlineStr">
        <is>
          <t>深灰色/白色/亮紅色</t>
        </is>
      </c>
      <c r="N319" s="2" t="inlineStr"/>
      <c r="O319" s="2" t="inlineStr">
        <is>
          <t>N</t>
        </is>
      </c>
      <c r="P319" s="2" t="n">
        <v>199</v>
      </c>
      <c r="Q319" s="2" t="inlineStr">
        <is>
          <t>2026-10-26</t>
        </is>
      </c>
      <c r="R319" s="3" t="inlineStr">
        <is>
          <t>https://www.ikea.com.tw/zh/products/boxes-and-organisers/boxes-and-baskets/risatorp-art-00588712</t>
        </is>
      </c>
      <c r="S319" s="2" t="inlineStr">
        <is>
          <t>官網</t>
        </is>
      </c>
      <c r="T319" s="2" t="inlineStr">
        <is>
          <t>high</t>
        </is>
      </c>
      <c r="U319" s="2" t="inlineStr">
        <is>
          <t>官網標示為長度×寬度×高度，outer_d 填「長度」值；各色商品編號：深灰色=005.887.12、白色=604.805.44、亮紅色=906.181.73</t>
        </is>
      </c>
      <c r="V319" s="2" t="inlineStr"/>
    </row>
    <row r="320">
      <c r="A320" s="2" t="inlineStr">
        <is>
          <t>IKEA-072</t>
        </is>
      </c>
      <c r="B320" s="2" t="inlineStr">
        <is>
          <t>IKEA</t>
        </is>
      </c>
      <c r="C320" s="2" t="inlineStr">
        <is>
          <t>SAMLA</t>
        </is>
      </c>
      <c r="D320" s="2" t="inlineStr">
        <is>
          <t>SAMLA 收納盒 28x19x14 公分/5 公升</t>
        </is>
      </c>
      <c r="E320" s="2" t="inlineStr">
        <is>
          <t>601.808.85</t>
        </is>
      </c>
      <c r="F320" s="2" t="n">
        <v>28</v>
      </c>
      <c r="G320" s="2" t="n">
        <v>19</v>
      </c>
      <c r="H320" s="2" t="n">
        <v>14</v>
      </c>
      <c r="I320" s="2" t="n"/>
      <c r="J320" s="2" t="n"/>
      <c r="K320" s="2" t="n"/>
      <c r="L320" s="2" t="inlineStr">
        <is>
          <t>聚丙烯塑膠</t>
        </is>
      </c>
      <c r="M320" s="2" t="inlineStr">
        <is>
          <t>透明</t>
        </is>
      </c>
      <c r="N320" s="2" t="inlineStr"/>
      <c r="O320" s="2" t="inlineStr">
        <is>
          <t>N</t>
        </is>
      </c>
      <c r="P320" s="2" t="n">
        <v>39</v>
      </c>
      <c r="Q320" s="2" t="inlineStr">
        <is>
          <t>2026-10-26</t>
        </is>
      </c>
      <c r="R320" s="3" t="inlineStr">
        <is>
          <t>https://www.ikea.com.tw/zh/products/boxes-and-organisers/boxes-and-baskets/samla-art-60180885</t>
        </is>
      </c>
      <c r="S320" s="2" t="inlineStr">
        <is>
          <t>官網</t>
        </is>
      </c>
      <c r="T320" s="2" t="inlineStr">
        <is>
          <t>high</t>
        </is>
      </c>
      <c r="U320" s="2" t="inlineStr">
        <is>
          <t>容積 5公升；同尺寸 SAMLA 收納盒蓋另售（5 公升用 28x20；11/22 公升用 39x28）；可搭配SAMLA收納盒蓋(5公升)，有效防塵且方便堆疊，蓋子內建卡扣設計﻿，可牢固緊扣盒身；適用於IVAR、OMAR、BROR等多款層架組；SAMLA系列產品中所有尺寸均可相互搭配使用；可搭配SAMLA 5公升收納盒蓋(需另購)</t>
        </is>
      </c>
      <c r="V320" s="2" t="inlineStr"/>
    </row>
    <row r="321">
      <c r="A321" s="2" t="inlineStr">
        <is>
          <t>IKEA-073</t>
        </is>
      </c>
      <c r="B321" s="2" t="inlineStr">
        <is>
          <t>IKEA</t>
        </is>
      </c>
      <c r="C321" s="2" t="inlineStr">
        <is>
          <t>SAMLA</t>
        </is>
      </c>
      <c r="D321" s="2" t="inlineStr">
        <is>
          <t>SAMLA 收納盒 39x28x14 公分/11 公升</t>
        </is>
      </c>
      <c r="E321" s="2" t="inlineStr">
        <is>
          <t>101.809.39</t>
        </is>
      </c>
      <c r="F321" s="2" t="n">
        <v>39</v>
      </c>
      <c r="G321" s="2" t="n">
        <v>28</v>
      </c>
      <c r="H321" s="2" t="n">
        <v>14</v>
      </c>
      <c r="I321" s="2" t="n"/>
      <c r="J321" s="2" t="n"/>
      <c r="K321" s="2" t="n"/>
      <c r="L321" s="2" t="inlineStr">
        <is>
          <t>聚丙烯塑膠</t>
        </is>
      </c>
      <c r="M321" s="2" t="inlineStr">
        <is>
          <t>透明</t>
        </is>
      </c>
      <c r="N321" s="2" t="inlineStr"/>
      <c r="O321" s="2" t="inlineStr">
        <is>
          <t>N</t>
        </is>
      </c>
      <c r="P321" s="2" t="n">
        <v>69</v>
      </c>
      <c r="Q321" s="2" t="inlineStr">
        <is>
          <t>2026-10-26</t>
        </is>
      </c>
      <c r="R321" s="3" t="inlineStr">
        <is>
          <t>https://www.ikea.com.tw/zh/products/boxes-and-organisers/boxes-and-baskets/samla-art-10180939</t>
        </is>
      </c>
      <c r="S321" s="2" t="inlineStr">
        <is>
          <t>官網</t>
        </is>
      </c>
      <c r="T321" s="2" t="inlineStr">
        <is>
          <t>high</t>
        </is>
      </c>
      <c r="U321" s="2" t="inlineStr">
        <is>
          <t>容積 11公升；同尺寸 SAMLA 收納盒蓋另售（5 公升用 28x20；11/22 公升用 39x28）；可搭配SAMLA收納盒蓋(11/22公升)，有效防塵且方便堆疊，蓋子內建卡扣設計﻿，可牢固緊扣盒身；適用於IVAR、OMAR、BROR等多款層架組；SAMLA系列產品中所有尺寸均可相互搭配使用；可搭配SAMLA 11/22公升收納盒蓋(需另購)</t>
        </is>
      </c>
      <c r="V321" s="2" t="inlineStr"/>
    </row>
    <row r="322">
      <c r="A322" s="2" t="inlineStr">
        <is>
          <t>IKEA-074</t>
        </is>
      </c>
      <c r="B322" s="2" t="inlineStr">
        <is>
          <t>IKEA</t>
        </is>
      </c>
      <c r="C322" s="2" t="inlineStr">
        <is>
          <t>SAMLA</t>
        </is>
      </c>
      <c r="D322" s="2" t="inlineStr">
        <is>
          <t>SAMLA 收納盒 39x28x28 公分/22 公升</t>
        </is>
      </c>
      <c r="E322" s="2" t="inlineStr">
        <is>
          <t>901.809.40</t>
        </is>
      </c>
      <c r="F322" s="2" t="n">
        <v>39</v>
      </c>
      <c r="G322" s="2" t="n">
        <v>28</v>
      </c>
      <c r="H322" s="2" t="n">
        <v>28</v>
      </c>
      <c r="I322" s="2" t="n"/>
      <c r="J322" s="2" t="n"/>
      <c r="K322" s="2" t="n"/>
      <c r="L322" s="2" t="inlineStr">
        <is>
          <t>聚丙烯塑膠</t>
        </is>
      </c>
      <c r="M322" s="2" t="inlineStr">
        <is>
          <t>透明</t>
        </is>
      </c>
      <c r="N322" s="2" t="inlineStr"/>
      <c r="O322" s="2" t="inlineStr">
        <is>
          <t>N</t>
        </is>
      </c>
      <c r="P322" s="2" t="n">
        <v>119</v>
      </c>
      <c r="Q322" s="2" t="inlineStr">
        <is>
          <t>2026-10-26</t>
        </is>
      </c>
      <c r="R322" s="3" t="inlineStr">
        <is>
          <t>https://www.ikea.com.tw/zh/products/boxes-and-organisers/boxes-and-baskets/samla-art-90180940</t>
        </is>
      </c>
      <c r="S322" s="2" t="inlineStr">
        <is>
          <t>官網</t>
        </is>
      </c>
      <c r="T322" s="2" t="inlineStr">
        <is>
          <t>high</t>
        </is>
      </c>
      <c r="U322" s="2" t="inlineStr">
        <is>
          <t>容積 22公升；同尺寸 SAMLA 收納盒蓋另售（5 公升用 28x20；11/22 公升用 39x28）；可搭配SAMLA收納盒蓋(11/22公升)，有效防塵且方便堆疊，蓋子內建卡扣設計﻿，可牢固緊扣盒身；適用於IVAR及BROR層架組；SAMLA系列產品中所有尺寸均可相互搭配使用；可搭配SAMLA 11/22公升收納盒蓋(需另購)</t>
        </is>
      </c>
      <c r="V322" s="2" t="inlineStr"/>
    </row>
    <row r="323">
      <c r="A323" s="2" t="inlineStr">
        <is>
          <t>IKEA-075</t>
        </is>
      </c>
      <c r="B323" s="2" t="inlineStr">
        <is>
          <t>IKEA</t>
        </is>
      </c>
      <c r="C323" s="2" t="inlineStr">
        <is>
          <t>SAMLA</t>
        </is>
      </c>
      <c r="D323" s="2" t="inlineStr">
        <is>
          <t>SAMLA 附蓋收納盒 28x20x14 公分/5 公升</t>
        </is>
      </c>
      <c r="E323" s="2" t="inlineStr">
        <is>
          <t>194.408.48</t>
        </is>
      </c>
      <c r="F323" s="2" t="n">
        <v>28</v>
      </c>
      <c r="G323" s="2" t="n">
        <v>20</v>
      </c>
      <c r="H323" s="2" t="n">
        <v>14</v>
      </c>
      <c r="I323" s="2" t="n"/>
      <c r="J323" s="2" t="n"/>
      <c r="K323" s="2" t="n"/>
      <c r="L323" s="2" t="inlineStr">
        <is>
          <t>聚丙烯塑膠</t>
        </is>
      </c>
      <c r="M323" s="2" t="inlineStr">
        <is>
          <t>透明</t>
        </is>
      </c>
      <c r="N323" s="2" t="inlineStr">
        <is>
          <t>Y</t>
        </is>
      </c>
      <c r="O323" s="2" t="inlineStr">
        <is>
          <t>Y</t>
        </is>
      </c>
      <c r="P323" s="2" t="n">
        <v>59</v>
      </c>
      <c r="Q323" s="2" t="inlineStr">
        <is>
          <t>2026-10-26</t>
        </is>
      </c>
      <c r="R323" s="3" t="inlineStr">
        <is>
          <t>https://www.ikea.com.tw/zh/products/boxes-and-organisers/boxes-and-baskets/samla-spr-19440848</t>
        </is>
      </c>
      <c r="S323" s="2" t="inlineStr">
        <is>
          <t>官網</t>
        </is>
      </c>
      <c r="T323" s="2" t="inlineStr">
        <is>
          <t>high</t>
        </is>
      </c>
      <c r="U323" s="2" t="inlineStr">
        <is>
          <t>容積 5公升；內建卡扣設計可固定蓋子，防污防塵，也方便堆疊收納；SAMLA系列產品中所有尺寸均可相互搭配使用；適用於IVAR及BROR層架組</t>
        </is>
      </c>
      <c r="V323" s="2" t="inlineStr"/>
    </row>
    <row r="324">
      <c r="A324" s="2" t="inlineStr">
        <is>
          <t>IKEA-076</t>
        </is>
      </c>
      <c r="B324" s="2" t="inlineStr">
        <is>
          <t>IKEA</t>
        </is>
      </c>
      <c r="C324" s="2" t="inlineStr">
        <is>
          <t>SAMLA</t>
        </is>
      </c>
      <c r="D324" s="2" t="inlineStr">
        <is>
          <t>SAMLA 附蓋收納盒 39x28x14 公分/11 公升</t>
        </is>
      </c>
      <c r="E324" s="2" t="inlineStr">
        <is>
          <t>494.408.37</t>
        </is>
      </c>
      <c r="F324" s="2" t="n">
        <v>39</v>
      </c>
      <c r="G324" s="2" t="n">
        <v>28</v>
      </c>
      <c r="H324" s="2" t="n">
        <v>14</v>
      </c>
      <c r="I324" s="2" t="n"/>
      <c r="J324" s="2" t="n"/>
      <c r="K324" s="2" t="n"/>
      <c r="L324" s="2" t="inlineStr">
        <is>
          <t>聚丙烯塑膠</t>
        </is>
      </c>
      <c r="M324" s="2" t="inlineStr">
        <is>
          <t>透明</t>
        </is>
      </c>
      <c r="N324" s="2" t="inlineStr">
        <is>
          <t>Y</t>
        </is>
      </c>
      <c r="O324" s="2" t="inlineStr">
        <is>
          <t>Y</t>
        </is>
      </c>
      <c r="P324" s="2" t="n">
        <v>99</v>
      </c>
      <c r="Q324" s="2" t="inlineStr">
        <is>
          <t>2026-10-26</t>
        </is>
      </c>
      <c r="R324" s="3" t="inlineStr">
        <is>
          <t>https://www.ikea.com.tw/zh/products/boxes-and-organisers/boxes-and-baskets/samla-spr-49440837</t>
        </is>
      </c>
      <c r="S324" s="2" t="inlineStr">
        <is>
          <t>官網</t>
        </is>
      </c>
      <c r="T324" s="2" t="inlineStr">
        <is>
          <t>high</t>
        </is>
      </c>
      <c r="U324" s="2" t="inlineStr">
        <is>
          <t>容積 11公升；內建卡扣設計可固定蓋子，防污防塵，也方便堆疊收納；適用於IVAR、OMAR、BROR等多款層架組；SAMLA系列產品中所有尺寸均可相互搭配使用</t>
        </is>
      </c>
      <c r="V324" s="2" t="inlineStr"/>
    </row>
    <row r="325">
      <c r="A325" s="2" t="inlineStr">
        <is>
          <t>IKEA-077</t>
        </is>
      </c>
      <c r="B325" s="2" t="inlineStr">
        <is>
          <t>IKEA</t>
        </is>
      </c>
      <c r="C325" s="2" t="inlineStr">
        <is>
          <t>SAMLA</t>
        </is>
      </c>
      <c r="D325" s="2" t="inlineStr">
        <is>
          <t>SAMLA 附蓋收納盒 39x28x28 公分/22 公升</t>
        </is>
      </c>
      <c r="E325" s="2" t="inlineStr">
        <is>
          <t>394.408.28</t>
        </is>
      </c>
      <c r="F325" s="2" t="n">
        <v>39</v>
      </c>
      <c r="G325" s="2" t="n">
        <v>28</v>
      </c>
      <c r="H325" s="2" t="n">
        <v>28</v>
      </c>
      <c r="I325" s="2" t="n"/>
      <c r="J325" s="2" t="n"/>
      <c r="K325" s="2" t="n"/>
      <c r="L325" s="2" t="inlineStr">
        <is>
          <t>聚丙烯塑膠</t>
        </is>
      </c>
      <c r="M325" s="2" t="inlineStr">
        <is>
          <t>透明</t>
        </is>
      </c>
      <c r="N325" s="2" t="inlineStr">
        <is>
          <t>Y</t>
        </is>
      </c>
      <c r="O325" s="2" t="inlineStr">
        <is>
          <t>Y</t>
        </is>
      </c>
      <c r="P325" s="2" t="n">
        <v>149</v>
      </c>
      <c r="Q325" s="2" t="inlineStr">
        <is>
          <t>2026-10-26</t>
        </is>
      </c>
      <c r="R325" s="3" t="inlineStr">
        <is>
          <t>https://www.ikea.com.tw/zh/products/boxes-and-organisers/boxes-and-baskets/samla-spr-39440828</t>
        </is>
      </c>
      <c r="S325" s="2" t="inlineStr">
        <is>
          <t>官網</t>
        </is>
      </c>
      <c r="T325" s="2" t="inlineStr">
        <is>
          <t>high</t>
        </is>
      </c>
      <c r="U325" s="2" t="inlineStr">
        <is>
          <t>容積 22公升；內建卡扣設計可固定蓋子，防污防塵，也方便堆疊收納；適用於IVAR、OMAR、BROR等多款層架組；SAMLA系列產品中所有尺寸均可相互搭配使用</t>
        </is>
      </c>
      <c r="V325" s="2" t="inlineStr"/>
    </row>
    <row r="326">
      <c r="A326" s="2" t="inlineStr">
        <is>
          <t>IKEA-078</t>
        </is>
      </c>
      <c r="B326" s="2" t="inlineStr">
        <is>
          <t>IKEA</t>
        </is>
      </c>
      <c r="C326" s="2" t="inlineStr">
        <is>
          <t>SAMLA</t>
        </is>
      </c>
      <c r="D326" s="2" t="inlineStr">
        <is>
          <t>SAMLA 附蓋分格收納盒 39x28x28 公分/22 公升</t>
        </is>
      </c>
      <c r="E326" s="2" t="inlineStr">
        <is>
          <t>496.515.75</t>
        </is>
      </c>
      <c r="F326" s="2" t="n">
        <v>39</v>
      </c>
      <c r="G326" s="2" t="n">
        <v>28</v>
      </c>
      <c r="H326" s="2" t="n">
        <v>28</v>
      </c>
      <c r="I326" s="2" t="n"/>
      <c r="J326" s="2" t="n"/>
      <c r="K326" s="2" t="n"/>
      <c r="L326" s="2" t="inlineStr">
        <is>
          <t>聚丙烯塑膠</t>
        </is>
      </c>
      <c r="M326" s="2" t="inlineStr">
        <is>
          <t>透明</t>
        </is>
      </c>
      <c r="N326" s="2" t="inlineStr"/>
      <c r="O326" s="2" t="inlineStr">
        <is>
          <t>Y</t>
        </is>
      </c>
      <c r="P326" s="2" t="n">
        <v>248</v>
      </c>
      <c r="Q326" s="2" t="inlineStr">
        <is>
          <t>2026-10-26</t>
        </is>
      </c>
      <c r="R326" s="3" t="inlineStr">
        <is>
          <t>https://www.ikea.com.tw/zh/products/boxes-and-organisers/storage-boxes-and-accessories/samla-spr-49651575</t>
        </is>
      </c>
      <c r="S326" s="2" t="inlineStr">
        <is>
          <t>官網</t>
        </is>
      </c>
      <c r="T326" s="2" t="inlineStr">
        <is>
          <t>high</t>
        </is>
      </c>
      <c r="U326" s="2" t="inlineStr">
        <is>
          <t>容積 22公升；適用於IVAR、OMAR、BROR等多款層架組；SAMLA系列產品中所有尺寸均可相互搭配使用；含2個儲物隔層，能讓你充分運用抽屜空間</t>
        </is>
      </c>
      <c r="V326" s="2" t="inlineStr"/>
    </row>
    <row r="327">
      <c r="A327" s="2" t="inlineStr">
        <is>
          <t>IKEA-079</t>
        </is>
      </c>
      <c r="B327" s="2" t="inlineStr">
        <is>
          <t>IKEA</t>
        </is>
      </c>
      <c r="C327" s="2" t="inlineStr">
        <is>
          <t>SAMLA</t>
        </is>
      </c>
      <c r="D327" s="2" t="inlineStr">
        <is>
          <t>SAMLA 附蓋收納盒 14x18x10 公分/1 公升</t>
        </is>
      </c>
      <c r="E327" s="2" t="inlineStr">
        <is>
          <t>606.306.09</t>
        </is>
      </c>
      <c r="F327" s="2" t="n">
        <v>14</v>
      </c>
      <c r="G327" s="2" t="n">
        <v>18</v>
      </c>
      <c r="H327" s="2" t="n">
        <v>10</v>
      </c>
      <c r="I327" s="2" t="n"/>
      <c r="J327" s="2" t="n"/>
      <c r="K327" s="2" t="n"/>
      <c r="L327" s="2" t="inlineStr">
        <is>
          <t>聚丙烯塑膠</t>
        </is>
      </c>
      <c r="M327" s="2" t="inlineStr">
        <is>
          <t>透明</t>
        </is>
      </c>
      <c r="N327" s="2" t="inlineStr">
        <is>
          <t>Y</t>
        </is>
      </c>
      <c r="O327" s="2" t="inlineStr">
        <is>
          <t>Y</t>
        </is>
      </c>
      <c r="P327" s="2" t="n"/>
      <c r="Q327" s="2" t="inlineStr">
        <is>
          <t>2026-10-26</t>
        </is>
      </c>
      <c r="R327" s="3" t="inlineStr">
        <is>
          <t>https://www.ikea.com.tw/zh/products/boxes-and-organisers/storage-boxes-and-accessories/samla-art-60630609</t>
        </is>
      </c>
      <c r="S327" s="2" t="inlineStr">
        <is>
          <t>官網</t>
        </is>
      </c>
      <c r="T327" s="2" t="inlineStr">
        <is>
          <t>high</t>
        </is>
      </c>
      <c r="U327" s="2" t="inlineStr">
        <is>
          <t>SET:606.306.09|69|2|2;同尺寸2件裝，整包價69；包裝內含 2件裝；容積 1公升；內建卡扣設計可固定蓋子，防污防塵，也方便堆疊收納；適用於IVAR、OMAR、BROR等多款層架組；SAMLA系列產品中所有尺寸均可相互搭配使用</t>
        </is>
      </c>
      <c r="V327" s="2" t="inlineStr">
        <is>
          <t>整組 NT$69，此尺寸 2 件／共 2 件</t>
        </is>
      </c>
    </row>
    <row r="328">
      <c r="A328" s="2" t="inlineStr">
        <is>
          <t>IKEA-080</t>
        </is>
      </c>
      <c r="B328" s="2" t="inlineStr">
        <is>
          <t>IKEA</t>
        </is>
      </c>
      <c r="C328" s="2" t="inlineStr">
        <is>
          <t>SKUBB</t>
        </is>
      </c>
      <c r="D328" s="2" t="inlineStr">
        <is>
          <t>SKUBB 儲物盒 3件組 20x38x12 公分</t>
        </is>
      </c>
      <c r="E328" s="2" t="inlineStr">
        <is>
          <t>806.305.85</t>
        </is>
      </c>
      <c r="F328" s="2" t="n">
        <v>20</v>
      </c>
      <c r="G328" s="2" t="n">
        <v>38</v>
      </c>
      <c r="H328" s="2" t="n">
        <v>12</v>
      </c>
      <c r="I328" s="2" t="n"/>
      <c r="J328" s="2" t="n"/>
      <c r="K328" s="2" t="n"/>
      <c r="L328" s="2" t="inlineStr">
        <is>
          <t>布料:100%聚酯纖維 (至少90%再生材料), 100 % 聚氨酯；嵌件:聚丙烯塑膠</t>
        </is>
      </c>
      <c r="M328" s="2" t="inlineStr">
        <is>
          <t>深灰色/白色</t>
        </is>
      </c>
      <c r="N328" s="2" t="inlineStr"/>
      <c r="O328" s="2" t="inlineStr">
        <is>
          <t>N</t>
        </is>
      </c>
      <c r="P328" s="2" t="n">
        <v>179</v>
      </c>
      <c r="Q328" s="2" t="inlineStr">
        <is>
          <t>2026-10-26</t>
        </is>
      </c>
      <c r="R328" s="3" t="inlineStr">
        <is>
          <t>https://www.ikea.com.tw/zh/products/clothes-and-shoe-organisers-and-accessories/clothes-and-shoes-organisers/skubb-art-80630585</t>
        </is>
      </c>
      <c r="S328" s="2" t="inlineStr">
        <is>
          <t>官網</t>
        </is>
      </c>
      <c r="T328" s="2" t="inlineStr">
        <is>
          <t>high</t>
        </is>
      </c>
      <c r="U328" s="2" t="inlineStr">
        <is>
          <t>3件組；官網尺寸欄僅列單一尺寸 20x38x12 公分，未分列各件尺寸；各色商品編號：深灰色=806.305.85、白色=306.305.83；可將襪子、皮帶和首飾妥善收納在抽屜櫃及衣櫃；適合放在3個抽屜的GULLABERG和STORKLINTA抽屜櫃內，或4/6個抽屜的STORKLINTA抽屜櫃內</t>
        </is>
      </c>
      <c r="V328" s="2" t="inlineStr"/>
    </row>
    <row r="329">
      <c r="A329" s="2" t="inlineStr">
        <is>
          <t>IKEA-081</t>
        </is>
      </c>
      <c r="B329" s="2" t="inlineStr">
        <is>
          <t>IKEA</t>
        </is>
      </c>
      <c r="C329" s="2" t="inlineStr">
        <is>
          <t>SKUBB</t>
        </is>
      </c>
      <c r="D329" s="2" t="inlineStr">
        <is>
          <t>SKUBB 收納盒 3件組 31x34x33 公分</t>
        </is>
      </c>
      <c r="E329" s="2" t="inlineStr">
        <is>
          <t>101.863.90</t>
        </is>
      </c>
      <c r="F329" s="2" t="n">
        <v>31</v>
      </c>
      <c r="G329" s="2" t="n">
        <v>34</v>
      </c>
      <c r="H329" s="2" t="n">
        <v>33</v>
      </c>
      <c r="I329" s="2" t="n"/>
      <c r="J329" s="2" t="n"/>
      <c r="K329" s="2" t="n"/>
      <c r="L329" s="2" t="inlineStr">
        <is>
          <t>布料:100%聚酯纖維 (至少90%再生材料)；嵌件:聚丙烯塑膠</t>
        </is>
      </c>
      <c r="M329" s="2" t="inlineStr">
        <is>
          <t>白色</t>
        </is>
      </c>
      <c r="N329" s="2" t="inlineStr"/>
      <c r="O329" s="2" t="inlineStr">
        <is>
          <t>N</t>
        </is>
      </c>
      <c r="P329" s="2" t="n"/>
      <c r="Q329" s="2" t="inlineStr">
        <is>
          <t>2026-10-26</t>
        </is>
      </c>
      <c r="R329" s="3" t="inlineStr">
        <is>
          <t>https://www.ikea.com.tw/zh/products/clothes-and-shoe-organisers-and-accessories/clothes-and-shoes-organisers/skubb-art-10186390</t>
        </is>
      </c>
      <c r="S329" s="2" t="inlineStr">
        <is>
          <t>官網</t>
        </is>
      </c>
      <c r="T329" s="2" t="inlineStr">
        <is>
          <t>high</t>
        </is>
      </c>
      <c r="U329" s="2" t="inlineStr">
        <is>
          <t>SET:101.863.90|499|3|3; 套組內 3 件同尺寸（官網包裝件數 3 件裝）；包裝內含 3件裝；可並排放入寬100公分衣櫃；專為35公分深PAX櫃框所設計</t>
        </is>
      </c>
      <c r="V329" s="2" t="inlineStr">
        <is>
          <t>整組 NT$499，此尺寸 3 件／共 3 件</t>
        </is>
      </c>
    </row>
    <row r="330">
      <c r="A330" s="2" t="inlineStr">
        <is>
          <t>IKEA-082</t>
        </is>
      </c>
      <c r="B330" s="2" t="inlineStr">
        <is>
          <t>IKEA</t>
        </is>
      </c>
      <c r="C330" s="2" t="inlineStr">
        <is>
          <t>SKUBB</t>
        </is>
      </c>
      <c r="D330" s="2" t="inlineStr">
        <is>
          <t>SKUBB 鞋盒 22x34x16 公分</t>
        </is>
      </c>
      <c r="E330" s="2" t="inlineStr">
        <is>
          <t>004.729.81</t>
        </is>
      </c>
      <c r="F330" s="2" t="n">
        <v>22</v>
      </c>
      <c r="G330" s="2" t="n">
        <v>34</v>
      </c>
      <c r="H330" s="2" t="n">
        <v>16</v>
      </c>
      <c r="I330" s="2" t="n"/>
      <c r="J330" s="2" t="n"/>
      <c r="K330" s="2" t="n"/>
      <c r="L330" s="2" t="inlineStr">
        <is>
          <t>布料:100%聚酯纖維 (至少90%再生材料)；嵌件:聚丙烯塑膠</t>
        </is>
      </c>
      <c r="M330" s="2" t="inlineStr">
        <is>
          <t>深灰色/白色</t>
        </is>
      </c>
      <c r="N330" s="2" t="inlineStr"/>
      <c r="O330" s="2" t="inlineStr">
        <is>
          <t>N</t>
        </is>
      </c>
      <c r="P330" s="2" t="n"/>
      <c r="Q330" s="2" t="inlineStr">
        <is>
          <t>2026-10-26</t>
        </is>
      </c>
      <c r="R330" s="3" t="inlineStr">
        <is>
          <t>https://www.ikea.com.tw/zh/products/clothes-and-shoe-organisers-and-accessories/clothes-and-shoes-organisers/skubb-art-00472981</t>
        </is>
      </c>
      <c r="S330" s="2" t="inlineStr">
        <is>
          <t>官網</t>
        </is>
      </c>
      <c r="T330" s="2" t="inlineStr">
        <is>
          <t>high</t>
        </is>
      </c>
      <c r="U330" s="2" t="inlineStr">
        <is>
          <t>SET:004.729.81|329|4|4;同尺寸4件裝，整包價329；包裝內含 4件裝；各色商品編號：深灰色=004.729.81、白色=801.863.96；可並排放入100公分寬衣櫃；專為35公分深PAX櫃框所設計</t>
        </is>
      </c>
      <c r="V330" s="2" t="inlineStr">
        <is>
          <t>整組 NT$329，此尺寸 4 件／共 4 件</t>
        </is>
      </c>
    </row>
    <row r="331">
      <c r="A331" s="2" t="inlineStr">
        <is>
          <t>IKEA-083</t>
        </is>
      </c>
      <c r="B331" s="2" t="inlineStr">
        <is>
          <t>IKEA</t>
        </is>
      </c>
      <c r="C331" s="2" t="inlineStr">
        <is>
          <t>SKYFFEL</t>
        </is>
      </c>
      <c r="D331" s="2" t="inlineStr">
        <is>
          <t>SKYFFEL 置物籃 33x37x33 公分</t>
        </is>
      </c>
      <c r="E331" s="2" t="inlineStr">
        <is>
          <t>504.359.48</t>
        </is>
      </c>
      <c r="F331" s="2" t="n">
        <v>33</v>
      </c>
      <c r="G331" s="2" t="n">
        <v>37</v>
      </c>
      <c r="H331" s="2" t="n">
        <v>33</v>
      </c>
      <c r="I331" s="2" t="n"/>
      <c r="J331" s="2" t="n"/>
      <c r="K331" s="2" t="n"/>
      <c r="L331" s="2" t="inlineStr">
        <is>
          <t>聚丙烯塑膠 (至少50%再生材料)</t>
        </is>
      </c>
      <c r="M331" s="2" t="inlineStr">
        <is>
          <t>塑膠 白色/塑膠 黑色</t>
        </is>
      </c>
      <c r="N331" s="2" t="inlineStr"/>
      <c r="O331" s="2" t="inlineStr">
        <is>
          <t>N</t>
        </is>
      </c>
      <c r="P331" s="2" t="n">
        <v>299</v>
      </c>
      <c r="Q331" s="2" t="inlineStr">
        <is>
          <t>2026-10-26</t>
        </is>
      </c>
      <c r="R331" s="3" t="inlineStr">
        <is>
          <t>https://www.ikea.com.tw/zh/products/boxes-and-organisers/boxes-and-baskets/skyffel-art-50435948</t>
        </is>
      </c>
      <c r="S331" s="2" t="inlineStr">
        <is>
          <t>官網</t>
        </is>
      </c>
      <c r="T331" s="2" t="inlineStr">
        <is>
          <t>high</t>
        </is>
      </c>
      <c r="U331" s="2" t="inlineStr">
        <is>
          <t>各色商品編號：塑膠 白色=504.359.48、塑膠 黑色=304.359.49；適用於KALLAX層架組；適用KALLAX層架組</t>
        </is>
      </c>
      <c r="V331" s="2" t="inlineStr"/>
    </row>
    <row r="332">
      <c r="A332" s="2" t="inlineStr">
        <is>
          <t>IKEA-084</t>
        </is>
      </c>
      <c r="B332" s="2" t="inlineStr">
        <is>
          <t>IKEA</t>
        </is>
      </c>
      <c r="C332" s="2" t="inlineStr">
        <is>
          <t>SLÅTTERVALL</t>
        </is>
      </c>
      <c r="D332" s="2" t="inlineStr">
        <is>
          <t>SLÅTTERVALL 置物籃 32x35x32 公分</t>
        </is>
      </c>
      <c r="E332" s="2" t="inlineStr">
        <is>
          <t>506.124.27</t>
        </is>
      </c>
      <c r="F332" s="2" t="n">
        <v>32</v>
      </c>
      <c r="G332" s="2" t="n">
        <v>35</v>
      </c>
      <c r="H332" s="2" t="n">
        <v>32</v>
      </c>
      <c r="I332" s="2" t="n"/>
      <c r="J332" s="2" t="n"/>
      <c r="K332" s="2" t="n"/>
      <c r="L332" s="2" t="inlineStr">
        <is>
          <t>100%聚酯纖維 (至少90%再生材料)</t>
        </is>
      </c>
      <c r="M332" s="2" t="inlineStr">
        <is>
          <t>布質</t>
        </is>
      </c>
      <c r="N332" s="2" t="inlineStr"/>
      <c r="O332" s="2" t="inlineStr">
        <is>
          <t>N</t>
        </is>
      </c>
      <c r="P332" s="2" t="n">
        <v>199</v>
      </c>
      <c r="Q332" s="2" t="inlineStr">
        <is>
          <t>2026-10-26</t>
        </is>
      </c>
      <c r="R332" s="3" t="inlineStr">
        <is>
          <t>https://www.ikea.com.tw/zh/products/boxes-and-organisers/boxes-and-baskets/slattervall-art-50612427</t>
        </is>
      </c>
      <c r="S332" s="2" t="inlineStr">
        <is>
          <t>官網</t>
        </is>
      </c>
      <c r="T332" s="2" t="inlineStr">
        <is>
          <t>high</t>
        </is>
      </c>
      <c r="U332" s="2" t="inlineStr">
        <is>
          <t>官網標示為長度×寬度×高度，outer_d 填「長度」值；尺寸依KALLAX層架組設計；適用於LASTARE系統衣櫃</t>
        </is>
      </c>
      <c r="V332" s="2" t="inlineStr"/>
    </row>
    <row r="333">
      <c r="A333" s="2" t="inlineStr">
        <is>
          <t>IKEA-085</t>
        </is>
      </c>
      <c r="B333" s="2" t="inlineStr">
        <is>
          <t>IKEA</t>
        </is>
      </c>
      <c r="C333" s="2" t="inlineStr">
        <is>
          <t>SLÅTTERÄNG</t>
        </is>
      </c>
      <c r="D333" s="2" t="inlineStr">
        <is>
          <t>SLÅTTERÄNG 置物籃 25x32x15 公分</t>
        </is>
      </c>
      <c r="E333" s="2" t="inlineStr">
        <is>
          <t>906.258.09</t>
        </is>
      </c>
      <c r="F333" s="2" t="n">
        <v>25</v>
      </c>
      <c r="G333" s="2" t="n">
        <v>32</v>
      </c>
      <c r="H333" s="2" t="n">
        <v>15</v>
      </c>
      <c r="I333" s="2" t="n"/>
      <c r="J333" s="2" t="n"/>
      <c r="K333" s="2" t="n"/>
      <c r="L333" s="2" t="inlineStr">
        <is>
          <t>鋼質, 環氧/聚酯粉末塗料</t>
        </is>
      </c>
      <c r="M333" s="2" t="inlineStr">
        <is>
          <t>淺乳白色/碳黑色</t>
        </is>
      </c>
      <c r="N333" s="2" t="inlineStr"/>
      <c r="O333" s="2" t="inlineStr">
        <is>
          <t>N</t>
        </is>
      </c>
      <c r="P333" s="2" t="n">
        <v>149</v>
      </c>
      <c r="Q333" s="2" t="inlineStr">
        <is>
          <t>2026-10-26</t>
        </is>
      </c>
      <c r="R333" s="3" t="inlineStr">
        <is>
          <t>https://www.ikea.com.tw/zh/products/boxes-and-organisers/boxes-and-baskets/slatterang-art-90625809</t>
        </is>
      </c>
      <c r="S333" s="2" t="inlineStr">
        <is>
          <t>官網</t>
        </is>
      </c>
      <c r="T333" s="2" t="inlineStr">
        <is>
          <t>high</t>
        </is>
      </c>
      <c r="U333" s="2" t="inlineStr">
        <is>
          <t>官網標示為長度×寬度×高度，outer_d 填「長度」值；各色商品編號：淺乳白色=906.258.09、碳黑色=106.258.08；金屬材質堅固耐用，不僅可讓小物品整齊有序，也為層架增添獨特裝飾感</t>
        </is>
      </c>
      <c r="V333" s="2" t="inlineStr"/>
    </row>
    <row r="334">
      <c r="A334" s="2" t="inlineStr">
        <is>
          <t>IKEA-086</t>
        </is>
      </c>
      <c r="B334" s="2" t="inlineStr">
        <is>
          <t>IKEA</t>
        </is>
      </c>
      <c r="C334" s="2" t="inlineStr">
        <is>
          <t>SMARRA</t>
        </is>
      </c>
      <c r="D334" s="2" t="inlineStr">
        <is>
          <t>SMARRA 附蓋收納盒 30x30x23 公分</t>
        </is>
      </c>
      <c r="E334" s="2" t="inlineStr">
        <is>
          <t>403.480.65</t>
        </is>
      </c>
      <c r="F334" s="2" t="n">
        <v>30</v>
      </c>
      <c r="G334" s="2" t="n">
        <v>30</v>
      </c>
      <c r="H334" s="2" t="n">
        <v>23</v>
      </c>
      <c r="I334" s="2" t="n"/>
      <c r="J334" s="2" t="n"/>
      <c r="K334" s="2" t="n"/>
      <c r="L334" s="2" t="inlineStr">
        <is>
          <t>竹, 壓克力亮光漆</t>
        </is>
      </c>
      <c r="M334" s="2" t="inlineStr">
        <is>
          <t>自然色</t>
        </is>
      </c>
      <c r="N334" s="2" t="inlineStr"/>
      <c r="O334" s="2" t="inlineStr">
        <is>
          <t>Y</t>
        </is>
      </c>
      <c r="P334" s="2" t="n">
        <v>549</v>
      </c>
      <c r="Q334" s="2" t="inlineStr">
        <is>
          <t>2026-10-26</t>
        </is>
      </c>
      <c r="R334" s="3" t="inlineStr">
        <is>
          <t>https://www.ikea.com.tw/zh/products/boxes-and-organisers/boxes-and-baskets/smarra-art-40348065</t>
        </is>
      </c>
      <c r="S334" s="2" t="inlineStr">
        <is>
          <t>官網</t>
        </is>
      </c>
      <c r="T334" s="2" t="inlineStr">
        <is>
          <t>high</t>
        </is>
      </c>
      <c r="U334" s="2" t="inlineStr">
        <is>
          <t>適用於深35公分EKET收納櫃及含深30公分層板的其他收納家具</t>
        </is>
      </c>
      <c r="V334" s="2" t="inlineStr"/>
    </row>
    <row r="335">
      <c r="A335" s="2" t="inlineStr">
        <is>
          <t>IKEA-087</t>
        </is>
      </c>
      <c r="B335" s="2" t="inlineStr">
        <is>
          <t>IKEA</t>
        </is>
      </c>
      <c r="C335" s="2" t="inlineStr">
        <is>
          <t>SOCKERBIT</t>
        </is>
      </c>
      <c r="D335" s="2" t="inlineStr">
        <is>
          <t>SOCKERBIT 收納盒 19x26x15 公分</t>
        </is>
      </c>
      <c r="E335" s="2" t="inlineStr">
        <is>
          <t>703.161.81</t>
        </is>
      </c>
      <c r="F335" s="2" t="n">
        <v>19</v>
      </c>
      <c r="G335" s="2" t="n">
        <v>26</v>
      </c>
      <c r="H335" s="2" t="n">
        <v>15</v>
      </c>
      <c r="I335" s="2" t="n"/>
      <c r="J335" s="2" t="n"/>
      <c r="K335" s="2" t="n"/>
      <c r="L335" s="2" t="inlineStr">
        <is>
          <t>聚丙烯塑膠 (至少20%再生材料)</t>
        </is>
      </c>
      <c r="M335" s="2" t="inlineStr">
        <is>
          <t>白色</t>
        </is>
      </c>
      <c r="N335" s="2" t="inlineStr"/>
      <c r="O335" s="2" t="inlineStr">
        <is>
          <t>N</t>
        </is>
      </c>
      <c r="P335" s="2" t="n">
        <v>99</v>
      </c>
      <c r="Q335" s="2" t="inlineStr">
        <is>
          <t>2026-10-26</t>
        </is>
      </c>
      <c r="R335" s="3" t="inlineStr">
        <is>
          <t>https://www.ikea.com.tw/zh/products/boxes-and-organisers/boxes-and-baskets/sockerbit-art-70316181</t>
        </is>
      </c>
      <c r="S335" s="2" t="inlineStr">
        <is>
          <t>官網</t>
        </is>
      </c>
      <c r="T335" s="2" t="inlineStr">
        <is>
          <t>high</t>
        </is>
      </c>
      <c r="U335" s="2" t="inlineStr">
        <is>
          <t>官網標示為長度×寬度×高度，outer_d 填「長度」值；適用於有最少達19公分深層架的櫃或架內</t>
        </is>
      </c>
      <c r="V335" s="2" t="inlineStr"/>
    </row>
    <row r="336">
      <c r="A336" s="2" t="inlineStr">
        <is>
          <t>IKEA-088</t>
        </is>
      </c>
      <c r="B336" s="2" t="inlineStr">
        <is>
          <t>IKEA</t>
        </is>
      </c>
      <c r="C336" s="2" t="inlineStr">
        <is>
          <t>SOCKERBIT</t>
        </is>
      </c>
      <c r="D336" s="2" t="inlineStr">
        <is>
          <t>SOCKERBIT 附蓋收納盒 38x25x15 公分</t>
        </is>
      </c>
      <c r="E336" s="2" t="inlineStr">
        <is>
          <t>503.160.64</t>
        </is>
      </c>
      <c r="F336" s="2" t="n">
        <v>38</v>
      </c>
      <c r="G336" s="2" t="n">
        <v>25</v>
      </c>
      <c r="H336" s="2" t="n">
        <v>15</v>
      </c>
      <c r="I336" s="2" t="n"/>
      <c r="J336" s="2" t="n"/>
      <c r="K336" s="2" t="n"/>
      <c r="L336" s="2" t="inlineStr">
        <is>
          <t>聚丙烯塑膠 (至少20%再生材料)</t>
        </is>
      </c>
      <c r="M336" s="2" t="inlineStr">
        <is>
          <t>白色</t>
        </is>
      </c>
      <c r="N336" s="2" t="inlineStr">
        <is>
          <t>Y</t>
        </is>
      </c>
      <c r="O336" s="2" t="inlineStr">
        <is>
          <t>Y</t>
        </is>
      </c>
      <c r="P336" s="2" t="n">
        <v>179</v>
      </c>
      <c r="Q336" s="2" t="inlineStr">
        <is>
          <t>2026-10-26</t>
        </is>
      </c>
      <c r="R336" s="3" t="inlineStr">
        <is>
          <t>https://www.ikea.com.tw/zh/products/boxes-and-organisers/boxes-and-baskets/sockerbit-art-50316064</t>
        </is>
      </c>
      <c r="S336" s="2" t="inlineStr">
        <is>
          <t>官網</t>
        </is>
      </c>
      <c r="T336" s="2" t="inlineStr">
        <is>
          <t>high</t>
        </is>
      </c>
      <c r="U336" s="2" t="inlineStr">
        <is>
          <t>不同尺寸的收納盒可相互堆疊；可搭配深度達30公分的HEJNE和IVAR層架或其他最少有25公分深的收納櫃或架使用</t>
        </is>
      </c>
      <c r="V336" s="2" t="inlineStr"/>
    </row>
    <row r="337">
      <c r="A337" s="2" t="inlineStr">
        <is>
          <t>IKEA-089</t>
        </is>
      </c>
      <c r="B337" s="2" t="inlineStr">
        <is>
          <t>IKEA</t>
        </is>
      </c>
      <c r="C337" s="2" t="inlineStr">
        <is>
          <t>SOPPROT</t>
        </is>
      </c>
      <c r="D337" s="2" t="inlineStr">
        <is>
          <t>SOPPROT 組合式抽屜盒 12x26x12 公分</t>
        </is>
      </c>
      <c r="E337" s="2" t="inlineStr">
        <is>
          <t>104.359.45</t>
        </is>
      </c>
      <c r="F337" s="2" t="n">
        <v>12</v>
      </c>
      <c r="G337" s="2" t="n">
        <v>26</v>
      </c>
      <c r="H337" s="2" t="n">
        <v>12</v>
      </c>
      <c r="I337" s="2" t="n"/>
      <c r="J337" s="2" t="n"/>
      <c r="K337" s="2" t="n"/>
      <c r="L337" s="2" t="inlineStr">
        <is>
          <t>框架:聚丙烯塑膠, 聚丙烯塑膠；抽屜:聚丙烯塑膠</t>
        </is>
      </c>
      <c r="M337" s="2" t="inlineStr">
        <is>
          <t>透明白色</t>
        </is>
      </c>
      <c r="N337" s="2" t="inlineStr">
        <is>
          <t>Y</t>
        </is>
      </c>
      <c r="O337" s="2" t="inlineStr">
        <is>
          <t>N</t>
        </is>
      </c>
      <c r="P337" s="2" t="n">
        <v>149</v>
      </c>
      <c r="Q337" s="2" t="inlineStr">
        <is>
          <t>2026-10-26</t>
        </is>
      </c>
      <c r="R337" s="3" t="inlineStr">
        <is>
          <t>https://www.ikea.com.tw/zh/products/boxes-and-organisers/boxes-and-baskets/sopprot-art-10435945</t>
        </is>
      </c>
      <c r="S337" s="2" t="inlineStr">
        <is>
          <t>官網</t>
        </is>
      </c>
      <c r="T337" s="2" t="inlineStr">
        <is>
          <t>high</t>
        </is>
      </c>
      <c r="U337" s="2" t="inlineStr">
        <is>
          <t>可依需求搭配和堆疊；僅能搭配同深度的抽屜組；最高可疊放3組</t>
        </is>
      </c>
      <c r="V337" s="2" t="inlineStr"/>
    </row>
    <row r="338">
      <c r="A338" s="2" t="inlineStr">
        <is>
          <t>IKEA-090</t>
        </is>
      </c>
      <c r="B338" s="2" t="inlineStr">
        <is>
          <t>IKEA</t>
        </is>
      </c>
      <c r="C338" s="2" t="inlineStr">
        <is>
          <t>SOPPROT</t>
        </is>
      </c>
      <c r="D338" s="2" t="inlineStr">
        <is>
          <t>SOPPROT 組合式抽屜盒 25x26x12 公分</t>
        </is>
      </c>
      <c r="E338" s="2" t="inlineStr">
        <is>
          <t>904.359.46</t>
        </is>
      </c>
      <c r="F338" s="2" t="n">
        <v>25</v>
      </c>
      <c r="G338" s="2" t="n">
        <v>26</v>
      </c>
      <c r="H338" s="2" t="n">
        <v>12</v>
      </c>
      <c r="I338" s="2" t="n"/>
      <c r="J338" s="2" t="n"/>
      <c r="K338" s="2" t="n"/>
      <c r="L338" s="2" t="inlineStr">
        <is>
          <t>抽屜:聚丙烯塑膠；框架:聚丙烯塑膠, 聚丙烯塑膠</t>
        </is>
      </c>
      <c r="M338" s="2" t="inlineStr">
        <is>
          <t>透明白色</t>
        </is>
      </c>
      <c r="N338" s="2" t="inlineStr">
        <is>
          <t>Y</t>
        </is>
      </c>
      <c r="O338" s="2" t="inlineStr">
        <is>
          <t>N</t>
        </is>
      </c>
      <c r="P338" s="2" t="n">
        <v>249</v>
      </c>
      <c r="Q338" s="2" t="inlineStr">
        <is>
          <t>2026-10-26</t>
        </is>
      </c>
      <c r="R338" s="3" t="inlineStr">
        <is>
          <t>https://www.ikea.com.tw/zh/products/boxes-and-organisers/boxes-and-baskets/sopprot-art-90435946</t>
        </is>
      </c>
      <c r="S338" s="2" t="inlineStr">
        <is>
          <t>官網</t>
        </is>
      </c>
      <c r="T338" s="2" t="inlineStr">
        <is>
          <t>high</t>
        </is>
      </c>
      <c r="U338" s="2" t="inlineStr">
        <is>
          <t>可依需求搭配和堆疊 可拉出；僅能搭配同深度的抽屜組；最高可疊放3組</t>
        </is>
      </c>
      <c r="V338" s="2" t="inlineStr"/>
    </row>
    <row r="339">
      <c r="A339" s="2" t="inlineStr">
        <is>
          <t>IKEA-091</t>
        </is>
      </c>
      <c r="B339" s="2" t="inlineStr">
        <is>
          <t>IKEA</t>
        </is>
      </c>
      <c r="C339" s="2" t="inlineStr">
        <is>
          <t>SOPPROT</t>
        </is>
      </c>
      <c r="D339" s="2" t="inlineStr">
        <is>
          <t>SOPPROT 組合式抽屜盒 38x26x12 公分</t>
        </is>
      </c>
      <c r="E339" s="2" t="inlineStr">
        <is>
          <t>704.359.47</t>
        </is>
      </c>
      <c r="F339" s="2" t="n">
        <v>38</v>
      </c>
      <c r="G339" s="2" t="n">
        <v>26</v>
      </c>
      <c r="H339" s="2" t="n">
        <v>12</v>
      </c>
      <c r="I339" s="2" t="n"/>
      <c r="J339" s="2" t="n"/>
      <c r="K339" s="2" t="n"/>
      <c r="L339" s="2" t="inlineStr">
        <is>
          <t>框架:聚丙烯塑膠, 聚丙烯塑膠；抽屜:聚丙烯塑膠</t>
        </is>
      </c>
      <c r="M339" s="2" t="inlineStr">
        <is>
          <t>透明白色</t>
        </is>
      </c>
      <c r="N339" s="2" t="inlineStr">
        <is>
          <t>Y</t>
        </is>
      </c>
      <c r="O339" s="2" t="inlineStr">
        <is>
          <t>N</t>
        </is>
      </c>
      <c r="P339" s="2" t="n">
        <v>299</v>
      </c>
      <c r="Q339" s="2" t="inlineStr">
        <is>
          <t>2026-10-26</t>
        </is>
      </c>
      <c r="R339" s="3" t="inlineStr">
        <is>
          <t>https://www.ikea.com.tw/zh/products/boxes-and-organisers/boxes-and-baskets/sopprot-art-70435947</t>
        </is>
      </c>
      <c r="S339" s="2" t="inlineStr">
        <is>
          <t>官網</t>
        </is>
      </c>
      <c r="T339" s="2" t="inlineStr">
        <is>
          <t>high</t>
        </is>
      </c>
      <c r="U339" s="2" t="inlineStr">
        <is>
          <t>可依需求搭配和堆疊；僅能搭配同深度的抽屜組；最高可疊放3組</t>
        </is>
      </c>
      <c r="V339" s="2" t="inlineStr"/>
    </row>
    <row r="340">
      <c r="A340" s="2" t="inlineStr">
        <is>
          <t>IKEA-092</t>
        </is>
      </c>
      <c r="B340" s="2" t="inlineStr">
        <is>
          <t>IKEA</t>
        </is>
      </c>
      <c r="C340" s="2" t="inlineStr">
        <is>
          <t>STACKSTOD</t>
        </is>
      </c>
      <c r="D340" s="2" t="inlineStr">
        <is>
          <t>STACKSTOD 文具收納盒 32x18x16 公分</t>
        </is>
      </c>
      <c r="E340" s="2" t="inlineStr">
        <is>
          <t>306.201.45</t>
        </is>
      </c>
      <c r="F340" s="2" t="n">
        <v>32</v>
      </c>
      <c r="G340" s="2" t="n">
        <v>18</v>
      </c>
      <c r="H340" s="2" t="n">
        <v>16</v>
      </c>
      <c r="I340" s="2" t="n"/>
      <c r="J340" s="2" t="n"/>
      <c r="K340" s="2" t="n"/>
      <c r="L340" s="2" t="inlineStr">
        <is>
          <t>收納盒:聚丙烯塑膠 (至少50%再生材料)</t>
        </is>
      </c>
      <c r="M340" s="2" t="inlineStr">
        <is>
          <t>紅色</t>
        </is>
      </c>
      <c r="N340" s="2" t="inlineStr"/>
      <c r="O340" s="2" t="inlineStr">
        <is>
          <t>N</t>
        </is>
      </c>
      <c r="P340" s="2" t="n">
        <v>99</v>
      </c>
      <c r="Q340" s="2" t="inlineStr">
        <is>
          <t>2026-10-26</t>
        </is>
      </c>
      <c r="R340" s="3" t="inlineStr">
        <is>
          <t>https://www.ikea.com.tw/zh/products/boxes-and-organisers/organisers/stackstod-art-30620145</t>
        </is>
      </c>
      <c r="S340" s="2" t="inlineStr">
        <is>
          <t>官網</t>
        </is>
      </c>
      <c r="T340" s="2" t="inlineStr">
        <is>
          <t>high</t>
        </is>
      </c>
      <c r="U340" s="2" t="inlineStr"/>
      <c r="V340" s="2" t="inlineStr"/>
    </row>
    <row r="341">
      <c r="A341" s="2" t="inlineStr">
        <is>
          <t>IKEA-093</t>
        </is>
      </c>
      <c r="B341" s="2" t="inlineStr">
        <is>
          <t>IKEA</t>
        </is>
      </c>
      <c r="C341" s="2" t="inlineStr">
        <is>
          <t>STUK</t>
        </is>
      </c>
      <c r="D341" s="2" t="inlineStr">
        <is>
          <t>STUK 分格收納盒 17x32x10 公分</t>
        </is>
      </c>
      <c r="E341" s="2" t="inlineStr">
        <is>
          <t>506.215.25</t>
        </is>
      </c>
      <c r="F341" s="2" t="n">
        <v>17</v>
      </c>
      <c r="G341" s="2" t="n">
        <v>32</v>
      </c>
      <c r="H341" s="2" t="n">
        <v>10</v>
      </c>
      <c r="I341" s="2" t="n"/>
      <c r="J341" s="2" t="n"/>
      <c r="K341" s="2" t="n"/>
      <c r="L341" s="2" t="inlineStr">
        <is>
          <t>布料:100%聚酯纖維 (至少90%再生材料)；夾層材質:聚丙烯塑膠</t>
        </is>
      </c>
      <c r="M341" s="2" t="inlineStr">
        <is>
          <t>白色+黑色</t>
        </is>
      </c>
      <c r="N341" s="2" t="inlineStr"/>
      <c r="O341" s="2" t="inlineStr">
        <is>
          <t>N</t>
        </is>
      </c>
      <c r="P341" s="2" t="n">
        <v>99</v>
      </c>
      <c r="Q341" s="2" t="inlineStr">
        <is>
          <t>2026-10-26</t>
        </is>
      </c>
      <c r="R341" s="3" t="inlineStr">
        <is>
          <t>https://www.ikea.com.tw/zh/products/clothes-and-shoe-organisers-and-accessories/clothes-and-shoes-organisers/stuk-art-50621525</t>
        </is>
      </c>
      <c r="S341" s="2" t="inlineStr">
        <is>
          <t>官網</t>
        </is>
      </c>
      <c r="T341" s="2" t="inlineStr">
        <is>
          <t>high</t>
        </is>
      </c>
      <c r="U341" s="2" t="inlineStr">
        <is>
          <t>尺寸適合LASTARE和PLATSA收納系列，輕鬆整理衣櫃或抽屜中的襪子、內衣及其他小物品；適用於LASTARE系統衣櫃；適用於PLATSA衣櫃；LASTARE框架/抽屜櫃(60x42公分)：可剛好放入3個STUK分格收納盒(17x32x10公分)</t>
        </is>
      </c>
      <c r="V341" s="2" t="inlineStr"/>
    </row>
    <row r="342">
      <c r="A342" s="2" t="inlineStr">
        <is>
          <t>IKEA-094</t>
        </is>
      </c>
      <c r="B342" s="2" t="inlineStr">
        <is>
          <t>IKEA</t>
        </is>
      </c>
      <c r="C342" s="2" t="inlineStr">
        <is>
          <t>SÄTTING</t>
        </is>
      </c>
      <c r="D342" s="2" t="inlineStr">
        <is>
          <t>SÄTTING 附蓋電線收納盒 32x14x13 公分</t>
        </is>
      </c>
      <c r="E342" s="2" t="inlineStr">
        <is>
          <t>305.346.28</t>
        </is>
      </c>
      <c r="F342" s="2" t="n">
        <v>32</v>
      </c>
      <c r="G342" s="2" t="n">
        <v>14</v>
      </c>
      <c r="H342" s="2" t="n">
        <v>13</v>
      </c>
      <c r="I342" s="2" t="n"/>
      <c r="J342" s="2" t="n"/>
      <c r="K342" s="2" t="n"/>
      <c r="L342" s="2" t="inlineStr">
        <is>
          <t>ABS塑膠</t>
        </is>
      </c>
      <c r="M342" s="2" t="inlineStr"/>
      <c r="N342" s="2" t="inlineStr"/>
      <c r="O342" s="2" t="inlineStr">
        <is>
          <t>Y</t>
        </is>
      </c>
      <c r="P342" s="2" t="n">
        <v>249</v>
      </c>
      <c r="Q342" s="2" t="inlineStr">
        <is>
          <t>2026-10-26</t>
        </is>
      </c>
      <c r="R342" s="3" t="inlineStr">
        <is>
          <t>https://www.ikea.com.tw/zh/products/boxes-and-organisers/organisers/satting-art-30534628</t>
        </is>
      </c>
      <c r="S342" s="2" t="inlineStr">
        <is>
          <t>官網</t>
        </is>
      </c>
      <c r="T342" s="2" t="inlineStr">
        <is>
          <t>high</t>
        </is>
      </c>
      <c r="U342" s="2" t="inlineStr"/>
      <c r="V342" s="2" t="inlineStr"/>
    </row>
    <row r="343">
      <c r="A343" s="2" t="inlineStr">
        <is>
          <t>IKEA-095</t>
        </is>
      </c>
      <c r="B343" s="2" t="inlineStr">
        <is>
          <t>IKEA</t>
        </is>
      </c>
      <c r="C343" s="2" t="inlineStr">
        <is>
          <t>UPPDATERA</t>
        </is>
      </c>
      <c r="D343" s="2" t="inlineStr">
        <is>
          <t>UPPDATERA 收納盒 24x17 公分</t>
        </is>
      </c>
      <c r="E343" s="2" t="inlineStr">
        <is>
          <t>806.105.49</t>
        </is>
      </c>
      <c r="F343" s="2" t="n">
        <v>24</v>
      </c>
      <c r="G343" s="2" t="n">
        <v>17</v>
      </c>
      <c r="H343" s="2" t="n">
        <v>10</v>
      </c>
      <c r="I343" s="2" t="n"/>
      <c r="J343" s="2" t="n"/>
      <c r="K343" s="2" t="n"/>
      <c r="L343" s="2" t="inlineStr">
        <is>
          <t>聚丙烯塑膠 (至少50%再生材料)</t>
        </is>
      </c>
      <c r="M343" s="2" t="inlineStr">
        <is>
          <t>灰藍色/白色/碳黑色/紅棕色</t>
        </is>
      </c>
      <c r="N343" s="2" t="inlineStr"/>
      <c r="O343" s="2" t="inlineStr">
        <is>
          <t>N</t>
        </is>
      </c>
      <c r="P343" s="2" t="n">
        <v>59</v>
      </c>
      <c r="Q343" s="2" t="inlineStr">
        <is>
          <t>2026-10-26</t>
        </is>
      </c>
      <c r="R343" s="3" t="inlineStr">
        <is>
          <t>https://www.ikea.com.tw/zh/products/boxes-and-organisers/boxes-and-baskets/uppdatera-art-80610549</t>
        </is>
      </c>
      <c r="S343" s="2" t="inlineStr">
        <is>
          <t>官網</t>
        </is>
      </c>
      <c r="T343" s="2" t="inlineStr">
        <is>
          <t>high</t>
        </is>
      </c>
      <c r="U343" s="2" t="inlineStr">
        <is>
          <t>各色商品編號：灰藍色=806.105.49、白色=005.464.68、碳黑色=205.040.52、紅棕色=406.105.51；UPPDATERA收納盒設有兩個好握的把手，方便你將它們從抽屜或層架內拿出帶到有需要的地方；可以搭配其他UPPDATERA收納盒使用，盡量善用廚房抽屜內的空間；可搭配其他UPPDATERA廚房用具置放盆一併使用；UPPDATERA收納盒輕巧，方便四處移動，加上兩邊有把手孔，輕鬆方便就能從廚房的抽屜或層架中拿出來</t>
        </is>
      </c>
      <c r="V343" s="2" t="inlineStr"/>
    </row>
    <row r="344">
      <c r="A344" s="2" t="inlineStr">
        <is>
          <t>IKEA-096</t>
        </is>
      </c>
      <c r="B344" s="2" t="inlineStr">
        <is>
          <t>IKEA</t>
        </is>
      </c>
      <c r="C344" s="2" t="inlineStr">
        <is>
          <t>UPPDATERA</t>
        </is>
      </c>
      <c r="D344" s="2" t="inlineStr">
        <is>
          <t>UPPDATERA 收納盒 34x24 公分</t>
        </is>
      </c>
      <c r="E344" s="2" t="inlineStr">
        <is>
          <t>205.464.72</t>
        </is>
      </c>
      <c r="F344" s="2" t="n">
        <v>33.5</v>
      </c>
      <c r="G344" s="2" t="n">
        <v>24</v>
      </c>
      <c r="H344" s="2" t="n">
        <v>14.5</v>
      </c>
      <c r="I344" s="2" t="n"/>
      <c r="J344" s="2" t="n"/>
      <c r="K344" s="2" t="n"/>
      <c r="L344" s="2" t="inlineStr">
        <is>
          <t>聚丙烯塑膠 (至少50%再生材料)</t>
        </is>
      </c>
      <c r="M344" s="2" t="inlineStr">
        <is>
          <t>白色/碳黑色</t>
        </is>
      </c>
      <c r="N344" s="2" t="inlineStr"/>
      <c r="O344" s="2" t="inlineStr">
        <is>
          <t>N</t>
        </is>
      </c>
      <c r="P344" s="2" t="n">
        <v>89</v>
      </c>
      <c r="Q344" s="2" t="inlineStr">
        <is>
          <t>2026-10-26</t>
        </is>
      </c>
      <c r="R344" s="3" t="inlineStr">
        <is>
          <t>https://www.ikea.com.tw/zh/products/boxes-and-organisers/boxes-and-baskets/uppdatera-art-20546472</t>
        </is>
      </c>
      <c r="S344" s="2" t="inlineStr">
        <is>
          <t>官網</t>
        </is>
      </c>
      <c r="T344" s="2" t="inlineStr">
        <is>
          <t>high</t>
        </is>
      </c>
      <c r="U344" s="2" t="inlineStr">
        <is>
          <t>各色商品編號：白色=205.464.72、碳黑色=006.105.53；UPPDATERA收納盒輕巧，方便四處移動，加上兩邊有把手孔，輕鬆方便就能從廚房的抽屜或層架中拿出來；可搭配其他UPPDATERA廚房用具置放盆一併使用；UPPDATERA收納盒設有兩個好握的把手，方便你將它們從抽屜或層架內拿出帶到有需要的地方；可以搭配其他UPPDATERA收納盒使用，盡量善用廚房抽屜內的空間</t>
        </is>
      </c>
      <c r="V344" s="2" t="inlineStr"/>
    </row>
    <row r="345">
      <c r="A345" s="2" t="inlineStr">
        <is>
          <t>IKEA-097</t>
        </is>
      </c>
      <c r="B345" s="2" t="inlineStr">
        <is>
          <t>IKEA</t>
        </is>
      </c>
      <c r="C345" s="2" t="inlineStr">
        <is>
          <t>UPPDATERA</t>
        </is>
      </c>
      <c r="D345" s="2" t="inlineStr">
        <is>
          <t>UPPDATERA 收納箱 16x24x15 公分</t>
        </is>
      </c>
      <c r="E345" s="2" t="inlineStr">
        <is>
          <t>205.207.21</t>
        </is>
      </c>
      <c r="F345" s="2" t="n">
        <v>16</v>
      </c>
      <c r="G345" s="2" t="n">
        <v>24</v>
      </c>
      <c r="H345" s="2" t="n">
        <v>15</v>
      </c>
      <c r="I345" s="2" t="n"/>
      <c r="J345" s="2" t="n"/>
      <c r="K345" s="2" t="n"/>
      <c r="L345" s="2" t="inlineStr">
        <is>
          <t>基本材質:竹, 染色, 透明漆；底座:纖維板, 竹子貼皮, 染色, 透明漆</t>
        </is>
      </c>
      <c r="M345" s="2" t="inlineStr">
        <is>
          <t>淺色竹</t>
        </is>
      </c>
      <c r="N345" s="2" t="inlineStr"/>
      <c r="O345" s="2" t="inlineStr">
        <is>
          <t>N</t>
        </is>
      </c>
      <c r="P345" s="2" t="n">
        <v>399</v>
      </c>
      <c r="Q345" s="2" t="inlineStr">
        <is>
          <t>2026-10-26</t>
        </is>
      </c>
      <c r="R345" s="3" t="inlineStr">
        <is>
          <t>https://www.ikea.com.tw/zh/products/boxes-and-organisers/boxes-and-baskets/uppdatera-art-20520721</t>
        </is>
      </c>
      <c r="S345" s="2" t="inlineStr">
        <is>
          <t>官網</t>
        </is>
      </c>
      <c r="T345" s="2" t="inlineStr">
        <is>
          <t>high</t>
        </is>
      </c>
      <c r="U345" s="2" t="inlineStr">
        <is>
          <t>可搭配UPPDATERA抽屜間隔，盡量利用廚房抽屜中的每寸空間</t>
        </is>
      </c>
      <c r="V345" s="2" t="inlineStr"/>
    </row>
    <row r="346">
      <c r="A346" s="2" t="inlineStr">
        <is>
          <t>IKEA-098</t>
        </is>
      </c>
      <c r="B346" s="2" t="inlineStr">
        <is>
          <t>IKEA</t>
        </is>
      </c>
      <c r="C346" s="2" t="inlineStr">
        <is>
          <t>UPPDATERA</t>
        </is>
      </c>
      <c r="D346" s="2" t="inlineStr">
        <is>
          <t>UPPDATERA 收納箱 24x32x15 公分</t>
        </is>
      </c>
      <c r="E346" s="2" t="inlineStr">
        <is>
          <t>005.207.22</t>
        </is>
      </c>
      <c r="F346" s="2" t="n">
        <v>24</v>
      </c>
      <c r="G346" s="2" t="n">
        <v>32</v>
      </c>
      <c r="H346" s="2" t="n">
        <v>15</v>
      </c>
      <c r="I346" s="2" t="n"/>
      <c r="J346" s="2" t="n"/>
      <c r="K346" s="2" t="n"/>
      <c r="L346" s="2" t="inlineStr">
        <is>
          <t>基本材質:竹, 染色, 透明漆；底座:纖維板, 竹子貼皮, 染色, 透明漆</t>
        </is>
      </c>
      <c r="M346" s="2" t="inlineStr">
        <is>
          <t>淺色竹</t>
        </is>
      </c>
      <c r="N346" s="2" t="inlineStr">
        <is>
          <t>Y</t>
        </is>
      </c>
      <c r="O346" s="2" t="inlineStr">
        <is>
          <t>N</t>
        </is>
      </c>
      <c r="P346" s="2" t="n">
        <v>599</v>
      </c>
      <c r="Q346" s="2" t="inlineStr">
        <is>
          <t>2026-10-26</t>
        </is>
      </c>
      <c r="R346" s="3" t="inlineStr">
        <is>
          <t>https://www.ikea.com.tw/zh/products/boxes-and-organisers/boxes-and-baskets/uppdatera-art-00520722</t>
        </is>
      </c>
      <c r="S346" s="2" t="inlineStr">
        <is>
          <t>官網</t>
        </is>
      </c>
      <c r="T346" s="2" t="inlineStr">
        <is>
          <t>high</t>
        </is>
      </c>
      <c r="U346" s="2" t="inlineStr">
        <is>
          <t>可搭配UPPDATERA抽屜間隔，盡量利用廚房抽屜中的每寸空間</t>
        </is>
      </c>
      <c r="V346" s="2" t="inlineStr"/>
    </row>
    <row r="347">
      <c r="A347" s="2" t="inlineStr">
        <is>
          <t>IKEA-099</t>
        </is>
      </c>
      <c r="B347" s="2" t="inlineStr">
        <is>
          <t>IKEA</t>
        </is>
      </c>
      <c r="C347" s="2" t="inlineStr">
        <is>
          <t>UPPDATERA</t>
        </is>
      </c>
      <c r="D347" s="2" t="inlineStr">
        <is>
          <t>UPPDATERA 刀叉收納盤 32x31 公分</t>
        </is>
      </c>
      <c r="E347" s="2" t="inlineStr">
        <is>
          <t>404.864.10</t>
        </is>
      </c>
      <c r="F347" s="2" t="n">
        <v>31.6</v>
      </c>
      <c r="G347" s="2" t="n">
        <v>30.6</v>
      </c>
      <c r="H347" s="2" t="n">
        <v>5</v>
      </c>
      <c r="I347" s="2" t="n"/>
      <c r="J347" s="2" t="n"/>
      <c r="K347" s="2" t="n"/>
      <c r="L347" s="2" t="inlineStr">
        <is>
          <t>聚丙烯塑膠 (至少20%再生材料), 合成橡膠</t>
        </is>
      </c>
      <c r="M347" s="2" t="inlineStr">
        <is>
          <t>白色</t>
        </is>
      </c>
      <c r="N347" s="2" t="inlineStr"/>
      <c r="O347" s="2" t="inlineStr">
        <is>
          <t>N</t>
        </is>
      </c>
      <c r="P347" s="2" t="n">
        <v>159</v>
      </c>
      <c r="Q347" s="2" t="inlineStr">
        <is>
          <t>2026-10-26</t>
        </is>
      </c>
      <c r="R347" s="3" t="inlineStr">
        <is>
          <t>https://www.ikea.com.tw/zh/products/kitchen-accessories/kitchen-interior-organisers/uppdatera-art-40486410</t>
        </is>
      </c>
      <c r="S347" s="2" t="inlineStr">
        <is>
          <t>官網</t>
        </is>
      </c>
      <c r="T347" s="2" t="inlineStr">
        <is>
          <t>high</t>
        </is>
      </c>
      <c r="U347" s="2" t="inlineStr">
        <is>
          <t>適用於寬40公分的MAXIMERA抽屜內。 其他尺寸的抽屜，則可搭配UPPDATERA系列的其他間隔配件，最大地善用空間；方便整齊收納餐具和廚具，讓你快速找到抽屜內的物品，開始烹飪；可保護餐具和廚具，避免放在抽屜內刮傷或受損；可搭配其他UPPDATERA抽屜收納間隔使用，增加廚櫃抽屜的空間</t>
        </is>
      </c>
      <c r="V347" s="2" t="inlineStr"/>
    </row>
    <row r="348">
      <c r="A348" s="2" t="inlineStr">
        <is>
          <t>IKEA-100</t>
        </is>
      </c>
      <c r="B348" s="2" t="inlineStr">
        <is>
          <t>IKEA</t>
        </is>
      </c>
      <c r="C348" s="2" t="inlineStr">
        <is>
          <t>UPPDATERA</t>
        </is>
      </c>
      <c r="D348" s="2" t="inlineStr">
        <is>
          <t>UPPDATERA 廚房用具置放盤 20x31 公分</t>
        </is>
      </c>
      <c r="E348" s="2" t="inlineStr">
        <is>
          <t>604.864.09</t>
        </is>
      </c>
      <c r="F348" s="2" t="n">
        <v>20</v>
      </c>
      <c r="G348" s="2" t="n">
        <v>30.6</v>
      </c>
      <c r="H348" s="2" t="n">
        <v>5</v>
      </c>
      <c r="I348" s="2" t="n"/>
      <c r="J348" s="2" t="n"/>
      <c r="K348" s="2" t="n"/>
      <c r="L348" s="2" t="inlineStr">
        <is>
          <t>聚丙烯塑膠 (至少20%再生材料), 合成橡膠</t>
        </is>
      </c>
      <c r="M348" s="2" t="inlineStr">
        <is>
          <t>白色</t>
        </is>
      </c>
      <c r="N348" s="2" t="inlineStr"/>
      <c r="O348" s="2" t="inlineStr">
        <is>
          <t>N</t>
        </is>
      </c>
      <c r="P348" s="2" t="n">
        <v>79</v>
      </c>
      <c r="Q348" s="2" t="inlineStr">
        <is>
          <t>2026-10-26</t>
        </is>
      </c>
      <c r="R348" s="3" t="inlineStr">
        <is>
          <t>https://www.ikea.com.tw/zh/products/kitchen-accessories/kitchen-interior-organisers/uppdatera-art-60486409</t>
        </is>
      </c>
      <c r="S348" s="2" t="inlineStr">
        <is>
          <t>官網</t>
        </is>
      </c>
      <c r="T348" s="2" t="inlineStr">
        <is>
          <t>high</t>
        </is>
      </c>
      <c r="U348" s="2" t="inlineStr">
        <is>
          <t>方便整齊收納餐具和廚具，讓你快速找到抽屜內的物品，開始烹飪；可保護廚具，避免放在抽屜內刮傷或受損；可搭配其他UPPDATERA抽屜收納間隔使用，增加廚櫃抽屜的空間；當你拉開或關上抽屜時，托盤底的膠腳可防止它在抽屜內滑動，即使你的抽屜較托盤稍為大一點</t>
        </is>
      </c>
      <c r="V348" s="2" t="inlineStr"/>
    </row>
    <row r="349">
      <c r="A349" s="2" t="inlineStr">
        <is>
          <t>IKEA-101</t>
        </is>
      </c>
      <c r="B349" s="2" t="inlineStr">
        <is>
          <t>IKEA</t>
        </is>
      </c>
      <c r="C349" s="2" t="inlineStr">
        <is>
          <t>UPPDATERA</t>
        </is>
      </c>
      <c r="D349" s="2" t="inlineStr">
        <is>
          <t>UPPDATERA 餐具收納籃 12x12 公分</t>
        </is>
      </c>
      <c r="E349" s="2" t="inlineStr">
        <is>
          <t>004.864.26</t>
        </is>
      </c>
      <c r="F349" s="2" t="n">
        <v>12</v>
      </c>
      <c r="G349" s="2" t="n">
        <v>12</v>
      </c>
      <c r="H349" s="2" t="n">
        <v>24.3</v>
      </c>
      <c r="I349" s="2" t="n"/>
      <c r="J349" s="2" t="n"/>
      <c r="K349" s="2" t="n"/>
      <c r="L349" s="2" t="inlineStr">
        <is>
          <t>籃/ 手把/ 下燈管:鋼質, 環氧樹脂塗料, 粉末塗層；分隔板/ 底部夾層材質:聚丙烯塑膠</t>
        </is>
      </c>
      <c r="M349" s="2" t="inlineStr">
        <is>
          <t>碳黑色</t>
        </is>
      </c>
      <c r="N349" s="2" t="inlineStr"/>
      <c r="O349" s="2" t="inlineStr">
        <is>
          <t>N</t>
        </is>
      </c>
      <c r="P349" s="2" t="n">
        <v>129</v>
      </c>
      <c r="Q349" s="2" t="inlineStr">
        <is>
          <t>2026-10-26</t>
        </is>
      </c>
      <c r="R349" s="3" t="inlineStr">
        <is>
          <t>https://www.ikea.com.tw/zh/products/kitchen-accessories/kitchen-interior-organisers/uppdatera-art-00486426</t>
        </is>
      </c>
      <c r="S349" s="2" t="inlineStr">
        <is>
          <t>官網</t>
        </is>
      </c>
      <c r="T349" s="2" t="inlineStr">
        <is>
          <t>high</t>
        </is>
      </c>
      <c r="U349" s="2" t="inlineStr">
        <is>
          <t>官網標示為長度×寬度×高度，outer_d 填「長度」值；將它放在抽屜內或是廚房工作檯上，方便隨時取用；可搭配其他UPPDATERA廚房用具置放盆一併使用</t>
        </is>
      </c>
      <c r="V349" s="2" t="inlineStr"/>
    </row>
    <row r="350">
      <c r="A350" s="2" t="inlineStr">
        <is>
          <t>IKEA-102</t>
        </is>
      </c>
      <c r="B350" s="2" t="inlineStr">
        <is>
          <t>IKEA</t>
        </is>
      </c>
      <c r="C350" s="2" t="inlineStr">
        <is>
          <t>UPPSNOFSAD</t>
        </is>
      </c>
      <c r="D350" s="2" t="inlineStr">
        <is>
          <t>UPPSNOFSAD 收納盒 25x17x12 公分/3.5 公升</t>
        </is>
      </c>
      <c r="E350" s="2" t="inlineStr">
        <is>
          <t>604.407.65</t>
        </is>
      </c>
      <c r="F350" s="2" t="n">
        <v>17</v>
      </c>
      <c r="G350" s="2" t="n">
        <v>25</v>
      </c>
      <c r="H350" s="2" t="n">
        <v>11.5</v>
      </c>
      <c r="I350" s="2" t="n"/>
      <c r="J350" s="2" t="n"/>
      <c r="K350" s="2" t="n"/>
      <c r="L350" s="2" t="inlineStr">
        <is>
          <t>聚丙烯 (至少50%再生材料)</t>
        </is>
      </c>
      <c r="M350" s="2" t="inlineStr">
        <is>
          <t>黑色/透明白色</t>
        </is>
      </c>
      <c r="N350" s="2" t="inlineStr">
        <is>
          <t>Y</t>
        </is>
      </c>
      <c r="O350" s="2" t="inlineStr">
        <is>
          <t>N</t>
        </is>
      </c>
      <c r="P350" s="2" t="n">
        <v>29</v>
      </c>
      <c r="Q350" s="2" t="inlineStr">
        <is>
          <t>2026-10-26</t>
        </is>
      </c>
      <c r="R350" s="3" t="inlineStr">
        <is>
          <t>https://www.ikea.com.tw/zh/products/boxes-and-organisers/boxes-and-baskets/uppsnofsad-art-60440765</t>
        </is>
      </c>
      <c r="S350" s="2" t="inlineStr">
        <is>
          <t>官網</t>
        </is>
      </c>
      <c r="T350" s="2" t="inlineStr">
        <is>
          <t>high</t>
        </is>
      </c>
      <c r="U350" s="2" t="inlineStr">
        <is>
          <t>官網標示為長度×寬度×高度，outer_d 填「長度」值；容積 3.5公升；各色商品編號：黑色=604.407.65、透明白色=206.442.84；同尺寸 UPPSNOFSAD 蓋子另售；可堆疊，都能讓你清楚看到收納物</t>
        </is>
      </c>
      <c r="V350" s="2" t="inlineStr"/>
    </row>
    <row r="351">
      <c r="A351" s="2" t="inlineStr">
        <is>
          <t>IKEA-103</t>
        </is>
      </c>
      <c r="B351" s="2" t="inlineStr">
        <is>
          <t>IKEA</t>
        </is>
      </c>
      <c r="C351" s="2" t="inlineStr">
        <is>
          <t>UPPSNOFSAD</t>
        </is>
      </c>
      <c r="D351" s="2" t="inlineStr">
        <is>
          <t>UPPSNOFSAD 收納盒 35x25x14 公分/9 公升</t>
        </is>
      </c>
      <c r="E351" s="2" t="inlineStr">
        <is>
          <t>305.982.05</t>
        </is>
      </c>
      <c r="F351" s="2" t="n">
        <v>25</v>
      </c>
      <c r="G351" s="2" t="n">
        <v>35</v>
      </c>
      <c r="H351" s="2" t="n">
        <v>14</v>
      </c>
      <c r="I351" s="2" t="n"/>
      <c r="J351" s="2" t="n"/>
      <c r="K351" s="2" t="n"/>
      <c r="L351" s="2" t="inlineStr">
        <is>
          <t>聚丙烯 (至少50%再生材料)</t>
        </is>
      </c>
      <c r="M351" s="2" t="inlineStr">
        <is>
          <t>黑色/透明白色</t>
        </is>
      </c>
      <c r="N351" s="2" t="inlineStr">
        <is>
          <t>Y</t>
        </is>
      </c>
      <c r="O351" s="2" t="inlineStr">
        <is>
          <t>N</t>
        </is>
      </c>
      <c r="P351" s="2" t="n">
        <v>49</v>
      </c>
      <c r="Q351" s="2" t="inlineStr">
        <is>
          <t>2026-10-26</t>
        </is>
      </c>
      <c r="R351" s="3" t="inlineStr">
        <is>
          <t>https://www.ikea.com.tw/zh/products/boxes-and-organisers/storage-boxes-and-accessories/uppsnofsad-art-30598205</t>
        </is>
      </c>
      <c r="S351" s="2" t="inlineStr">
        <is>
          <t>官網</t>
        </is>
      </c>
      <c r="T351" s="2" t="inlineStr">
        <is>
          <t>high</t>
        </is>
      </c>
      <c r="U351" s="2" t="inlineStr">
        <is>
          <t>官網標示為長度×寬度×高度，outer_d 填「長度」值；容積 9公升；各色商品編號：黑色=305.982.05、透明白色=906.442.85；同尺寸 UPPSNOFSAD 蓋子另售；可堆疊，都能讓你清楚看到收納物；適用於最少有25公分深的收納家具和層架上</t>
        </is>
      </c>
      <c r="V351" s="2" t="inlineStr"/>
    </row>
    <row r="352">
      <c r="A352" s="2" t="inlineStr">
        <is>
          <t>IKEA-104</t>
        </is>
      </c>
      <c r="B352" s="2" t="inlineStr">
        <is>
          <t>IKEA</t>
        </is>
      </c>
      <c r="C352" s="2" t="inlineStr">
        <is>
          <t>UPPSNOFSAD</t>
        </is>
      </c>
      <c r="D352" s="2" t="inlineStr">
        <is>
          <t>UPPSNOFSAD 附蓋收納盒 35x25x14 公分/9 公升</t>
        </is>
      </c>
      <c r="E352" s="2" t="inlineStr">
        <is>
          <t>295.999.94</t>
        </is>
      </c>
      <c r="F352" s="2" t="n">
        <v>25</v>
      </c>
      <c r="G352" s="2" t="n">
        <v>35</v>
      </c>
      <c r="H352" s="2" t="n">
        <v>14</v>
      </c>
      <c r="I352" s="2" t="n"/>
      <c r="J352" s="2" t="n"/>
      <c r="K352" s="2" t="n"/>
      <c r="L352" s="2" t="inlineStr">
        <is>
          <t>聚丙烯 (至少50%再生材料)</t>
        </is>
      </c>
      <c r="M352" s="2" t="inlineStr">
        <is>
          <t>黑色/透明</t>
        </is>
      </c>
      <c r="N352" s="2" t="inlineStr"/>
      <c r="O352" s="2" t="inlineStr">
        <is>
          <t>Y</t>
        </is>
      </c>
      <c r="P352" s="2" t="n">
        <v>79</v>
      </c>
      <c r="Q352" s="2" t="inlineStr">
        <is>
          <t>2026-10-26</t>
        </is>
      </c>
      <c r="R352" s="3" t="inlineStr">
        <is>
          <t>https://www.ikea.com.tw/zh/products/boxes-and-organisers/storage-boxes-and-accessories/uppsnofsad-spr-29599994</t>
        </is>
      </c>
      <c r="S352" s="2" t="inlineStr">
        <is>
          <t>官網</t>
        </is>
      </c>
      <c r="T352" s="2" t="inlineStr">
        <is>
          <t>high</t>
        </is>
      </c>
      <c r="U352" s="2" t="inlineStr">
        <is>
          <t>官網標示為長度×寬度×高度，outer_d 填「長度」值；容積 9公升；收納盒＋蓋子組合，外寸為官網組合尺寸；內附：1 x 收納盒 UPPSNOFSAD 35x25x14 公分/9 公升 1 x 蓋子 UPPSNOFSAD 35x25 公分；各色商品編號：黑色=295.999.94、透明=496.300.74</t>
        </is>
      </c>
      <c r="V352" s="2" t="inlineStr"/>
    </row>
    <row r="353">
      <c r="A353" s="2" t="inlineStr">
        <is>
          <t>IKEA-105</t>
        </is>
      </c>
      <c r="B353" s="2" t="inlineStr">
        <is>
          <t>IKEA</t>
        </is>
      </c>
      <c r="C353" s="2" t="inlineStr">
        <is>
          <t>UPPSNOFSAD</t>
        </is>
      </c>
      <c r="D353" s="2" t="inlineStr">
        <is>
          <t>UPPSNOFSAD 附蓋收納盒 25x17x12 公分/3.5 公升</t>
        </is>
      </c>
      <c r="E353" s="2" t="inlineStr">
        <is>
          <t>696.300.73</t>
        </is>
      </c>
      <c r="F353" s="2" t="n">
        <v>17</v>
      </c>
      <c r="G353" s="2" t="n">
        <v>25</v>
      </c>
      <c r="H353" s="2" t="n">
        <v>12</v>
      </c>
      <c r="I353" s="2" t="n"/>
      <c r="J353" s="2" t="n"/>
      <c r="K353" s="2" t="n"/>
      <c r="L353" s="2" t="inlineStr">
        <is>
          <t>聚丙烯塑膠</t>
        </is>
      </c>
      <c r="M353" s="2" t="inlineStr">
        <is>
          <t>透明</t>
        </is>
      </c>
      <c r="N353" s="2" t="inlineStr"/>
      <c r="O353" s="2" t="inlineStr">
        <is>
          <t>Y</t>
        </is>
      </c>
      <c r="P353" s="2" t="n">
        <v>39</v>
      </c>
      <c r="Q353" s="2" t="inlineStr">
        <is>
          <t>2026-10-26</t>
        </is>
      </c>
      <c r="R353" s="3" t="inlineStr">
        <is>
          <t>https://www.ikea.com.tw/zh/products/boxes-and-organisers/storage-boxes-and-accessories/uppsnofsad-spr-69630073</t>
        </is>
      </c>
      <c r="S353" s="2" t="inlineStr">
        <is>
          <t>官網</t>
        </is>
      </c>
      <c r="T353" s="2" t="inlineStr">
        <is>
          <t>high</t>
        </is>
      </c>
      <c r="U353" s="2" t="inlineStr">
        <is>
          <t>官網標示為長度×寬度×高度，outer_d 填「長度」值；容積 3.5公升；收納盒＋蓋子組合，外寸為官網組合尺寸；內附：1 x 收納盒 UPPSNOFSAD 25x17x12 公分/3.5 公升 1 x 蓋子 UPPSNOFSAD 25x17 公分</t>
        </is>
      </c>
      <c r="V353" s="2" t="inlineStr"/>
    </row>
    <row r="354">
      <c r="A354" s="2" t="inlineStr">
        <is>
          <t>IKEA-106</t>
        </is>
      </c>
      <c r="B354" s="2" t="inlineStr">
        <is>
          <t>IKEA</t>
        </is>
      </c>
      <c r="C354" s="2" t="inlineStr">
        <is>
          <t>VATTENTRÅG</t>
        </is>
      </c>
      <c r="D354" s="2" t="inlineStr">
        <is>
          <t>VATTENTRÅG 附蓋收納盒 32x23x10 公分</t>
        </is>
      </c>
      <c r="E354" s="2" t="inlineStr">
        <is>
          <t>005.510.92</t>
        </is>
      </c>
      <c r="F354" s="2" t="n">
        <v>32</v>
      </c>
      <c r="G354" s="2" t="n">
        <v>23</v>
      </c>
      <c r="H354" s="2" t="n">
        <v>10</v>
      </c>
      <c r="I354" s="2" t="n"/>
      <c r="J354" s="2" t="n"/>
      <c r="K354" s="2" t="n"/>
      <c r="L354" s="2" t="inlineStr">
        <is>
          <t>100%再生瓦楞板</t>
        </is>
      </c>
      <c r="M354" s="2" t="inlineStr"/>
      <c r="N354" s="2" t="inlineStr"/>
      <c r="O354" s="2" t="inlineStr">
        <is>
          <t>Y</t>
        </is>
      </c>
      <c r="P354" s="2" t="n">
        <v>29</v>
      </c>
      <c r="Q354" s="2" t="inlineStr">
        <is>
          <t>2026-10-26</t>
        </is>
      </c>
      <c r="R354" s="3" t="inlineStr">
        <is>
          <t>https://www.ikea.com.tw/zh/products/boxes-and-organisers/boxes-and-baskets/vattentrag-art-00551092</t>
        </is>
      </c>
      <c r="S354" s="2" t="inlineStr">
        <is>
          <t>官網</t>
        </is>
      </c>
      <c r="T354" s="2" t="inlineStr">
        <is>
          <t>high</t>
        </is>
      </c>
      <c r="U354" s="2" t="inlineStr"/>
      <c r="V354" s="2" t="inlineStr"/>
    </row>
    <row r="355">
      <c r="A355" s="2" t="inlineStr">
        <is>
          <t>IKEA-107</t>
        </is>
      </c>
      <c r="B355" s="2" t="inlineStr">
        <is>
          <t>IKEA</t>
        </is>
      </c>
      <c r="C355" s="2" t="inlineStr">
        <is>
          <t>SKUBB</t>
        </is>
      </c>
      <c r="D355" s="2" t="inlineStr">
        <is>
          <t>SKUBB 收納盒 6件組（拆件 14x14x13）</t>
        </is>
      </c>
      <c r="E355" s="2" t="inlineStr">
        <is>
          <t>004.729.57</t>
        </is>
      </c>
      <c r="F355" s="2" t="n">
        <v>14</v>
      </c>
      <c r="G355" s="2" t="n">
        <v>14</v>
      </c>
      <c r="H355" s="2" t="n">
        <v>13</v>
      </c>
      <c r="I355" s="2" t="n"/>
      <c r="J355" s="2" t="n"/>
      <c r="K355" s="2" t="n"/>
      <c r="L355" s="2" t="inlineStr">
        <is>
          <t>布料:100%聚酯纖維 (至少90%再生材料)；嵌件:聚丙烯塑膠</t>
        </is>
      </c>
      <c r="M355" s="2" t="inlineStr">
        <is>
          <t>深灰色/白色</t>
        </is>
      </c>
      <c r="N355" s="2" t="inlineStr"/>
      <c r="O355" s="2" t="inlineStr">
        <is>
          <t>N</t>
        </is>
      </c>
      <c r="P355" s="2" t="n"/>
      <c r="Q355" s="2" t="inlineStr">
        <is>
          <t>2026-10-26</t>
        </is>
      </c>
      <c r="R355" s="3" t="inlineStr">
        <is>
          <t>https://www.ikea.com.tw/zh/products/boxes-and-organisers/organisers/skubb-art-00472957</t>
        </is>
      </c>
      <c r="S355" s="2" t="inlineStr">
        <is>
          <t>官網</t>
        </is>
      </c>
      <c r="T355" s="2" t="inlineStr">
        <is>
          <t>high</t>
        </is>
      </c>
      <c r="U355" s="2" t="inlineStr">
        <is>
          <t>SET:004.729.57|249|2|6; 套組拆件，不單售；官網說明「尺寸：14x14x13公分、28x14x13公分和28x28x13公分；各2件」；尺寸取自官網說明文字，寬/深依文字順序（官網未分別標示寬深）；白色套組編號 204.285.53（同價 249）；可將襪子、皮帶和首飾收納在抽屜櫃及衣櫃</t>
        </is>
      </c>
      <c r="V355" s="2" t="inlineStr">
        <is>
          <t>整組 NT$249，此尺寸 2 件／共 6 件</t>
        </is>
      </c>
    </row>
    <row r="356">
      <c r="A356" s="2" t="inlineStr">
        <is>
          <t>IKEA-108</t>
        </is>
      </c>
      <c r="B356" s="2" t="inlineStr">
        <is>
          <t>IKEA</t>
        </is>
      </c>
      <c r="C356" s="2" t="inlineStr">
        <is>
          <t>SKUBB</t>
        </is>
      </c>
      <c r="D356" s="2" t="inlineStr">
        <is>
          <t>SKUBB 收納盒 6件組（拆件 28x14x13）</t>
        </is>
      </c>
      <c r="E356" s="2" t="inlineStr">
        <is>
          <t>004.729.57</t>
        </is>
      </c>
      <c r="F356" s="2" t="n">
        <v>28</v>
      </c>
      <c r="G356" s="2" t="n">
        <v>14</v>
      </c>
      <c r="H356" s="2" t="n">
        <v>13</v>
      </c>
      <c r="I356" s="2" t="n"/>
      <c r="J356" s="2" t="n"/>
      <c r="K356" s="2" t="n"/>
      <c r="L356" s="2" t="inlineStr">
        <is>
          <t>布料:100%聚酯纖維 (至少90%再生材料)；嵌件:聚丙烯塑膠</t>
        </is>
      </c>
      <c r="M356" s="2" t="inlineStr">
        <is>
          <t>深灰色/白色</t>
        </is>
      </c>
      <c r="N356" s="2" t="inlineStr"/>
      <c r="O356" s="2" t="inlineStr">
        <is>
          <t>N</t>
        </is>
      </c>
      <c r="P356" s="2" t="n"/>
      <c r="Q356" s="2" t="inlineStr">
        <is>
          <t>2026-10-26</t>
        </is>
      </c>
      <c r="R356" s="3" t="inlineStr">
        <is>
          <t>https://www.ikea.com.tw/zh/products/boxes-and-organisers/organisers/skubb-art-00472957</t>
        </is>
      </c>
      <c r="S356" s="2" t="inlineStr">
        <is>
          <t>官網</t>
        </is>
      </c>
      <c r="T356" s="2" t="inlineStr">
        <is>
          <t>high</t>
        </is>
      </c>
      <c r="U356" s="2" t="inlineStr">
        <is>
          <t>SET:004.729.57|249|2|6; 套組拆件，不單售；官網說明「尺寸：14x14x13公分、28x14x13公分和28x28x13公分；各2件」；尺寸取自官網說明文字，寬/深依文字順序（官網未分別標示寬深）；白色套組編號 204.285.53（同價 249）；可將襪子、皮帶和首飾收納在抽屜櫃及衣櫃</t>
        </is>
      </c>
      <c r="V356" s="2" t="inlineStr">
        <is>
          <t>整組 NT$249，此尺寸 2 件／共 6 件</t>
        </is>
      </c>
    </row>
    <row r="357">
      <c r="A357" s="2" t="inlineStr">
        <is>
          <t>IKEA-109</t>
        </is>
      </c>
      <c r="B357" s="2" t="inlineStr">
        <is>
          <t>IKEA</t>
        </is>
      </c>
      <c r="C357" s="2" t="inlineStr">
        <is>
          <t>SKUBB</t>
        </is>
      </c>
      <c r="D357" s="2" t="inlineStr">
        <is>
          <t>SKUBB 收納盒 6件組（拆件 28x28x13）</t>
        </is>
      </c>
      <c r="E357" s="2" t="inlineStr">
        <is>
          <t>004.729.57</t>
        </is>
      </c>
      <c r="F357" s="2" t="n">
        <v>28</v>
      </c>
      <c r="G357" s="2" t="n">
        <v>28</v>
      </c>
      <c r="H357" s="2" t="n">
        <v>13</v>
      </c>
      <c r="I357" s="2" t="n"/>
      <c r="J357" s="2" t="n"/>
      <c r="K357" s="2" t="n"/>
      <c r="L357" s="2" t="inlineStr">
        <is>
          <t>布料:100%聚酯纖維 (至少90%再生材料)；嵌件:聚丙烯塑膠</t>
        </is>
      </c>
      <c r="M357" s="2" t="inlineStr">
        <is>
          <t>深灰色/白色</t>
        </is>
      </c>
      <c r="N357" s="2" t="inlineStr"/>
      <c r="O357" s="2" t="inlineStr">
        <is>
          <t>N</t>
        </is>
      </c>
      <c r="P357" s="2" t="n"/>
      <c r="Q357" s="2" t="inlineStr">
        <is>
          <t>2026-10-26</t>
        </is>
      </c>
      <c r="R357" s="3" t="inlineStr">
        <is>
          <t>https://www.ikea.com.tw/zh/products/boxes-and-organisers/organisers/skubb-art-00472957</t>
        </is>
      </c>
      <c r="S357" s="2" t="inlineStr">
        <is>
          <t>官網</t>
        </is>
      </c>
      <c r="T357" s="2" t="inlineStr">
        <is>
          <t>high</t>
        </is>
      </c>
      <c r="U357" s="2" t="inlineStr">
        <is>
          <t>SET:004.729.57|249|2|6; 套組拆件，不單售；官網說明「尺寸：14x14x13公分、28x14x13公分和28x28x13公分；各2件」；尺寸取自官網說明文字，寬/深依文字順序（官網未分別標示寬深）；白色套組編號 204.285.53（同價 249）；可將襪子、皮帶和首飾收納在抽屜櫃及衣櫃</t>
        </is>
      </c>
      <c r="V357" s="2" t="inlineStr">
        <is>
          <t>整組 NT$249，此尺寸 2 件／共 6 件</t>
        </is>
      </c>
    </row>
    <row r="358">
      <c r="A358" s="2" t="inlineStr">
        <is>
          <t>IKEA-110</t>
        </is>
      </c>
      <c r="B358" s="2" t="inlineStr">
        <is>
          <t>IKEA</t>
        </is>
      </c>
      <c r="C358" s="2" t="inlineStr">
        <is>
          <t>BROGRUND</t>
        </is>
      </c>
      <c r="D358" s="2" t="inlineStr">
        <is>
          <t>BROGRUND 收納盒 3件組（拆件 14x10x7）</t>
        </is>
      </c>
      <c r="E358" s="2" t="inlineStr">
        <is>
          <t>903.290.93</t>
        </is>
      </c>
      <c r="F358" s="2" t="n">
        <v>14</v>
      </c>
      <c r="G358" s="2" t="n">
        <v>10</v>
      </c>
      <c r="H358" s="2" t="n">
        <v>7</v>
      </c>
      <c r="I358" s="2" t="n"/>
      <c r="J358" s="2" t="n"/>
      <c r="K358" s="2" t="n"/>
      <c r="L358" s="2" t="inlineStr">
        <is>
          <t>PET塑膠 (至少20%再生材料)</t>
        </is>
      </c>
      <c r="M358" s="2" t="inlineStr">
        <is>
          <t>透明灰色+白色</t>
        </is>
      </c>
      <c r="N358" s="2" t="inlineStr"/>
      <c r="O358" s="2" t="inlineStr">
        <is>
          <t>N</t>
        </is>
      </c>
      <c r="P358" s="2" t="n"/>
      <c r="Q358" s="2" t="inlineStr">
        <is>
          <t>2026-10-26</t>
        </is>
      </c>
      <c r="R358" s="3" t="inlineStr">
        <is>
          <t>https://www.ikea.com.tw/zh/products/boxes-and-organisers/boxes-and-baskets/brogrund-art-90329093</t>
        </is>
      </c>
      <c r="S358" s="2" t="inlineStr">
        <is>
          <t>官網</t>
        </is>
      </c>
      <c r="T358" s="2" t="inlineStr">
        <is>
          <t>high</t>
        </is>
      </c>
      <c r="U358" s="2" t="inlineStr">
        <is>
          <t>SET:903.290.93|299|2|3; 套組拆件，不單售；官網說明「含：2個14x10x7公分及1個28x10x7公分」；尺寸取自官網說明文字，寬/深依文字順序（官網未分別標示寬深）；適用於浴室，可收納首飾和化妝品</t>
        </is>
      </c>
      <c r="V358" s="2" t="inlineStr">
        <is>
          <t>整組 NT$299，此尺寸 2 件／共 3 件</t>
        </is>
      </c>
    </row>
    <row r="359">
      <c r="A359" s="2" t="inlineStr">
        <is>
          <t>IKEA-111</t>
        </is>
      </c>
      <c r="B359" s="2" t="inlineStr">
        <is>
          <t>IKEA</t>
        </is>
      </c>
      <c r="C359" s="2" t="inlineStr">
        <is>
          <t>BROGRUND</t>
        </is>
      </c>
      <c r="D359" s="2" t="inlineStr">
        <is>
          <t>BROGRUND 收納盒 3件組（拆件 28x10x7）</t>
        </is>
      </c>
      <c r="E359" s="2" t="inlineStr">
        <is>
          <t>903.290.93</t>
        </is>
      </c>
      <c r="F359" s="2" t="n">
        <v>28</v>
      </c>
      <c r="G359" s="2" t="n">
        <v>10</v>
      </c>
      <c r="H359" s="2" t="n">
        <v>7</v>
      </c>
      <c r="I359" s="2" t="n"/>
      <c r="J359" s="2" t="n"/>
      <c r="K359" s="2" t="n"/>
      <c r="L359" s="2" t="inlineStr">
        <is>
          <t>PET塑膠 (至少20%再生材料)</t>
        </is>
      </c>
      <c r="M359" s="2" t="inlineStr">
        <is>
          <t>透明灰色+白色</t>
        </is>
      </c>
      <c r="N359" s="2" t="inlineStr"/>
      <c r="O359" s="2" t="inlineStr">
        <is>
          <t>N</t>
        </is>
      </c>
      <c r="P359" s="2" t="n"/>
      <c r="Q359" s="2" t="inlineStr">
        <is>
          <t>2026-10-26</t>
        </is>
      </c>
      <c r="R359" s="3" t="inlineStr">
        <is>
          <t>https://www.ikea.com.tw/zh/products/boxes-and-organisers/boxes-and-baskets/brogrund-art-90329093</t>
        </is>
      </c>
      <c r="S359" s="2" t="inlineStr">
        <is>
          <t>官網</t>
        </is>
      </c>
      <c r="T359" s="2" t="inlineStr">
        <is>
          <t>high</t>
        </is>
      </c>
      <c r="U359" s="2" t="inlineStr">
        <is>
          <t>SET:903.290.93|299|1|3; 套組拆件，不單售；官網說明「含：2個14x10x7公分及1個28x10x7公分」；尺寸取自官網說明文字，寬/深依文字順序（官網未分別標示寬深）；適用於浴室，可收納首飾和化妝品</t>
        </is>
      </c>
      <c r="V359" s="2" t="inlineStr">
        <is>
          <t>整組 NT$299，此尺寸 1 件／共 3 件</t>
        </is>
      </c>
    </row>
    <row r="360">
      <c r="A360" s="2" t="inlineStr">
        <is>
          <t>IKEA-112</t>
        </is>
      </c>
      <c r="B360" s="2" t="inlineStr">
        <is>
          <t>IKEA</t>
        </is>
      </c>
      <c r="C360" s="2" t="inlineStr">
        <is>
          <t>KOMPLEMENT</t>
        </is>
      </c>
      <c r="D360" s="2" t="inlineStr">
        <is>
          <t>KOMPLEMENT 收納盒 4件組（拆件 15x27x12）</t>
        </is>
      </c>
      <c r="E360" s="2" t="inlineStr">
        <is>
          <t>792.608.39</t>
        </is>
      </c>
      <c r="F360" s="2" t="n">
        <v>15</v>
      </c>
      <c r="G360" s="2" t="n">
        <v>27</v>
      </c>
      <c r="H360" s="2" t="n">
        <v>12</v>
      </c>
      <c r="I360" s="2" t="n"/>
      <c r="J360" s="2" t="n"/>
      <c r="K360" s="2" t="n"/>
      <c r="L360" s="2" t="inlineStr">
        <is>
          <t>100%聚酯纖維</t>
        </is>
      </c>
      <c r="M360" s="2" t="inlineStr">
        <is>
          <t>淺灰色</t>
        </is>
      </c>
      <c r="N360" s="2" t="inlineStr"/>
      <c r="O360" s="2" t="inlineStr">
        <is>
          <t>N</t>
        </is>
      </c>
      <c r="P360" s="2" t="n"/>
      <c r="Q360" s="2" t="inlineStr">
        <is>
          <t>2026-10-26</t>
        </is>
      </c>
      <c r="R360" s="3" t="inlineStr">
        <is>
          <t>https://www.ikea.com.tw/zh/products/boxes-and-organisers/organisers/komplement-spr-79260839</t>
        </is>
      </c>
      <c r="S360" s="2" t="inlineStr">
        <is>
          <t>官網</t>
        </is>
      </c>
      <c r="T360" s="2" t="inlineStr">
        <is>
          <t>high</t>
        </is>
      </c>
      <c r="U360" s="2" t="inlineStr">
        <is>
          <t>SET:792.608.39|698|2|4; 套組拆件；官網說明「含：2個收納盒(15x27x12公分)及2個收納盒(25x27x12公分)」；寬深高依同款單售商品 204.057.78 尺寸區（寬15 深27 高12）；同尺寸單品見 IKEA-040；適用於PAX櫃框內的KOMPLEMENT抽屜和外拉式收納盤</t>
        </is>
      </c>
      <c r="V360" s="2" t="inlineStr">
        <is>
          <t>整組 NT$698，此尺寸 2 件／共 4 件</t>
        </is>
      </c>
    </row>
    <row r="361">
      <c r="A361" s="2" t="inlineStr">
        <is>
          <t>IKEA-113</t>
        </is>
      </c>
      <c r="B361" s="2" t="inlineStr">
        <is>
          <t>IKEA</t>
        </is>
      </c>
      <c r="C361" s="2" t="inlineStr">
        <is>
          <t>KOMPLEMENT</t>
        </is>
      </c>
      <c r="D361" s="2" t="inlineStr">
        <is>
          <t>KOMPLEMENT 收納盒 4件組（拆件 25x27x12）</t>
        </is>
      </c>
      <c r="E361" s="2" t="inlineStr">
        <is>
          <t>792.608.39</t>
        </is>
      </c>
      <c r="F361" s="2" t="n">
        <v>25</v>
      </c>
      <c r="G361" s="2" t="n">
        <v>26.5</v>
      </c>
      <c r="H361" s="2" t="n">
        <v>12</v>
      </c>
      <c r="I361" s="2" t="n"/>
      <c r="J361" s="2" t="n"/>
      <c r="K361" s="2" t="n"/>
      <c r="L361" s="2" t="inlineStr">
        <is>
          <t>100%聚酯纖維</t>
        </is>
      </c>
      <c r="M361" s="2" t="inlineStr">
        <is>
          <t>淺灰色</t>
        </is>
      </c>
      <c r="N361" s="2" t="inlineStr"/>
      <c r="O361" s="2" t="inlineStr">
        <is>
          <t>N</t>
        </is>
      </c>
      <c r="P361" s="2" t="n"/>
      <c r="Q361" s="2" t="inlineStr">
        <is>
          <t>2026-10-26</t>
        </is>
      </c>
      <c r="R361" s="3" t="inlineStr">
        <is>
          <t>https://www.ikea.com.tw/zh/products/boxes-and-organisers/organisers/komplement-spr-79260839</t>
        </is>
      </c>
      <c r="S361" s="2" t="inlineStr">
        <is>
          <t>官網</t>
        </is>
      </c>
      <c r="T361" s="2" t="inlineStr">
        <is>
          <t>high</t>
        </is>
      </c>
      <c r="U361" s="2" t="inlineStr">
        <is>
          <t>SET:792.608.39|698|2|4; 套組拆件；官網說明寫 25x27x12 公分，同款單售商品 004.057.79 尺寸區為寬25 深26.5 高12，outer_d 採 26.5；同尺寸單品見 IKEA-041；適用於PAX櫃框內的KOMPLEMENT抽屜和外拉式收納盤</t>
        </is>
      </c>
      <c r="V361" s="2" t="inlineStr">
        <is>
          <t>整組 NT$698，此尺寸 2 件／共 4 件</t>
        </is>
      </c>
    </row>
    <row r="362">
      <c r="A362" s="2" t="inlineStr">
        <is>
          <t>IKEA-114</t>
        </is>
      </c>
      <c r="B362" s="2" t="inlineStr">
        <is>
          <t>IKEA</t>
        </is>
      </c>
      <c r="C362" s="2" t="inlineStr">
        <is>
          <t>KOMPLEMENT</t>
        </is>
      </c>
      <c r="D362" s="2" t="inlineStr">
        <is>
          <t>KOMPLEMENT 收納盒 6件組（拆件 15x27x12）</t>
        </is>
      </c>
      <c r="E362" s="2" t="inlineStr">
        <is>
          <t>192.608.42</t>
        </is>
      </c>
      <c r="F362" s="2" t="n">
        <v>15</v>
      </c>
      <c r="G362" s="2" t="n">
        <v>27</v>
      </c>
      <c r="H362" s="2" t="n">
        <v>12</v>
      </c>
      <c r="I362" s="2" t="n"/>
      <c r="J362" s="2" t="n"/>
      <c r="K362" s="2" t="n"/>
      <c r="L362" s="2" t="inlineStr">
        <is>
          <t>100%聚酯纖維</t>
        </is>
      </c>
      <c r="M362" s="2" t="inlineStr">
        <is>
          <t>淺灰色</t>
        </is>
      </c>
      <c r="N362" s="2" t="inlineStr"/>
      <c r="O362" s="2" t="inlineStr">
        <is>
          <t>N</t>
        </is>
      </c>
      <c r="P362" s="2" t="n"/>
      <c r="Q362" s="2" t="inlineStr">
        <is>
          <t>2026-10-26</t>
        </is>
      </c>
      <c r="R362" s="3" t="inlineStr">
        <is>
          <t>https://www.ikea.com.tw/zh/products/boxes-and-organisers/organisers/komplement-spr-19260842</t>
        </is>
      </c>
      <c r="S362" s="2" t="inlineStr">
        <is>
          <t>官網</t>
        </is>
      </c>
      <c r="T362" s="2" t="inlineStr">
        <is>
          <t>high</t>
        </is>
      </c>
      <c r="U362" s="2" t="inlineStr">
        <is>
          <t>SET:192.608.42|1097|2|6; 套組拆件；官網說明「含：2個收納盒(15x27x12公分)及4個收納盒(25x27x12公分)」；寬深高依同款單售商品 204.057.78 尺寸區（寬15 深27 高12）；同尺寸單品見 IKEA-040；適用於PAX櫃框內的KOMPLEMENT抽屜和外拉式收納盤</t>
        </is>
      </c>
      <c r="V362" s="2" t="inlineStr">
        <is>
          <t>整組 NT$1097，此尺寸 2 件／共 6 件</t>
        </is>
      </c>
    </row>
    <row r="363">
      <c r="A363" s="2" t="inlineStr">
        <is>
          <t>IKEA-115</t>
        </is>
      </c>
      <c r="B363" s="2" t="inlineStr">
        <is>
          <t>IKEA</t>
        </is>
      </c>
      <c r="C363" s="2" t="inlineStr">
        <is>
          <t>KOMPLEMENT</t>
        </is>
      </c>
      <c r="D363" s="2" t="inlineStr">
        <is>
          <t>KOMPLEMENT 收納盒 6件組（拆件 25x27x12）</t>
        </is>
      </c>
      <c r="E363" s="2" t="inlineStr">
        <is>
          <t>192.608.42</t>
        </is>
      </c>
      <c r="F363" s="2" t="n">
        <v>25</v>
      </c>
      <c r="G363" s="2" t="n">
        <v>26.5</v>
      </c>
      <c r="H363" s="2" t="n">
        <v>12</v>
      </c>
      <c r="I363" s="2" t="n"/>
      <c r="J363" s="2" t="n"/>
      <c r="K363" s="2" t="n"/>
      <c r="L363" s="2" t="inlineStr">
        <is>
          <t>100%聚酯纖維</t>
        </is>
      </c>
      <c r="M363" s="2" t="inlineStr">
        <is>
          <t>淺灰色</t>
        </is>
      </c>
      <c r="N363" s="2" t="inlineStr"/>
      <c r="O363" s="2" t="inlineStr">
        <is>
          <t>N</t>
        </is>
      </c>
      <c r="P363" s="2" t="n"/>
      <c r="Q363" s="2" t="inlineStr">
        <is>
          <t>2026-10-26</t>
        </is>
      </c>
      <c r="R363" s="3" t="inlineStr">
        <is>
          <t>https://www.ikea.com.tw/zh/products/boxes-and-organisers/organisers/komplement-spr-19260842</t>
        </is>
      </c>
      <c r="S363" s="2" t="inlineStr">
        <is>
          <t>官網</t>
        </is>
      </c>
      <c r="T363" s="2" t="inlineStr">
        <is>
          <t>high</t>
        </is>
      </c>
      <c r="U363" s="2" t="inlineStr">
        <is>
          <t>SET:192.608.42|1097|4|6; 套組拆件；官網說明寫 25x27x12 公分，同款單售商品 004.057.79 尺寸區為寬25 深26.5 高12，outer_d 採 26.5；同尺寸單品見 IKEA-041；適用於PAX櫃框內的KOMPLEMENT抽屜和外拉式收納盤</t>
        </is>
      </c>
      <c r="V363" s="2" t="inlineStr">
        <is>
          <t>整組 NT$1097，此尺寸 4 件／共 6 件</t>
        </is>
      </c>
    </row>
    <row r="364">
      <c r="A364" s="2" t="inlineStr">
        <is>
          <t>IKEA-116</t>
        </is>
      </c>
      <c r="B364" s="2" t="inlineStr">
        <is>
          <t>IKEA</t>
        </is>
      </c>
      <c r="C364" s="2" t="inlineStr">
        <is>
          <t>KOMPLEMENT</t>
        </is>
      </c>
      <c r="D364" s="2" t="inlineStr">
        <is>
          <t>KOMPLEMENT 收納盒 8件組（拆件 15x27x12）</t>
        </is>
      </c>
      <c r="E364" s="2" t="inlineStr">
        <is>
          <t>492.608.45</t>
        </is>
      </c>
      <c r="F364" s="2" t="n">
        <v>15</v>
      </c>
      <c r="G364" s="2" t="n">
        <v>27</v>
      </c>
      <c r="H364" s="2" t="n">
        <v>12</v>
      </c>
      <c r="I364" s="2" t="n"/>
      <c r="J364" s="2" t="n"/>
      <c r="K364" s="2" t="n"/>
      <c r="L364" s="2" t="inlineStr">
        <is>
          <t>100%聚酯纖維</t>
        </is>
      </c>
      <c r="M364" s="2" t="inlineStr">
        <is>
          <t>淺灰色</t>
        </is>
      </c>
      <c r="N364" s="2" t="inlineStr"/>
      <c r="O364" s="2" t="inlineStr">
        <is>
          <t>N</t>
        </is>
      </c>
      <c r="P364" s="2" t="n"/>
      <c r="Q364" s="2" t="inlineStr">
        <is>
          <t>2026-10-26</t>
        </is>
      </c>
      <c r="R364" s="3" t="inlineStr">
        <is>
          <t>https://www.ikea.com.tw/zh/products/boxes-and-organisers/organisers/komplement-spr-49260845</t>
        </is>
      </c>
      <c r="S364" s="2" t="inlineStr">
        <is>
          <t>官網</t>
        </is>
      </c>
      <c r="T364" s="2" t="inlineStr">
        <is>
          <t>high</t>
        </is>
      </c>
      <c r="U364" s="2" t="inlineStr">
        <is>
          <t>SET:492.608.45|1496|2|8; 套組拆件；官網說明「含：2個收納盒(15x27x12公分)及6個收納盒(25x27x12公分)」；寬深高依同款單售商品 204.057.78 尺寸區（寬15 深27 高12）；同尺寸單品見 IKEA-040；適用於PAX櫃框內的KOMPLEMENT抽屜和外拉式收納盤</t>
        </is>
      </c>
      <c r="V364" s="2" t="inlineStr">
        <is>
          <t>整組 NT$1496，此尺寸 2 件／共 8 件</t>
        </is>
      </c>
    </row>
    <row r="365">
      <c r="A365" s="2" t="inlineStr">
        <is>
          <t>IKEA-117</t>
        </is>
      </c>
      <c r="B365" s="2" t="inlineStr">
        <is>
          <t>IKEA</t>
        </is>
      </c>
      <c r="C365" s="2" t="inlineStr">
        <is>
          <t>KOMPLEMENT</t>
        </is>
      </c>
      <c r="D365" s="2" t="inlineStr">
        <is>
          <t>KOMPLEMENT 收納盒 8件組（拆件 25x27x12）</t>
        </is>
      </c>
      <c r="E365" s="2" t="inlineStr">
        <is>
          <t>492.608.45</t>
        </is>
      </c>
      <c r="F365" s="2" t="n">
        <v>25</v>
      </c>
      <c r="G365" s="2" t="n">
        <v>26.5</v>
      </c>
      <c r="H365" s="2" t="n">
        <v>12</v>
      </c>
      <c r="I365" s="2" t="n"/>
      <c r="J365" s="2" t="n"/>
      <c r="K365" s="2" t="n"/>
      <c r="L365" s="2" t="inlineStr">
        <is>
          <t>100%聚酯纖維</t>
        </is>
      </c>
      <c r="M365" s="2" t="inlineStr">
        <is>
          <t>淺灰色</t>
        </is>
      </c>
      <c r="N365" s="2" t="inlineStr"/>
      <c r="O365" s="2" t="inlineStr">
        <is>
          <t>N</t>
        </is>
      </c>
      <c r="P365" s="2" t="n"/>
      <c r="Q365" s="2" t="inlineStr">
        <is>
          <t>2026-10-26</t>
        </is>
      </c>
      <c r="R365" s="3" t="inlineStr">
        <is>
          <t>https://www.ikea.com.tw/zh/products/boxes-and-organisers/organisers/komplement-spr-49260845</t>
        </is>
      </c>
      <c r="S365" s="2" t="inlineStr">
        <is>
          <t>官網</t>
        </is>
      </c>
      <c r="T365" s="2" t="inlineStr">
        <is>
          <t>high</t>
        </is>
      </c>
      <c r="U365" s="2" t="inlineStr">
        <is>
          <t>SET:492.608.45|1496|6|8; 套組拆件；官網說明寫 25x27x12 公分，同款單售商品 004.057.79 尺寸區為寬25 深26.5 高12，outer_d 採 26.5；同尺寸單品見 IKEA-041；適用於PAX櫃框內的KOMPLEMENT抽屜和外拉式收納盤</t>
        </is>
      </c>
      <c r="V365" s="2" t="inlineStr">
        <is>
          <t>整組 NT$1496，此尺寸 6 件／共 8 件</t>
        </is>
      </c>
    </row>
    <row r="366">
      <c r="A366" s="2" t="inlineStr">
        <is>
          <t>IKEA-118</t>
        </is>
      </c>
      <c r="B366" s="2" t="inlineStr">
        <is>
          <t>IKEA</t>
        </is>
      </c>
      <c r="C366" s="2" t="inlineStr">
        <is>
          <t>DRÖNJÖNS</t>
        </is>
      </c>
      <c r="D366" s="2" t="inlineStr">
        <is>
          <t>DRÖNJÖNS 雜誌匣（拆件 24x32.5x8.5）</t>
        </is>
      </c>
      <c r="E366" s="2" t="inlineStr">
        <is>
          <t>804.396.95</t>
        </is>
      </c>
      <c r="F366" s="2" t="n">
        <v>24</v>
      </c>
      <c r="G366" s="2" t="n">
        <v>32.5</v>
      </c>
      <c r="H366" s="2" t="n">
        <v>8.5</v>
      </c>
      <c r="I366" s="2" t="n"/>
      <c r="J366" s="2" t="n"/>
      <c r="K366" s="2" t="n"/>
      <c r="L366" s="2" t="inlineStr">
        <is>
          <t>基本材質:鋼質, 粉末塗層；防刮痕保護:100 % 聚酯纖維</t>
        </is>
      </c>
      <c r="M366" s="2" t="inlineStr">
        <is>
          <t>白色</t>
        </is>
      </c>
      <c r="N366" s="2" t="inlineStr"/>
      <c r="O366" s="2" t="inlineStr">
        <is>
          <t>N</t>
        </is>
      </c>
      <c r="P366" s="2" t="n"/>
      <c r="Q366" s="2" t="inlineStr">
        <is>
          <t>2026-10-26</t>
        </is>
      </c>
      <c r="R366" s="3" t="inlineStr">
        <is>
          <t>https://www.ikea.com.tw/zh/products/boxes-and-organisers/organisers/dronjons-art-80439695</t>
        </is>
      </c>
      <c r="S366" s="2" t="inlineStr">
        <is>
          <t>官網</t>
        </is>
      </c>
      <c r="T366" s="2" t="inlineStr">
        <is>
          <t>high</t>
        </is>
      </c>
      <c r="U366" s="2" t="inlineStr">
        <is>
          <t>SET:804.396.95|249|1|2; 雜誌匣；套組拆件，不單售；官網說明「尺寸：24x32.5x8.5公分及25.5x32.5x10公分」；尺寸取自官網說明文字，寬/深依文字順序（官網未分別標示寬深）；網狀金屬收納盒，附把手孔</t>
        </is>
      </c>
      <c r="V366" s="2" t="inlineStr">
        <is>
          <t>整組 NT$249，此尺寸 1 件／共 2 件</t>
        </is>
      </c>
    </row>
    <row r="367">
      <c r="A367" s="2" t="inlineStr">
        <is>
          <t>IKEA-119</t>
        </is>
      </c>
      <c r="B367" s="2" t="inlineStr">
        <is>
          <t>IKEA</t>
        </is>
      </c>
      <c r="C367" s="2" t="inlineStr">
        <is>
          <t>DRÖNJÖNS</t>
        </is>
      </c>
      <c r="D367" s="2" t="inlineStr">
        <is>
          <t>DRÖNJÖNS 雜誌匣（拆件 25.5x32.5x10）</t>
        </is>
      </c>
      <c r="E367" s="2" t="inlineStr">
        <is>
          <t>804.396.95</t>
        </is>
      </c>
      <c r="F367" s="2" t="n">
        <v>25.5</v>
      </c>
      <c r="G367" s="2" t="n">
        <v>32.5</v>
      </c>
      <c r="H367" s="2" t="n">
        <v>10</v>
      </c>
      <c r="I367" s="2" t="n"/>
      <c r="J367" s="2" t="n"/>
      <c r="K367" s="2" t="n"/>
      <c r="L367" s="2" t="inlineStr">
        <is>
          <t>基本材質:鋼質, 粉末塗層；防刮痕保護:100 % 聚酯纖維</t>
        </is>
      </c>
      <c r="M367" s="2" t="inlineStr">
        <is>
          <t>白色</t>
        </is>
      </c>
      <c r="N367" s="2" t="inlineStr"/>
      <c r="O367" s="2" t="inlineStr">
        <is>
          <t>N</t>
        </is>
      </c>
      <c r="P367" s="2" t="n"/>
      <c r="Q367" s="2" t="inlineStr">
        <is>
          <t>2026-10-26</t>
        </is>
      </c>
      <c r="R367" s="3" t="inlineStr">
        <is>
          <t>https://www.ikea.com.tw/zh/products/boxes-and-organisers/organisers/dronjons-art-80439695</t>
        </is>
      </c>
      <c r="S367" s="2" t="inlineStr">
        <is>
          <t>官網</t>
        </is>
      </c>
      <c r="T367" s="2" t="inlineStr">
        <is>
          <t>high</t>
        </is>
      </c>
      <c r="U367" s="2" t="inlineStr">
        <is>
          <t>SET:804.396.95|249|1|2; 雜誌匣；套組拆件，不單售；官網說明「尺寸：24x32.5x8.5公分及25.5x32.5x10公分」；尺寸取自官網說明文字，寬/深依文字順序（官網未分別標示寬深）；網狀金屬收納盒，附把手孔</t>
        </is>
      </c>
      <c r="V367" s="2" t="inlineStr">
        <is>
          <t>整組 NT$249，此尺寸 1 件／共 2 件</t>
        </is>
      </c>
    </row>
    <row r="368">
      <c r="A368" s="2" t="inlineStr">
        <is>
          <t>IKEA-120</t>
        </is>
      </c>
      <c r="B368" s="2" t="inlineStr">
        <is>
          <t>IKEA</t>
        </is>
      </c>
      <c r="C368" s="2" t="inlineStr">
        <is>
          <t>KUGGIS</t>
        </is>
      </c>
      <c r="D368" s="2" t="inlineStr">
        <is>
          <t>KUGGIS 雜誌匣 10x25x29 公分</t>
        </is>
      </c>
      <c r="E368" s="2" t="inlineStr">
        <is>
          <t>805.153.35</t>
        </is>
      </c>
      <c r="F368" s="2" t="n">
        <v>10</v>
      </c>
      <c r="G368" s="2" t="n">
        <v>25</v>
      </c>
      <c r="H368" s="2" t="n">
        <v>29</v>
      </c>
      <c r="I368" s="2" t="n"/>
      <c r="J368" s="2" t="n"/>
      <c r="K368" s="2" t="n"/>
      <c r="L368" s="2" t="inlineStr">
        <is>
          <t>PET塑膠 (至少50%再生材料)</t>
        </is>
      </c>
      <c r="M368" s="2" t="inlineStr">
        <is>
          <t>白色</t>
        </is>
      </c>
      <c r="N368" s="2" t="inlineStr"/>
      <c r="O368" s="2" t="inlineStr">
        <is>
          <t>N</t>
        </is>
      </c>
      <c r="P368" s="2" t="n"/>
      <c r="Q368" s="2" t="inlineStr">
        <is>
          <t>2026-10-26</t>
        </is>
      </c>
      <c r="R368" s="3" t="inlineStr">
        <is>
          <t>https://www.ikea.com.tw/zh/products/boxes-and-organisers/organisers/kuggis-art-80515335</t>
        </is>
      </c>
      <c r="S368" s="2" t="inlineStr">
        <is>
          <t>官網</t>
        </is>
      </c>
      <c r="T368" s="2" t="inlineStr">
        <is>
          <t>high</t>
        </is>
      </c>
      <c r="U368" s="2" t="inlineStr">
        <is>
          <t>SET:805.153.35|399|2|2;同尺寸2件裝，整包價399；雜誌匣；包裝內含 2件裝，price_twd 為 2 件價；尺寸取自官網尺寸區（寬10 深25 高29）；專為收納A4和22x28公分紙張所設計；KUGGIS系列</t>
        </is>
      </c>
      <c r="V368" s="2" t="inlineStr">
        <is>
          <t>整組 NT$399，此尺寸 2 件／共 2 件</t>
        </is>
      </c>
    </row>
    <row r="369">
      <c r="A369" s="2" t="inlineStr">
        <is>
          <t>IKEA-121</t>
        </is>
      </c>
      <c r="B369" s="2" t="inlineStr">
        <is>
          <t>IKEA</t>
        </is>
      </c>
      <c r="C369" s="2" t="inlineStr">
        <is>
          <t>FJÄDERHARV</t>
        </is>
      </c>
      <c r="D369" s="2" t="inlineStr">
        <is>
          <t>FJÄDERHARV 雜誌匣 10x25x31 公分</t>
        </is>
      </c>
      <c r="E369" s="2" t="inlineStr">
        <is>
          <t>905.969.15</t>
        </is>
      </c>
      <c r="F369" s="2" t="n">
        <v>10</v>
      </c>
      <c r="G369" s="2" t="n">
        <v>25</v>
      </c>
      <c r="H369" s="2" t="n">
        <v>31</v>
      </c>
      <c r="I369" s="2" t="n"/>
      <c r="J369" s="2" t="n"/>
      <c r="K369" s="2" t="n"/>
      <c r="L369" s="2" t="inlineStr">
        <is>
          <t>紙板 (至少100%再生材料), 紙</t>
        </is>
      </c>
      <c r="M369" s="2" t="inlineStr">
        <is>
          <t>白色/碳黑色</t>
        </is>
      </c>
      <c r="N369" s="2" t="inlineStr"/>
      <c r="O369" s="2" t="inlineStr">
        <is>
          <t>N</t>
        </is>
      </c>
      <c r="P369" s="2" t="n"/>
      <c r="Q369" s="2" t="inlineStr">
        <is>
          <t>2026-10-26</t>
        </is>
      </c>
      <c r="R369" s="3" t="inlineStr">
        <is>
          <t>https://www.ikea.com.tw/zh/products/boxes-and-organisers/organisers/fjaderharv-art-90596915</t>
        </is>
      </c>
      <c r="S369" s="2" t="inlineStr">
        <is>
          <t>官網</t>
        </is>
      </c>
      <c r="T369" s="2" t="inlineStr">
        <is>
          <t>high</t>
        </is>
      </c>
      <c r="U369" s="2" t="inlineStr">
        <is>
          <t>SET:905.969.15|129|2|2;同尺寸2件裝，整包價129；雜誌匣；包裝內含 2件裝，price_twd 為 2 件價；各色商品編號：白色=905.969.15、碳黑色=205.969.14；尺寸取自官網尺寸區；適合放在BILLY書櫃或其他深度最少有25公分的層架內；與 FJÄDERHARV 附蓋收納盒同高度系列</t>
        </is>
      </c>
      <c r="V369" s="2" t="inlineStr">
        <is>
          <t>整組 NT$129，此尺寸 2 件／共 2 件</t>
        </is>
      </c>
    </row>
    <row r="370">
      <c r="A370" s="2" t="inlineStr">
        <is>
          <t>IKEA-122</t>
        </is>
      </c>
      <c r="B370" s="2" t="inlineStr">
        <is>
          <t>IKEA</t>
        </is>
      </c>
      <c r="C370" s="2" t="inlineStr">
        <is>
          <t>GÄRDESGÅRD</t>
        </is>
      </c>
      <c r="D370" s="2" t="inlineStr">
        <is>
          <t>GÄRDESGÅRD 雜誌匣 10x25x31 公分</t>
        </is>
      </c>
      <c r="E370" s="2" t="inlineStr">
        <is>
          <t>405.969.51</t>
        </is>
      </c>
      <c r="F370" s="2" t="n">
        <v>10</v>
      </c>
      <c r="G370" s="2" t="n">
        <v>25</v>
      </c>
      <c r="H370" s="2" t="n">
        <v>31</v>
      </c>
      <c r="I370" s="2" t="n"/>
      <c r="J370" s="2" t="n"/>
      <c r="K370" s="2" t="n"/>
      <c r="L370" s="2" t="inlineStr">
        <is>
          <t>紙板 (至少100%再生材料), 紙</t>
        </is>
      </c>
      <c r="M370" s="2" t="inlineStr">
        <is>
          <t>自然色</t>
        </is>
      </c>
      <c r="N370" s="2" t="inlineStr"/>
      <c r="O370" s="2" t="inlineStr">
        <is>
          <t>N</t>
        </is>
      </c>
      <c r="P370" s="2" t="n"/>
      <c r="Q370" s="2" t="inlineStr">
        <is>
          <t>2026-10-26</t>
        </is>
      </c>
      <c r="R370" s="3" t="inlineStr">
        <is>
          <t>https://www.ikea.com.tw/zh/products/boxes-and-organisers/organisers/gardesgard-art-40596951</t>
        </is>
      </c>
      <c r="S370" s="2" t="inlineStr">
        <is>
          <t>官網</t>
        </is>
      </c>
      <c r="T370" s="2" t="inlineStr">
        <is>
          <t>high</t>
        </is>
      </c>
      <c r="U370" s="2" t="inlineStr">
        <is>
          <t>SET:405.969.51|149|2|2;同尺寸2件裝，整包價149；雜誌匣；包裝內含 2件裝，price_twd 為 2 件價；尺寸取自官網尺寸區</t>
        </is>
      </c>
      <c r="V370" s="2" t="inlineStr">
        <is>
          <t>整組 NT$149，此尺寸 2 件／共 2 件</t>
        </is>
      </c>
    </row>
    <row r="371">
      <c r="A371" s="2" t="inlineStr">
        <is>
          <t>IKEA-123</t>
        </is>
      </c>
      <c r="B371" s="2" t="inlineStr">
        <is>
          <t>IKEA</t>
        </is>
      </c>
      <c r="C371" s="2" t="inlineStr">
        <is>
          <t>TJABBA</t>
        </is>
      </c>
      <c r="D371" s="2" t="inlineStr">
        <is>
          <t>TJABBA 雜誌匣 10x25x30 公分</t>
        </is>
      </c>
      <c r="E371" s="2" t="inlineStr">
        <is>
          <t>504.975.02</t>
        </is>
      </c>
      <c r="F371" s="2" t="n">
        <v>10</v>
      </c>
      <c r="G371" s="2" t="n">
        <v>25</v>
      </c>
      <c r="H371" s="2" t="n">
        <v>30</v>
      </c>
      <c r="I371" s="2" t="n"/>
      <c r="J371" s="2" t="n"/>
      <c r="K371" s="2" t="n"/>
      <c r="L371" s="2" t="inlineStr">
        <is>
          <t>100%再生瓦楞板</t>
        </is>
      </c>
      <c r="M371" s="2" t="inlineStr">
        <is>
          <t>白色</t>
        </is>
      </c>
      <c r="N371" s="2" t="inlineStr"/>
      <c r="O371" s="2" t="inlineStr">
        <is>
          <t>N</t>
        </is>
      </c>
      <c r="P371" s="2" t="n"/>
      <c r="Q371" s="2" t="inlineStr">
        <is>
          <t>2026-10-26</t>
        </is>
      </c>
      <c r="R371" s="3" t="inlineStr">
        <is>
          <t>https://www.ikea.com.tw/zh/products/boxes-and-organisers/organisers/tjabba-art-50497502</t>
        </is>
      </c>
      <c r="S371" s="2" t="inlineStr">
        <is>
          <t>官網</t>
        </is>
      </c>
      <c r="T371" s="2" t="inlineStr">
        <is>
          <t>high</t>
        </is>
      </c>
      <c r="U371" s="2" t="inlineStr">
        <is>
          <t>SET:504.975.02|29|2|2;同尺寸2件裝，整包價29；雜誌匣；包裝內含 2件裝，price_twd 為 2 件價；尺寸取自官網尺寸區；可折疊</t>
        </is>
      </c>
      <c r="V371" s="2" t="inlineStr">
        <is>
          <t>整組 NT$29，此尺寸 2 件／共 2 件</t>
        </is>
      </c>
    </row>
    <row r="372">
      <c r="A372" s="2" t="inlineStr">
        <is>
          <t>IKEA-124</t>
        </is>
      </c>
      <c r="B372" s="2" t="inlineStr">
        <is>
          <t>IKEA</t>
        </is>
      </c>
      <c r="C372" s="2" t="inlineStr">
        <is>
          <t>HARVMATTA</t>
        </is>
      </c>
      <c r="D372" s="2" t="inlineStr">
        <is>
          <t>HARVMATTA 文件匣 32x25x32 公分</t>
        </is>
      </c>
      <c r="E372" s="2" t="inlineStr">
        <is>
          <t>005.785.86</t>
        </is>
      </c>
      <c r="F372" s="2" t="n">
        <v>32</v>
      </c>
      <c r="G372" s="2" t="n">
        <v>25</v>
      </c>
      <c r="H372" s="2" t="n">
        <v>32</v>
      </c>
      <c r="I372" s="2" t="n"/>
      <c r="J372" s="2" t="n"/>
      <c r="K372" s="2" t="n"/>
      <c r="L372" s="2" t="inlineStr">
        <is>
          <t>鋼質, 軟木, 環氧/聚酯粉末塗料</t>
        </is>
      </c>
      <c r="M372" s="2" t="inlineStr">
        <is>
          <t>碳黑色</t>
        </is>
      </c>
      <c r="N372" s="2" t="inlineStr"/>
      <c r="O372" s="2" t="inlineStr">
        <is>
          <t>N</t>
        </is>
      </c>
      <c r="P372" s="2" t="n">
        <v>899</v>
      </c>
      <c r="Q372" s="2" t="inlineStr">
        <is>
          <t>2026-10-26</t>
        </is>
      </c>
      <c r="R372" s="3" t="inlineStr">
        <is>
          <t>https://www.ikea.com.tw/zh/products/boxes-and-organisers/organisers/harvmatta-art-00578586</t>
        </is>
      </c>
      <c r="S372" s="2" t="inlineStr">
        <is>
          <t>官網</t>
        </is>
      </c>
      <c r="T372" s="2" t="inlineStr">
        <is>
          <t>high</t>
        </is>
      </c>
      <c r="U372" s="2" t="inlineStr">
        <is>
          <t>文件匣；尺寸取自官網尺寸區（寬32 深25 高32）；外拉式隔層設計；可搭配HARVMATTA系列其他產品</t>
        </is>
      </c>
      <c r="V372" s="2" t="inlineStr"/>
    </row>
  </sheetData>
  <autoFilter ref="A1:V372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6" customWidth="1" min="5" max="5"/>
    <col width="12" customWidth="1" min="6" max="6"/>
    <col width="14" customWidth="1" min="7" max="7"/>
  </cols>
  <sheetData>
    <row r="1">
      <c r="A1" s="4" t="inlineStr">
        <is>
          <t>品牌</t>
        </is>
      </c>
      <c r="B1" s="4" t="inlineStr">
        <is>
          <t>品項數</t>
        </is>
      </c>
      <c r="C1" s="4" t="inlineStr">
        <is>
          <t>有內寸</t>
        </is>
      </c>
      <c r="D1" s="4" t="inlineStr">
        <is>
          <t>單售有價格</t>
        </is>
      </c>
      <c r="E1" s="4" t="inlineStr">
        <is>
          <t>套組拆件／多件裝</t>
        </is>
      </c>
      <c r="F1" s="4" t="inlineStr">
        <is>
          <t>高可信度</t>
        </is>
      </c>
      <c r="G1" s="4" t="inlineStr">
        <is>
          <t>單售平均價NT$</t>
        </is>
      </c>
    </row>
    <row r="2">
      <c r="A2" s="2" t="inlineStr">
        <is>
          <t>MUJI</t>
        </is>
      </c>
      <c r="B2" s="2">
        <f>COUNTIF(商品總表!$B$2:$B$372,A2)</f>
        <v/>
      </c>
      <c r="C2" s="2">
        <f>COUNTIFS(商品總表!$B$2:$B$372,A2,商品總表!$I$2:$I$372,"&gt;0")</f>
        <v/>
      </c>
      <c r="D2" s="2">
        <f>COUNTIFS(商品總表!$B$2:$B$372,A2,商品總表!$P$2:$P$372,"&gt;0")</f>
        <v/>
      </c>
      <c r="E2" s="2">
        <f>COUNTIFS(商品總表!$B$2:$B$372,A2,商品總表!$V$2:$V$372,"整組*")</f>
        <v/>
      </c>
      <c r="F2" s="2">
        <f>COUNTIFS(商品總表!$B$2:$B$372,A2,商品總表!$T$2:$T$372,"high")</f>
        <v/>
      </c>
      <c r="G2" s="2">
        <f>ROUND(AVERAGEIF(商品總表!$B$2:$B$372,A2,商品總表!$P$2:$P$372),0)</f>
        <v/>
      </c>
    </row>
    <row r="3">
      <c r="A3" s="2" t="inlineStr">
        <is>
          <t>NITORI</t>
        </is>
      </c>
      <c r="B3" s="2">
        <f>COUNTIF(商品總表!$B$2:$B$372,A3)</f>
        <v/>
      </c>
      <c r="C3" s="2">
        <f>COUNTIFS(商品總表!$B$2:$B$372,A3,商品總表!$I$2:$I$372,"&gt;0")</f>
        <v/>
      </c>
      <c r="D3" s="2">
        <f>COUNTIFS(商品總表!$B$2:$B$372,A3,商品總表!$P$2:$P$372,"&gt;0")</f>
        <v/>
      </c>
      <c r="E3" s="2">
        <f>COUNTIFS(商品總表!$B$2:$B$372,A3,商品總表!$V$2:$V$372,"整組*")</f>
        <v/>
      </c>
      <c r="F3" s="2">
        <f>COUNTIFS(商品總表!$B$2:$B$372,A3,商品總表!$T$2:$T$372,"high")</f>
        <v/>
      </c>
      <c r="G3" s="2">
        <f>ROUND(AVERAGEIF(商品總表!$B$2:$B$372,A3,商品總表!$P$2:$P$372),0)</f>
        <v/>
      </c>
    </row>
    <row r="4">
      <c r="A4" s="2" t="inlineStr">
        <is>
          <t>IKEA</t>
        </is>
      </c>
      <c r="B4" s="2">
        <f>COUNTIF(商品總表!$B$2:$B$372,A4)</f>
        <v/>
      </c>
      <c r="C4" s="2">
        <f>COUNTIFS(商品總表!$B$2:$B$372,A4,商品總表!$I$2:$I$372,"&gt;0")</f>
        <v/>
      </c>
      <c r="D4" s="2">
        <f>COUNTIFS(商品總表!$B$2:$B$372,A4,商品總表!$P$2:$P$372,"&gt;0")</f>
        <v/>
      </c>
      <c r="E4" s="2">
        <f>COUNTIFS(商品總表!$B$2:$B$372,A4,商品總表!$V$2:$V$372,"整組*")</f>
        <v/>
      </c>
      <c r="F4" s="2">
        <f>COUNTIFS(商品總表!$B$2:$B$372,A4,商品總表!$T$2:$T$372,"high")</f>
        <v/>
      </c>
      <c r="G4" s="2">
        <f>ROUND(AVERAGEIF(商品總表!$B$2:$B$372,A4,商品總表!$P$2:$P$372),0)</f>
        <v/>
      </c>
    </row>
    <row r="5">
      <c r="A5" s="2" t="inlineStr">
        <is>
          <t>合計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SUM(F2:F4)</f>
        <v/>
      </c>
      <c r="G5" s="2">
        <f>ROUND(AVERAGE(商品總表!$P$2:$P$372),0)</f>
        <v/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資料查詢日 2026-10-26。來源：MUJI shop.muji.tw＋官方收納型錄 25.12；NITORI nitori-net.tw；IKEA ikea.com.tw。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套組／多件裝的售價欄留空，整組價格寫在「套組／多件裝」欄；計算引擎會依整組件數換算購買組數。</t>
        </is>
      </c>
      <c r="B8" s="2" t="n"/>
      <c r="C8" s="2" t="n"/>
      <c r="D8" s="2" t="n"/>
      <c r="E8" s="2" t="n"/>
      <c r="F8" s="2" t="n"/>
      <c r="G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4" t="inlineStr">
        <is>
          <t>欄位</t>
        </is>
      </c>
      <c r="B1" s="4" t="inlineStr">
        <is>
          <t>說明</t>
        </is>
      </c>
    </row>
    <row r="2">
      <c r="A2" s="2" t="inlineStr">
        <is>
          <t>編號</t>
        </is>
      </c>
      <c r="B2" s="2" t="inlineStr"/>
    </row>
    <row r="3">
      <c r="A3" s="2" t="inlineStr">
        <is>
          <t>品牌</t>
        </is>
      </c>
      <c r="B3" s="2" t="inlineStr"/>
    </row>
    <row r="4">
      <c r="A4" s="2" t="inlineStr">
        <is>
          <t>系列</t>
        </is>
      </c>
      <c r="B4" s="2" t="inlineStr"/>
    </row>
    <row r="5">
      <c r="A5" s="2" t="inlineStr">
        <is>
          <t>品名</t>
        </is>
      </c>
      <c r="B5" s="2" t="inlineStr"/>
    </row>
    <row r="6">
      <c r="A6" s="2" t="inlineStr">
        <is>
          <t>商品編號</t>
        </is>
      </c>
      <c r="B6" s="2" t="inlineStr"/>
    </row>
    <row r="7">
      <c r="A7" s="2" t="inlineStr">
        <is>
          <t>外寬cm</t>
        </is>
      </c>
      <c r="B7" s="2" t="inlineStr">
        <is>
          <t>外寸寬（正面左右）</t>
        </is>
      </c>
    </row>
    <row r="8">
      <c r="A8" s="2" t="inlineStr">
        <is>
          <t>外深cm</t>
        </is>
      </c>
      <c r="B8" s="2" t="inlineStr">
        <is>
          <t>外寸深（前後）</t>
        </is>
      </c>
    </row>
    <row r="9">
      <c r="A9" s="2" t="inlineStr">
        <is>
          <t>外高cm</t>
        </is>
      </c>
      <c r="B9" s="2" t="inlineStr">
        <is>
          <t>外寸高</t>
        </is>
      </c>
    </row>
    <row r="10">
      <c r="A10" s="2" t="inlineStr">
        <is>
          <t>內寬cm</t>
        </is>
      </c>
      <c r="B10" s="2" t="inlineStr">
        <is>
          <t>內寸寬，僅官方有標才填，不推算</t>
        </is>
      </c>
    </row>
    <row r="11">
      <c r="A11" s="2" t="inlineStr">
        <is>
          <t>內深cm</t>
        </is>
      </c>
      <c r="B11" s="2" t="inlineStr">
        <is>
          <t>內寸深，同上</t>
        </is>
      </c>
    </row>
    <row r="12">
      <c r="A12" s="2" t="inlineStr">
        <is>
          <t>內高cm</t>
        </is>
      </c>
      <c r="B12" s="2" t="inlineStr">
        <is>
          <t>內寸高，同上</t>
        </is>
      </c>
    </row>
    <row r="13">
      <c r="A13" s="2" t="inlineStr">
        <is>
          <t>材質</t>
        </is>
      </c>
      <c r="B13" s="2" t="inlineStr"/>
    </row>
    <row r="14">
      <c r="A14" s="2" t="inlineStr">
        <is>
          <t>顏色</t>
        </is>
      </c>
      <c r="B14" s="2" t="inlineStr">
        <is>
          <t>多色以「/」分隔；單一顏色名含斜線時改用「+」</t>
        </is>
      </c>
    </row>
    <row r="15">
      <c r="A15" s="2" t="inlineStr">
        <is>
          <t>可堆疊</t>
        </is>
      </c>
      <c r="B15" s="2" t="inlineStr">
        <is>
          <t>Y＝官方明確說可堆疊；空白＝官方未說明</t>
        </is>
      </c>
    </row>
    <row r="16">
      <c r="A16" s="2" t="inlineStr">
        <is>
          <t>附蓋</t>
        </is>
      </c>
      <c r="B16" s="2" t="inlineStr">
        <is>
          <t>Y＝含蓋；另售蓋寫在備註</t>
        </is>
      </c>
    </row>
    <row r="17">
      <c r="A17" s="2" t="inlineStr">
        <is>
          <t>售價NT$</t>
        </is>
      </c>
      <c r="B17" s="2" t="inlineStr">
        <is>
          <t>查價日的官網單售價；套組與多件裝留空</t>
        </is>
      </c>
    </row>
    <row r="18">
      <c r="A18" s="2" t="inlineStr">
        <is>
          <t>查價日</t>
        </is>
      </c>
      <c r="B18" s="2" t="inlineStr"/>
    </row>
    <row r="19">
      <c r="A19" s="2" t="inlineStr">
        <is>
          <t>官網連結</t>
        </is>
      </c>
      <c r="B19" s="2" t="inlineStr"/>
    </row>
    <row r="20">
      <c r="A20" s="2" t="inlineStr">
        <is>
          <t>來源</t>
        </is>
      </c>
      <c r="B20" s="2" t="inlineStr"/>
    </row>
    <row r="21">
      <c r="A21" s="2" t="inlineStr">
        <is>
          <t>可信度</t>
        </is>
      </c>
      <c r="B21" s="2" t="inlineStr">
        <is>
          <t>high＝官網商品頁直接取得；medium＝型錄或來源間數值衝突（見備註）</t>
        </is>
      </c>
    </row>
    <row r="22">
      <c r="A22" s="2" t="inlineStr">
        <is>
          <t>備註</t>
        </is>
      </c>
      <c r="B22" s="2" t="inlineStr">
        <is>
          <t>套組列開頭為 SET:&lt;套組編號&gt;|&lt;整組價&gt;|&lt;此尺寸件數&gt;|&lt;整組件數&gt;; 供程式讀取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2026-10-26T02:23:40Z</dcterms:created>
  <dcterms:modified xmlns:dcterms="http://purl.org/dc/terms/" xmlns:xsi="http://www.w3.org/2001/XMLSchema-instance" xsi:type="dcterms:W3CDTF">2026-10-26T02:23:40Z</dcterms:modified>
</cp:coreProperties>
</file>
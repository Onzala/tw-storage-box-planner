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總表" sheetId="1" state="visible" r:id="rId1"/>
    <sheet xmlns:r="http://schemas.openxmlformats.org/officeDocument/2006/relationships" name="收納配件" sheetId="2" state="visible" r:id="rId2"/>
    <sheet xmlns:r="http://schemas.openxmlformats.org/officeDocument/2006/relationships" name="收納技巧" sheetId="3" state="visible" r:id="rId3"/>
    <sheet xmlns:r="http://schemas.openxmlformats.org/officeDocument/2006/relationships" name="品牌摘要" sheetId="4" state="visible" r:id="rId4"/>
    <sheet xmlns:r="http://schemas.openxmlformats.org/officeDocument/2006/relationships" name="欄位說明" sheetId="5" state="visible" r:id="rId5"/>
  </sheets>
  <definedNames>
    <definedName name="_xlnm._FilterDatabase" localSheetId="0" hidden="1">'商品總表'!$A$1:$V$485</definedName>
    <definedName name="_xlnm._FilterDatabase" localSheetId="1" hidden="1">'收納配件'!$A$1:$V$244</definedName>
    <definedName name="_xlnm._FilterDatabase" localSheetId="2" hidden="1">'收納技巧'!$A$1:$P$257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F6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muji.tw/SalePage/Index/11704064" TargetMode="External" Id="rId1"/><Relationship Type="http://schemas.openxmlformats.org/officeDocument/2006/relationships/hyperlink" Target="https://shop.muji.tw/SalePage/Index/11704065" TargetMode="External" Id="rId2"/><Relationship Type="http://schemas.openxmlformats.org/officeDocument/2006/relationships/hyperlink" Target="https://shop.muji.tw/SalePage/Index/11704066" TargetMode="External" Id="rId3"/><Relationship Type="http://schemas.openxmlformats.org/officeDocument/2006/relationships/hyperlink" Target="https://shop.muji.tw/SalePage/Index/11704067" TargetMode="External" Id="rId4"/><Relationship Type="http://schemas.openxmlformats.org/officeDocument/2006/relationships/hyperlink" Target="https://shop.muji.tw/SalePage/Index/8917015" TargetMode="External" Id="rId5"/><Relationship Type="http://schemas.openxmlformats.org/officeDocument/2006/relationships/hyperlink" Target="https://shop.muji.tw/SalePage/Index/8916946" TargetMode="External" Id="rId6"/><Relationship Type="http://schemas.openxmlformats.org/officeDocument/2006/relationships/hyperlink" Target="https://shop.muji.tw/SalePage/Index/8916945" TargetMode="External" Id="rId7"/><Relationship Type="http://schemas.openxmlformats.org/officeDocument/2006/relationships/hyperlink" Target="https://shop.muji.tw/SalePage/Index/8916928" TargetMode="External" Id="rId8"/><Relationship Type="http://schemas.openxmlformats.org/officeDocument/2006/relationships/hyperlink" Target="https://shop.muji.tw/SalePage/Index/8920882" TargetMode="External" Id="rId9"/><Relationship Type="http://schemas.openxmlformats.org/officeDocument/2006/relationships/hyperlink" Target="https://shop.muji.tw/SalePage/Index/8920941" TargetMode="External" Id="rId10"/><Relationship Type="http://schemas.openxmlformats.org/officeDocument/2006/relationships/hyperlink" Target="https://shop.muji.tw/SalePage/Index/8920948" TargetMode="External" Id="rId11"/><Relationship Type="http://schemas.openxmlformats.org/officeDocument/2006/relationships/hyperlink" Target="https://shop.muji.tw/SalePage/Index/8920918" TargetMode="External" Id="rId12"/><Relationship Type="http://schemas.openxmlformats.org/officeDocument/2006/relationships/hyperlink" Target="https://shop.muji.tw/SalePage/Index/8920903" TargetMode="External" Id="rId13"/><Relationship Type="http://schemas.openxmlformats.org/officeDocument/2006/relationships/hyperlink" Target="https://shop.muji.tw/SalePage/Index/8920967" TargetMode="External" Id="rId14"/><Relationship Type="http://schemas.openxmlformats.org/officeDocument/2006/relationships/hyperlink" Target="https://shop.muji.tw/SalePage/Index/8920920" TargetMode="External" Id="rId15"/><Relationship Type="http://schemas.openxmlformats.org/officeDocument/2006/relationships/hyperlink" Target="https://shop.muji.tw/SalePage/Index/8920949" TargetMode="External" Id="rId16"/><Relationship Type="http://schemas.openxmlformats.org/officeDocument/2006/relationships/hyperlink" Target="https://shop.muji.tw/SalePage/Index/8920959" TargetMode="External" Id="rId17"/><Relationship Type="http://schemas.openxmlformats.org/officeDocument/2006/relationships/hyperlink" Target="https://shop.muji.tw/SalePage/Index/8920954" TargetMode="External" Id="rId18"/><Relationship Type="http://schemas.openxmlformats.org/officeDocument/2006/relationships/hyperlink" Target="https://shop.muji.tw/SalePage/Index/8920896" TargetMode="External" Id="rId19"/><Relationship Type="http://schemas.openxmlformats.org/officeDocument/2006/relationships/hyperlink" Target="https://shop.muji.tw/SalePage/Index/8920919" TargetMode="External" Id="rId20"/><Relationship Type="http://schemas.openxmlformats.org/officeDocument/2006/relationships/hyperlink" Target="https://shop.muji.tw/SalePage/Index/8920953" TargetMode="External" Id="rId21"/><Relationship Type="http://schemas.openxmlformats.org/officeDocument/2006/relationships/hyperlink" Target="https://shop.muji.tw/SalePage/Index/8920937" TargetMode="External" Id="rId22"/><Relationship Type="http://schemas.openxmlformats.org/officeDocument/2006/relationships/hyperlink" Target="https://shop.muji.tw/SalePage/Index/8920914" TargetMode="External" Id="rId23"/><Relationship Type="http://schemas.openxmlformats.org/officeDocument/2006/relationships/hyperlink" Target="https://shop.muji.tw/SalePage/Index/8920930" TargetMode="External" Id="rId24"/><Relationship Type="http://schemas.openxmlformats.org/officeDocument/2006/relationships/hyperlink" Target="https://shop.muji.tw/SalePage/Index/8920973" TargetMode="External" Id="rId25"/><Relationship Type="http://schemas.openxmlformats.org/officeDocument/2006/relationships/hyperlink" Target="https://shop.muji.tw/SalePage/Index/8920957" TargetMode="External" Id="rId26"/><Relationship Type="http://schemas.openxmlformats.org/officeDocument/2006/relationships/hyperlink" Target="https://shop.muji.tw/SalePage/Index/8920932" TargetMode="External" Id="rId27"/><Relationship Type="http://schemas.openxmlformats.org/officeDocument/2006/relationships/hyperlink" Target="https://shop.muji.tw/SalePage/Index/8920956" TargetMode="External" Id="rId28"/><Relationship Type="http://schemas.openxmlformats.org/officeDocument/2006/relationships/hyperlink" Target="https://shop.muji.tw/SalePage/Index/8919740" TargetMode="External" Id="rId29"/><Relationship Type="http://schemas.openxmlformats.org/officeDocument/2006/relationships/hyperlink" Target="https://shop.muji.tw/SalePage/Index/8919420" TargetMode="External" Id="rId30"/><Relationship Type="http://schemas.openxmlformats.org/officeDocument/2006/relationships/hyperlink" Target="https://shop.muji.tw/muji-journal/pdf/pdf/25AW-storage.pdf" TargetMode="External" Id="rId31"/><Relationship Type="http://schemas.openxmlformats.org/officeDocument/2006/relationships/hyperlink" Target="https://shop.muji.tw/SalePage/Index/8919406" TargetMode="External" Id="rId32"/><Relationship Type="http://schemas.openxmlformats.org/officeDocument/2006/relationships/hyperlink" Target="https://shop.muji.tw/SalePage/Index/8919401" TargetMode="External" Id="rId33"/><Relationship Type="http://schemas.openxmlformats.org/officeDocument/2006/relationships/hyperlink" Target="https://shop.muji.tw/SalePage/Index/8919735" TargetMode="External" Id="rId34"/><Relationship Type="http://schemas.openxmlformats.org/officeDocument/2006/relationships/hyperlink" Target="https://shop.muji.tw/SalePage/Index/8919737" TargetMode="External" Id="rId35"/><Relationship Type="http://schemas.openxmlformats.org/officeDocument/2006/relationships/hyperlink" Target="https://shop.muji.tw/SalePage/Index/11050118" TargetMode="External" Id="rId36"/><Relationship Type="http://schemas.openxmlformats.org/officeDocument/2006/relationships/hyperlink" Target="https://shop.muji.tw/SalePage/Index/11050116" TargetMode="External" Id="rId37"/><Relationship Type="http://schemas.openxmlformats.org/officeDocument/2006/relationships/hyperlink" Target="https://shop.muji.tw/SalePage/Index/11050114" TargetMode="External" Id="rId38"/><Relationship Type="http://schemas.openxmlformats.org/officeDocument/2006/relationships/hyperlink" Target="https://shop.muji.tw/SalePage/Index/11050102" TargetMode="External" Id="rId39"/><Relationship Type="http://schemas.openxmlformats.org/officeDocument/2006/relationships/hyperlink" Target="https://shop.muji.tw/SalePage/Index/11050100" TargetMode="External" Id="rId40"/><Relationship Type="http://schemas.openxmlformats.org/officeDocument/2006/relationships/hyperlink" Target="https://shop.muji.tw/SalePage/Index/11781929" TargetMode="External" Id="rId41"/><Relationship Type="http://schemas.openxmlformats.org/officeDocument/2006/relationships/hyperlink" Target="https://shop.muji.tw/SalePage/Index/11147558" TargetMode="External" Id="rId42"/><Relationship Type="http://schemas.openxmlformats.org/officeDocument/2006/relationships/hyperlink" Target="https://shop.muji.tw/SalePage/Index/11781928" TargetMode="External" Id="rId43"/><Relationship Type="http://schemas.openxmlformats.org/officeDocument/2006/relationships/hyperlink" Target="https://shop.muji.tw/SalePage/Index/10190122" TargetMode="External" Id="rId44"/><Relationship Type="http://schemas.openxmlformats.org/officeDocument/2006/relationships/hyperlink" Target="https://shop.muji.tw/SalePage/Index/10190123" TargetMode="External" Id="rId45"/><Relationship Type="http://schemas.openxmlformats.org/officeDocument/2006/relationships/hyperlink" Target="https://shop.muji.tw/SalePage/Index/10190120" TargetMode="External" Id="rId46"/><Relationship Type="http://schemas.openxmlformats.org/officeDocument/2006/relationships/hyperlink" Target="https://shop.muji.tw/SalePage/Index/10190121" TargetMode="External" Id="rId47"/><Relationship Type="http://schemas.openxmlformats.org/officeDocument/2006/relationships/hyperlink" Target="https://shop.muji.tw/SalePage/Index/10190124" TargetMode="External" Id="rId48"/><Relationship Type="http://schemas.openxmlformats.org/officeDocument/2006/relationships/hyperlink" Target="https://shop.muji.tw/SalePage/Index/8920741" TargetMode="External" Id="rId49"/><Relationship Type="http://schemas.openxmlformats.org/officeDocument/2006/relationships/hyperlink" Target="https://shop.muji.tw/SalePage/Index/8920733" TargetMode="External" Id="rId50"/><Relationship Type="http://schemas.openxmlformats.org/officeDocument/2006/relationships/hyperlink" Target="https://shop.muji.tw/SalePage/Index/8920711" TargetMode="External" Id="rId51"/><Relationship Type="http://schemas.openxmlformats.org/officeDocument/2006/relationships/hyperlink" Target="https://shop.muji.tw/SalePage/Index/8920677" TargetMode="External" Id="rId52"/><Relationship Type="http://schemas.openxmlformats.org/officeDocument/2006/relationships/hyperlink" Target="https://shop.muji.tw/SalePage/Index/8920668" TargetMode="External" Id="rId53"/><Relationship Type="http://schemas.openxmlformats.org/officeDocument/2006/relationships/hyperlink" Target="https://shop.muji.tw/SalePage/Index/8920727" TargetMode="External" Id="rId54"/><Relationship Type="http://schemas.openxmlformats.org/officeDocument/2006/relationships/hyperlink" Target="https://shop.muji.tw/SalePage/Index/8916844" TargetMode="External" Id="rId55"/><Relationship Type="http://schemas.openxmlformats.org/officeDocument/2006/relationships/hyperlink" Target="https://shop.muji.tw/SalePage/Index/8916855" TargetMode="External" Id="rId56"/><Relationship Type="http://schemas.openxmlformats.org/officeDocument/2006/relationships/hyperlink" Target="https://shop.muji.tw/SalePage/Index/8916856" TargetMode="External" Id="rId57"/><Relationship Type="http://schemas.openxmlformats.org/officeDocument/2006/relationships/hyperlink" Target="https://shop.muji.tw/SalePage/Index/8916862" TargetMode="External" Id="rId58"/><Relationship Type="http://schemas.openxmlformats.org/officeDocument/2006/relationships/hyperlink" Target="https://shop.muji.tw/SalePage/Index/8916860" TargetMode="External" Id="rId59"/><Relationship Type="http://schemas.openxmlformats.org/officeDocument/2006/relationships/hyperlink" Target="https://shop.muji.tw/SalePage/Index/8916943" TargetMode="External" Id="rId60"/><Relationship Type="http://schemas.openxmlformats.org/officeDocument/2006/relationships/hyperlink" Target="https://shop.muji.tw/SalePage/Index/8916851" TargetMode="External" Id="rId61"/><Relationship Type="http://schemas.openxmlformats.org/officeDocument/2006/relationships/hyperlink" Target="https://shop.muji.tw/SalePage/Index/8916847" TargetMode="External" Id="rId62"/><Relationship Type="http://schemas.openxmlformats.org/officeDocument/2006/relationships/hyperlink" Target="https://shop.muji.tw/SalePage/Index/8916846" TargetMode="External" Id="rId63"/><Relationship Type="http://schemas.openxmlformats.org/officeDocument/2006/relationships/hyperlink" Target="https://shop.muji.tw/SalePage/Index/8916854" TargetMode="External" Id="rId64"/><Relationship Type="http://schemas.openxmlformats.org/officeDocument/2006/relationships/hyperlink" Target="https://shop.muji.tw/SalePage/Index/8916857" TargetMode="External" Id="rId65"/><Relationship Type="http://schemas.openxmlformats.org/officeDocument/2006/relationships/hyperlink" Target="https://shop.muji.tw/SalePage/Index/10258364" TargetMode="External" Id="rId66"/><Relationship Type="http://schemas.openxmlformats.org/officeDocument/2006/relationships/hyperlink" Target="https://shop.muji.tw/SalePage/Index/12006151" TargetMode="External" Id="rId67"/><Relationship Type="http://schemas.openxmlformats.org/officeDocument/2006/relationships/hyperlink" Target="https://shop.muji.tw/SalePage/Index/12006153" TargetMode="External" Id="rId68"/><Relationship Type="http://schemas.openxmlformats.org/officeDocument/2006/relationships/hyperlink" Target="https://shop.muji.tw/SalePage/Index/8916850" TargetMode="External" Id="rId69"/><Relationship Type="http://schemas.openxmlformats.org/officeDocument/2006/relationships/hyperlink" Target="https://shop.muji.tw/SalePage/Index/8916872" TargetMode="External" Id="rId70"/><Relationship Type="http://schemas.openxmlformats.org/officeDocument/2006/relationships/hyperlink" Target="https://shop.muji.tw/SalePage/Index/8916905" TargetMode="External" Id="rId71"/><Relationship Type="http://schemas.openxmlformats.org/officeDocument/2006/relationships/hyperlink" Target="https://shop.muji.tw/SalePage/Index/8916972" TargetMode="External" Id="rId72"/><Relationship Type="http://schemas.openxmlformats.org/officeDocument/2006/relationships/hyperlink" Target="https://shop.muji.tw/SalePage/Index/8916884" TargetMode="External" Id="rId73"/><Relationship Type="http://schemas.openxmlformats.org/officeDocument/2006/relationships/hyperlink" Target="https://shop.muji.tw/SalePage/Index/8917043" TargetMode="External" Id="rId74"/><Relationship Type="http://schemas.openxmlformats.org/officeDocument/2006/relationships/hyperlink" Target="https://shop.muji.tw/SalePage/Index/8916984" TargetMode="External" Id="rId75"/><Relationship Type="http://schemas.openxmlformats.org/officeDocument/2006/relationships/hyperlink" Target="https://shop.muji.tw/SalePage/Index/8917062" TargetMode="External" Id="rId76"/><Relationship Type="http://schemas.openxmlformats.org/officeDocument/2006/relationships/hyperlink" Target="https://shop.muji.tw/SalePage/Index/8920900" TargetMode="External" Id="rId77"/><Relationship Type="http://schemas.openxmlformats.org/officeDocument/2006/relationships/hyperlink" Target="https://shop.muji.tw/SalePage/Index/8920890" TargetMode="External" Id="rId78"/><Relationship Type="http://schemas.openxmlformats.org/officeDocument/2006/relationships/hyperlink" Target="https://shop.muji.tw/SalePage/Index/8920870" TargetMode="External" Id="rId79"/><Relationship Type="http://schemas.openxmlformats.org/officeDocument/2006/relationships/hyperlink" Target="https://shop.muji.tw/SalePage/Index/8920892" TargetMode="External" Id="rId80"/><Relationship Type="http://schemas.openxmlformats.org/officeDocument/2006/relationships/hyperlink" Target="https://shop.muji.tw/SalePage/Index/8921121" TargetMode="External" Id="rId81"/><Relationship Type="http://schemas.openxmlformats.org/officeDocument/2006/relationships/hyperlink" Target="https://shop.muji.tw/SalePage/Index/8920873" TargetMode="External" Id="rId82"/><Relationship Type="http://schemas.openxmlformats.org/officeDocument/2006/relationships/hyperlink" Target="https://shop.muji.tw/SalePage/Index/8920943" TargetMode="External" Id="rId83"/><Relationship Type="http://schemas.openxmlformats.org/officeDocument/2006/relationships/hyperlink" Target="https://shop.muji.tw/SalePage/Index/8920880" TargetMode="External" Id="rId84"/><Relationship Type="http://schemas.openxmlformats.org/officeDocument/2006/relationships/hyperlink" Target="https://shop.muji.tw/SalePage/Index/8920884" TargetMode="External" Id="rId85"/><Relationship Type="http://schemas.openxmlformats.org/officeDocument/2006/relationships/hyperlink" Target="https://shop.muji.tw/SalePage/Index/8920893" TargetMode="External" Id="rId86"/><Relationship Type="http://schemas.openxmlformats.org/officeDocument/2006/relationships/hyperlink" Target="https://shop.muji.tw/SalePage/Index/8920897" TargetMode="External" Id="rId87"/><Relationship Type="http://schemas.openxmlformats.org/officeDocument/2006/relationships/hyperlink" Target="https://shop.muji.tw/SalePage/Index/8920910" TargetMode="External" Id="rId88"/><Relationship Type="http://schemas.openxmlformats.org/officeDocument/2006/relationships/hyperlink" Target="https://shop.muji.tw/SalePage/Index/8920911" TargetMode="External" Id="rId89"/><Relationship Type="http://schemas.openxmlformats.org/officeDocument/2006/relationships/hyperlink" Target="https://shop.muji.tw/SalePage/Index/8920898" TargetMode="External" Id="rId90"/><Relationship Type="http://schemas.openxmlformats.org/officeDocument/2006/relationships/hyperlink" Target="https://shop.muji.tw/SalePage/Index/8920883" TargetMode="External" Id="rId91"/><Relationship Type="http://schemas.openxmlformats.org/officeDocument/2006/relationships/hyperlink" Target="https://shop.muji.tw/SalePage/Index/8920895" TargetMode="External" Id="rId92"/><Relationship Type="http://schemas.openxmlformats.org/officeDocument/2006/relationships/hyperlink" Target="https://shop.muji.tw/SalePage/Index/8920938" TargetMode="External" Id="rId93"/><Relationship Type="http://schemas.openxmlformats.org/officeDocument/2006/relationships/hyperlink" Target="https://shop.muji.tw/SalePage/Index/8920950" TargetMode="External" Id="rId94"/><Relationship Type="http://schemas.openxmlformats.org/officeDocument/2006/relationships/hyperlink" Target="https://shop.muji.tw/SalePage/Index/8920906" TargetMode="External" Id="rId95"/><Relationship Type="http://schemas.openxmlformats.org/officeDocument/2006/relationships/hyperlink" Target="https://shop.muji.tw/muji-journal/pdf/pdf/25AW-storage.pdf" TargetMode="External" Id="rId96"/><Relationship Type="http://schemas.openxmlformats.org/officeDocument/2006/relationships/hyperlink" Target="https://shop.muji.tw/muji-journal/pdf/pdf/25AW-storage.pdf" TargetMode="External" Id="rId97"/><Relationship Type="http://schemas.openxmlformats.org/officeDocument/2006/relationships/hyperlink" Target="https://shop.muji.tw/muji-journal/pdf/pdf/25AW-storage.pdf" TargetMode="External" Id="rId98"/><Relationship Type="http://schemas.openxmlformats.org/officeDocument/2006/relationships/hyperlink" Target="https://shop.muji.tw/SalePage/Index/11781913" TargetMode="External" Id="rId99"/><Relationship Type="http://schemas.openxmlformats.org/officeDocument/2006/relationships/hyperlink" Target="https://shop.muji.tw/SalePage/Index/11781914" TargetMode="External" Id="rId100"/><Relationship Type="http://schemas.openxmlformats.org/officeDocument/2006/relationships/hyperlink" Target="https://shop.muji.tw/SalePage/Index/11781915" TargetMode="External" Id="rId101"/><Relationship Type="http://schemas.openxmlformats.org/officeDocument/2006/relationships/hyperlink" Target="https://shop.muji.tw/SalePage/Index/11781909" TargetMode="External" Id="rId102"/><Relationship Type="http://schemas.openxmlformats.org/officeDocument/2006/relationships/hyperlink" Target="https://shop.muji.tw/SalePage/Index/11781910" TargetMode="External" Id="rId103"/><Relationship Type="http://schemas.openxmlformats.org/officeDocument/2006/relationships/hyperlink" Target="https://shop.muji.tw/SalePage/Index/12052439" TargetMode="External" Id="rId104"/><Relationship Type="http://schemas.openxmlformats.org/officeDocument/2006/relationships/hyperlink" Target="https://shop.muji.tw/SalePage/Index/12052443" TargetMode="External" Id="rId105"/><Relationship Type="http://schemas.openxmlformats.org/officeDocument/2006/relationships/hyperlink" Target="https://shop.muji.tw/SalePage/Index/12052438" TargetMode="External" Id="rId106"/><Relationship Type="http://schemas.openxmlformats.org/officeDocument/2006/relationships/hyperlink" Target="https://shop.muji.tw/SalePage/Index/12052442" TargetMode="External" Id="rId107"/><Relationship Type="http://schemas.openxmlformats.org/officeDocument/2006/relationships/hyperlink" Target="https://shop.muji.tw/SalePage/Index/8920981" TargetMode="External" Id="rId108"/><Relationship Type="http://schemas.openxmlformats.org/officeDocument/2006/relationships/hyperlink" Target="https://shop.muji.tw/SalePage/Index/8920964" TargetMode="External" Id="rId109"/><Relationship Type="http://schemas.openxmlformats.org/officeDocument/2006/relationships/hyperlink" Target="https://shop.muji.tw/SalePage/Index/8920940" TargetMode="External" Id="rId110"/><Relationship Type="http://schemas.openxmlformats.org/officeDocument/2006/relationships/hyperlink" Target="https://shop.muji.tw/SalePage/Index/8920946" TargetMode="External" Id="rId111"/><Relationship Type="http://schemas.openxmlformats.org/officeDocument/2006/relationships/hyperlink" Target="https://shop.muji.tw/SalePage/Index/8920939" TargetMode="External" Id="rId112"/><Relationship Type="http://schemas.openxmlformats.org/officeDocument/2006/relationships/hyperlink" Target="https://shop.muji.tw/SalePage/Index/11851158" TargetMode="External" Id="rId113"/><Relationship Type="http://schemas.openxmlformats.org/officeDocument/2006/relationships/hyperlink" Target="https://shop.muji.tw/SalePage/Index/11341048" TargetMode="External" Id="rId114"/><Relationship Type="http://schemas.openxmlformats.org/officeDocument/2006/relationships/hyperlink" Target="https://shop.muji.tw/muji-journal/pdf/pdf/25AW-storage.pdf" TargetMode="External" Id="rId115"/><Relationship Type="http://schemas.openxmlformats.org/officeDocument/2006/relationships/hyperlink" Target="https://www.nitori-net.tw/product/8422231" TargetMode="External" Id="rId116"/><Relationship Type="http://schemas.openxmlformats.org/officeDocument/2006/relationships/hyperlink" Target="https://www.nitori-net.tw/product/8422262" TargetMode="External" Id="rId117"/><Relationship Type="http://schemas.openxmlformats.org/officeDocument/2006/relationships/hyperlink" Target="https://www.nitori-net.tw/product/8422233" TargetMode="External" Id="rId118"/><Relationship Type="http://schemas.openxmlformats.org/officeDocument/2006/relationships/hyperlink" Target="https://www.nitori-net.tw/product/8422264" TargetMode="External" Id="rId119"/><Relationship Type="http://schemas.openxmlformats.org/officeDocument/2006/relationships/hyperlink" Target="https://www.nitori-net.tw/product/8422233-8422236" TargetMode="External" Id="rId120"/><Relationship Type="http://schemas.openxmlformats.org/officeDocument/2006/relationships/hyperlink" Target="https://www.nitori-net.tw/product/8732701" TargetMode="External" Id="rId121"/><Relationship Type="http://schemas.openxmlformats.org/officeDocument/2006/relationships/hyperlink" Target="https://www.nitori-net.tw/product/8732702" TargetMode="External" Id="rId122"/><Relationship Type="http://schemas.openxmlformats.org/officeDocument/2006/relationships/hyperlink" Target="https://www.nitori-net.tw/product/8732703" TargetMode="External" Id="rId123"/><Relationship Type="http://schemas.openxmlformats.org/officeDocument/2006/relationships/hyperlink" Target="https://www.nitori-net.tw/product/8732704" TargetMode="External" Id="rId124"/><Relationship Type="http://schemas.openxmlformats.org/officeDocument/2006/relationships/hyperlink" Target="https://www.nitori-net.tw/product/8732705" TargetMode="External" Id="rId125"/><Relationship Type="http://schemas.openxmlformats.org/officeDocument/2006/relationships/hyperlink" Target="https://www.nitori-net.tw/product/8732706" TargetMode="External" Id="rId126"/><Relationship Type="http://schemas.openxmlformats.org/officeDocument/2006/relationships/hyperlink" Target="https://www.nitori-net.tw/product/2113200005459" TargetMode="External" Id="rId127"/><Relationship Type="http://schemas.openxmlformats.org/officeDocument/2006/relationships/hyperlink" Target="https://www.nitori-net.tw/product/8734041" TargetMode="External" Id="rId128"/><Relationship Type="http://schemas.openxmlformats.org/officeDocument/2006/relationships/hyperlink" Target="https://www.nitori-net.tw/product/2113200000294" TargetMode="External" Id="rId129"/><Relationship Type="http://schemas.openxmlformats.org/officeDocument/2006/relationships/hyperlink" Target="https://www.nitori-net.tw/product/8421411" TargetMode="External" Id="rId130"/><Relationship Type="http://schemas.openxmlformats.org/officeDocument/2006/relationships/hyperlink" Target="https://www.nitori-net.tw/product/8421413" TargetMode="External" Id="rId131"/><Relationship Type="http://schemas.openxmlformats.org/officeDocument/2006/relationships/hyperlink" Target="https://www.nitori-net.tw/product/8421412" TargetMode="External" Id="rId132"/><Relationship Type="http://schemas.openxmlformats.org/officeDocument/2006/relationships/hyperlink" Target="https://www.nitori-net.tw/product/8421414" TargetMode="External" Id="rId133"/><Relationship Type="http://schemas.openxmlformats.org/officeDocument/2006/relationships/hyperlink" Target="https://www.nitori-net.tw/product/2113200002892" TargetMode="External" Id="rId134"/><Relationship Type="http://schemas.openxmlformats.org/officeDocument/2006/relationships/hyperlink" Target="https://www.nitori-net.tw/product/2113200002915" TargetMode="External" Id="rId135"/><Relationship Type="http://schemas.openxmlformats.org/officeDocument/2006/relationships/hyperlink" Target="https://www.nitori-net.tw/product/2113200002908" TargetMode="External" Id="rId136"/><Relationship Type="http://schemas.openxmlformats.org/officeDocument/2006/relationships/hyperlink" Target="https://www.nitori-net.tw/product/2113200002922" TargetMode="External" Id="rId137"/><Relationship Type="http://schemas.openxmlformats.org/officeDocument/2006/relationships/hyperlink" Target="https://www.nitori-net.tw/product/5842257" TargetMode="External" Id="rId138"/><Relationship Type="http://schemas.openxmlformats.org/officeDocument/2006/relationships/hyperlink" Target="https://www.nitori-net.tw/product/5842258" TargetMode="External" Id="rId139"/><Relationship Type="http://schemas.openxmlformats.org/officeDocument/2006/relationships/hyperlink" Target="https://www.nitori-net.tw/product/2113200010408" TargetMode="External" Id="rId140"/><Relationship Type="http://schemas.openxmlformats.org/officeDocument/2006/relationships/hyperlink" Target="https://www.nitori-net.tw/product/2113200010392" TargetMode="External" Id="rId141"/><Relationship Type="http://schemas.openxmlformats.org/officeDocument/2006/relationships/hyperlink" Target="https://www.nitori-net.tw/product/8732215" TargetMode="External" Id="rId142"/><Relationship Type="http://schemas.openxmlformats.org/officeDocument/2006/relationships/hyperlink" Target="https://www.nitori-net.tw/product/8732216" TargetMode="External" Id="rId143"/><Relationship Type="http://schemas.openxmlformats.org/officeDocument/2006/relationships/hyperlink" Target="https://www.nitori-net.tw/product/8732217" TargetMode="External" Id="rId144"/><Relationship Type="http://schemas.openxmlformats.org/officeDocument/2006/relationships/hyperlink" Target="https://www.nitori-net.tw/product/8732218" TargetMode="External" Id="rId145"/><Relationship Type="http://schemas.openxmlformats.org/officeDocument/2006/relationships/hyperlink" Target="https://www.nitori-net.tw/product/8732219" TargetMode="External" Id="rId146"/><Relationship Type="http://schemas.openxmlformats.org/officeDocument/2006/relationships/hyperlink" Target="https://www.nitori-net.tw/product/8732221" TargetMode="External" Id="rId147"/><Relationship Type="http://schemas.openxmlformats.org/officeDocument/2006/relationships/hyperlink" Target="https://www.nitori-net.tw/product/8732683" TargetMode="External" Id="rId148"/><Relationship Type="http://schemas.openxmlformats.org/officeDocument/2006/relationships/hyperlink" Target="https://www.nitori-net.tw/product/8732684" TargetMode="External" Id="rId149"/><Relationship Type="http://schemas.openxmlformats.org/officeDocument/2006/relationships/hyperlink" Target="https://www.nitori-net.tw/product/8732681" TargetMode="External" Id="rId150"/><Relationship Type="http://schemas.openxmlformats.org/officeDocument/2006/relationships/hyperlink" Target="https://www.nitori-net.tw/product/8732685" TargetMode="External" Id="rId151"/><Relationship Type="http://schemas.openxmlformats.org/officeDocument/2006/relationships/hyperlink" Target="https://www.nitori-net.tw/product/8732682" TargetMode="External" Id="rId152"/><Relationship Type="http://schemas.openxmlformats.org/officeDocument/2006/relationships/hyperlink" Target="https://www.nitori-net.tw/product/8732686" TargetMode="External" Id="rId153"/><Relationship Type="http://schemas.openxmlformats.org/officeDocument/2006/relationships/hyperlink" Target="https://www.nitori-net.tw/product/8732687" TargetMode="External" Id="rId154"/><Relationship Type="http://schemas.openxmlformats.org/officeDocument/2006/relationships/hyperlink" Target="https://www.nitori-net.tw/product/8490226" TargetMode="External" Id="rId155"/><Relationship Type="http://schemas.openxmlformats.org/officeDocument/2006/relationships/hyperlink" Target="https://www.nitori-net.tw/product/8490227" TargetMode="External" Id="rId156"/><Relationship Type="http://schemas.openxmlformats.org/officeDocument/2006/relationships/hyperlink" Target="https://www.nitori-net.tw/product/8490228" TargetMode="External" Id="rId157"/><Relationship Type="http://schemas.openxmlformats.org/officeDocument/2006/relationships/hyperlink" Target="https://www.nitori-net.tw/product/8511532" TargetMode="External" Id="rId158"/><Relationship Type="http://schemas.openxmlformats.org/officeDocument/2006/relationships/hyperlink" Target="https://www.nitori-net.tw/product/8511533" TargetMode="External" Id="rId159"/><Relationship Type="http://schemas.openxmlformats.org/officeDocument/2006/relationships/hyperlink" Target="https://www.nitori-net.tw/product/8511534" TargetMode="External" Id="rId160"/><Relationship Type="http://schemas.openxmlformats.org/officeDocument/2006/relationships/hyperlink" Target="https://www.nitori-net.tw/product/8511624" TargetMode="External" Id="rId161"/><Relationship Type="http://schemas.openxmlformats.org/officeDocument/2006/relationships/hyperlink" Target="https://www.nitori-net.tw/product/8511625" TargetMode="External" Id="rId162"/><Relationship Type="http://schemas.openxmlformats.org/officeDocument/2006/relationships/hyperlink" Target="https://www.nitori-net.tw/product/8511626" TargetMode="External" Id="rId163"/><Relationship Type="http://schemas.openxmlformats.org/officeDocument/2006/relationships/hyperlink" Target="https://www.nitori-net.tw/product/8161531" TargetMode="External" Id="rId164"/><Relationship Type="http://schemas.openxmlformats.org/officeDocument/2006/relationships/hyperlink" Target="https://www.nitori-net.tw/product/8161532" TargetMode="External" Id="rId165"/><Relationship Type="http://schemas.openxmlformats.org/officeDocument/2006/relationships/hyperlink" Target="https://www.nitori-net.tw/product/8161533" TargetMode="External" Id="rId166"/><Relationship Type="http://schemas.openxmlformats.org/officeDocument/2006/relationships/hyperlink" Target="https://www.nitori-net.tw/product/8161534" TargetMode="External" Id="rId167"/><Relationship Type="http://schemas.openxmlformats.org/officeDocument/2006/relationships/hyperlink" Target="https://www.nitori-net.tw/product/8161537" TargetMode="External" Id="rId168"/><Relationship Type="http://schemas.openxmlformats.org/officeDocument/2006/relationships/hyperlink" Target="https://www.nitori-net.tw/product/8422111" TargetMode="External" Id="rId169"/><Relationship Type="http://schemas.openxmlformats.org/officeDocument/2006/relationships/hyperlink" Target="https://www.nitori-net.tw/product/8422112" TargetMode="External" Id="rId170"/><Relationship Type="http://schemas.openxmlformats.org/officeDocument/2006/relationships/hyperlink" Target="https://www.nitori-net.tw/product/8422113" TargetMode="External" Id="rId171"/><Relationship Type="http://schemas.openxmlformats.org/officeDocument/2006/relationships/hyperlink" Target="https://www.nitori-net.tw/product/8422114" TargetMode="External" Id="rId172"/><Relationship Type="http://schemas.openxmlformats.org/officeDocument/2006/relationships/hyperlink" Target="https://www.nitori-net.tw/product/8421081" TargetMode="External" Id="rId173"/><Relationship Type="http://schemas.openxmlformats.org/officeDocument/2006/relationships/hyperlink" Target="https://www.nitori-net.tw/product/8421085" TargetMode="External" Id="rId174"/><Relationship Type="http://schemas.openxmlformats.org/officeDocument/2006/relationships/hyperlink" Target="https://www.nitori-net.tw/product/8421219" TargetMode="External" Id="rId175"/><Relationship Type="http://schemas.openxmlformats.org/officeDocument/2006/relationships/hyperlink" Target="https://www.nitori-net.tw/product/5840105" TargetMode="External" Id="rId176"/><Relationship Type="http://schemas.openxmlformats.org/officeDocument/2006/relationships/hyperlink" Target="https://www.nitori-net.tw/product/5840104" TargetMode="External" Id="rId177"/><Relationship Type="http://schemas.openxmlformats.org/officeDocument/2006/relationships/hyperlink" Target="https://www.nitori-net.tw/product/5840293" TargetMode="External" Id="rId178"/><Relationship Type="http://schemas.openxmlformats.org/officeDocument/2006/relationships/hyperlink" Target="https://www.nitori-net.tw/product/5840057" TargetMode="External" Id="rId179"/><Relationship Type="http://schemas.openxmlformats.org/officeDocument/2006/relationships/hyperlink" Target="https://www.nitori-net.tw/product/2113200003783" TargetMode="External" Id="rId180"/><Relationship Type="http://schemas.openxmlformats.org/officeDocument/2006/relationships/hyperlink" Target="https://www.nitori-net.tw/product/2113200003790" TargetMode="External" Id="rId181"/><Relationship Type="http://schemas.openxmlformats.org/officeDocument/2006/relationships/hyperlink" Target="https://www.nitori-net.tw/product/2113200003806" TargetMode="External" Id="rId182"/><Relationship Type="http://schemas.openxmlformats.org/officeDocument/2006/relationships/hyperlink" Target="https://www.nitori-net.tw/product/2113200003837" TargetMode="External" Id="rId183"/><Relationship Type="http://schemas.openxmlformats.org/officeDocument/2006/relationships/hyperlink" Target="https://www.nitori-net.tw/product/8420811" TargetMode="External" Id="rId184"/><Relationship Type="http://schemas.openxmlformats.org/officeDocument/2006/relationships/hyperlink" Target="https://www.nitori-net.tw/product/8420812" TargetMode="External" Id="rId185"/><Relationship Type="http://schemas.openxmlformats.org/officeDocument/2006/relationships/hyperlink" Target="https://www.nitori-net.tw/product/8420813" TargetMode="External" Id="rId186"/><Relationship Type="http://schemas.openxmlformats.org/officeDocument/2006/relationships/hyperlink" Target="https://www.nitori-net.tw/product/8420814" TargetMode="External" Id="rId187"/><Relationship Type="http://schemas.openxmlformats.org/officeDocument/2006/relationships/hyperlink" Target="https://www.nitori-net.tw/product/2113200010194" TargetMode="External" Id="rId188"/><Relationship Type="http://schemas.openxmlformats.org/officeDocument/2006/relationships/hyperlink" Target="https://www.nitori-net.tw/product/2113200010200" TargetMode="External" Id="rId189"/><Relationship Type="http://schemas.openxmlformats.org/officeDocument/2006/relationships/hyperlink" Target="https://www.nitori-net.tw/product/2113200010217" TargetMode="External" Id="rId190"/><Relationship Type="http://schemas.openxmlformats.org/officeDocument/2006/relationships/hyperlink" Target="https://www.nitori-net.tw/product/2113200010224" TargetMode="External" Id="rId191"/><Relationship Type="http://schemas.openxmlformats.org/officeDocument/2006/relationships/hyperlink" Target="https://www.nitori-net.tw/product/8161063" TargetMode="External" Id="rId192"/><Relationship Type="http://schemas.openxmlformats.org/officeDocument/2006/relationships/hyperlink" Target="https://www.nitori-net.tw/product/8161064" TargetMode="External" Id="rId193"/><Relationship Type="http://schemas.openxmlformats.org/officeDocument/2006/relationships/hyperlink" Target="https://www.nitori-net.tw/product/8161065" TargetMode="External" Id="rId194"/><Relationship Type="http://schemas.openxmlformats.org/officeDocument/2006/relationships/hyperlink" Target="https://www.nitori-net.tw/product/8161066" TargetMode="External" Id="rId195"/><Relationship Type="http://schemas.openxmlformats.org/officeDocument/2006/relationships/hyperlink" Target="https://www.nitori-net.tw/product/2113200003523" TargetMode="External" Id="rId196"/><Relationship Type="http://schemas.openxmlformats.org/officeDocument/2006/relationships/hyperlink" Target="https://www.nitori-net.tw/product/2113200003530" TargetMode="External" Id="rId197"/><Relationship Type="http://schemas.openxmlformats.org/officeDocument/2006/relationships/hyperlink" Target="https://www.nitori-net.tw/product/2113200003547" TargetMode="External" Id="rId198"/><Relationship Type="http://schemas.openxmlformats.org/officeDocument/2006/relationships/hyperlink" Target="https://www.nitori-net.tw/product/2113200003554" TargetMode="External" Id="rId199"/><Relationship Type="http://schemas.openxmlformats.org/officeDocument/2006/relationships/hyperlink" Target="https://www.nitori-net.tw/product/8440412" TargetMode="External" Id="rId200"/><Relationship Type="http://schemas.openxmlformats.org/officeDocument/2006/relationships/hyperlink" Target="https://www.nitori-net.tw/product/8430757" TargetMode="External" Id="rId201"/><Relationship Type="http://schemas.openxmlformats.org/officeDocument/2006/relationships/hyperlink" Target="https://www.nitori-net.tw/product/8430848" TargetMode="External" Id="rId202"/><Relationship Type="http://schemas.openxmlformats.org/officeDocument/2006/relationships/hyperlink" Target="https://www.nitori-net.tw/product/8430798" TargetMode="External" Id="rId203"/><Relationship Type="http://schemas.openxmlformats.org/officeDocument/2006/relationships/hyperlink" Target="https://www.nitori-net.tw/product/2113200003233" TargetMode="External" Id="rId204"/><Relationship Type="http://schemas.openxmlformats.org/officeDocument/2006/relationships/hyperlink" Target="https://www.nitori-net.tw/product/2113200003240" TargetMode="External" Id="rId205"/><Relationship Type="http://schemas.openxmlformats.org/officeDocument/2006/relationships/hyperlink" Target="https://www.nitori-net.tw/product/2113200003257" TargetMode="External" Id="rId206"/><Relationship Type="http://schemas.openxmlformats.org/officeDocument/2006/relationships/hyperlink" Target="https://www.nitori-net.tw/product/8161015" TargetMode="External" Id="rId207"/><Relationship Type="http://schemas.openxmlformats.org/officeDocument/2006/relationships/hyperlink" Target="https://www.nitori-net.tw/product/8161013" TargetMode="External" Id="rId208"/><Relationship Type="http://schemas.openxmlformats.org/officeDocument/2006/relationships/hyperlink" Target="https://www.nitori-net.tw/product/8161016" TargetMode="External" Id="rId209"/><Relationship Type="http://schemas.openxmlformats.org/officeDocument/2006/relationships/hyperlink" Target="https://www.nitori-net.tw/product/8161014" TargetMode="External" Id="rId210"/><Relationship Type="http://schemas.openxmlformats.org/officeDocument/2006/relationships/hyperlink" Target="https://www.nitori-net.tw/product/8988261" TargetMode="External" Id="rId211"/><Relationship Type="http://schemas.openxmlformats.org/officeDocument/2006/relationships/hyperlink" Target="https://www.nitori-net.tw/product/8988262" TargetMode="External" Id="rId212"/><Relationship Type="http://schemas.openxmlformats.org/officeDocument/2006/relationships/hyperlink" Target="https://www.nitori-net.tw/product/8987921" TargetMode="External" Id="rId213"/><Relationship Type="http://schemas.openxmlformats.org/officeDocument/2006/relationships/hyperlink" Target="https://www.nitori-net.tw/product/8987922" TargetMode="External" Id="rId214"/><Relationship Type="http://schemas.openxmlformats.org/officeDocument/2006/relationships/hyperlink" Target="https://www.nitori-net.tw/product/5898407" TargetMode="External" Id="rId215"/><Relationship Type="http://schemas.openxmlformats.org/officeDocument/2006/relationships/hyperlink" Target="https://www.nitori-net.tw/product/5898406" TargetMode="External" Id="rId216"/><Relationship Type="http://schemas.openxmlformats.org/officeDocument/2006/relationships/hyperlink" Target="https://www.nitori-net.tw/product/8920341" TargetMode="External" Id="rId217"/><Relationship Type="http://schemas.openxmlformats.org/officeDocument/2006/relationships/hyperlink" Target="https://www.nitori-net.tw/product/8920342" TargetMode="External" Id="rId218"/><Relationship Type="http://schemas.openxmlformats.org/officeDocument/2006/relationships/hyperlink" Target="https://www.nitori-net.tw/product/8920343" TargetMode="External" Id="rId219"/><Relationship Type="http://schemas.openxmlformats.org/officeDocument/2006/relationships/hyperlink" Target="https://www.nitori-net.tw/product/8920443" TargetMode="External" Id="rId220"/><Relationship Type="http://schemas.openxmlformats.org/officeDocument/2006/relationships/hyperlink" Target="https://www.nitori-net.tw/product/8920371" TargetMode="External" Id="rId221"/><Relationship Type="http://schemas.openxmlformats.org/officeDocument/2006/relationships/hyperlink" Target="https://www.nitori-net.tw/product/8920348" TargetMode="External" Id="rId222"/><Relationship Type="http://schemas.openxmlformats.org/officeDocument/2006/relationships/hyperlink" Target="https://www.nitori-net.tw/product/5870132" TargetMode="External" Id="rId223"/><Relationship Type="http://schemas.openxmlformats.org/officeDocument/2006/relationships/hyperlink" Target="https://www.nitori-net.tw/product/5870134" TargetMode="External" Id="rId224"/><Relationship Type="http://schemas.openxmlformats.org/officeDocument/2006/relationships/hyperlink" Target="https://www.nitori-net.tw/product/5870136" TargetMode="External" Id="rId225"/><Relationship Type="http://schemas.openxmlformats.org/officeDocument/2006/relationships/hyperlink" Target="https://www.nitori-net.tw/product/8732195" TargetMode="External" Id="rId226"/><Relationship Type="http://schemas.openxmlformats.org/officeDocument/2006/relationships/hyperlink" Target="https://www.nitori-net.tw/product/2113200003318" TargetMode="External" Id="rId227"/><Relationship Type="http://schemas.openxmlformats.org/officeDocument/2006/relationships/hyperlink" Target="https://www.nitori-net.tw/product/2113200003370" TargetMode="External" Id="rId228"/><Relationship Type="http://schemas.openxmlformats.org/officeDocument/2006/relationships/hyperlink" Target="https://www.nitori-net.tw/product/2113200003356" TargetMode="External" Id="rId229"/><Relationship Type="http://schemas.openxmlformats.org/officeDocument/2006/relationships/hyperlink" Target="https://www.nitori-net.tw/product/2113200003349" TargetMode="External" Id="rId230"/><Relationship Type="http://schemas.openxmlformats.org/officeDocument/2006/relationships/hyperlink" Target="https://www.nitori-net.tw/product/2113200003363" TargetMode="External" Id="rId231"/><Relationship Type="http://schemas.openxmlformats.org/officeDocument/2006/relationships/hyperlink" Target="https://www.nitori-net.tw/product/8130589" TargetMode="External" Id="rId232"/><Relationship Type="http://schemas.openxmlformats.org/officeDocument/2006/relationships/hyperlink" Target="https://www.nitori-net.tw/product/8130608" TargetMode="External" Id="rId233"/><Relationship Type="http://schemas.openxmlformats.org/officeDocument/2006/relationships/hyperlink" Target="https://www.nitori-net.tw/product/2113200012389" TargetMode="External" Id="rId234"/><Relationship Type="http://schemas.openxmlformats.org/officeDocument/2006/relationships/hyperlink" Target="https://www.nitori-net.tw/product/2113200012402" TargetMode="External" Id="rId235"/><Relationship Type="http://schemas.openxmlformats.org/officeDocument/2006/relationships/hyperlink" Target="https://www.nitori-net.tw/product/2113200012327" TargetMode="External" Id="rId236"/><Relationship Type="http://schemas.openxmlformats.org/officeDocument/2006/relationships/hyperlink" Target="https://www.nitori-net.tw/product/2113200012976" TargetMode="External" Id="rId237"/><Relationship Type="http://schemas.openxmlformats.org/officeDocument/2006/relationships/hyperlink" Target="https://www.nitori-net.tw/product/2113200012372" TargetMode="External" Id="rId238"/><Relationship Type="http://schemas.openxmlformats.org/officeDocument/2006/relationships/hyperlink" Target="https://www.nitori-net.tw/product/2113200012396" TargetMode="External" Id="rId239"/><Relationship Type="http://schemas.openxmlformats.org/officeDocument/2006/relationships/hyperlink" Target="https://www.nitori-net.tw/product/2113200010729" TargetMode="External" Id="rId240"/><Relationship Type="http://schemas.openxmlformats.org/officeDocument/2006/relationships/hyperlink" Target="https://www.nitori-net.tw/product/2113200012938" TargetMode="External" Id="rId241"/><Relationship Type="http://schemas.openxmlformats.org/officeDocument/2006/relationships/hyperlink" Target="https://www.nitori-net.tw/product/2113200003264" TargetMode="External" Id="rId242"/><Relationship Type="http://schemas.openxmlformats.org/officeDocument/2006/relationships/hyperlink" Target="https://www.nitori-net.tw/product/8920341-8920342set7" TargetMode="External" Id="rId243"/><Relationship Type="http://schemas.openxmlformats.org/officeDocument/2006/relationships/hyperlink" Target="https://www.nitori-net.tw/product/8920341-8920342set7" TargetMode="External" Id="rId244"/><Relationship Type="http://schemas.openxmlformats.org/officeDocument/2006/relationships/hyperlink" Target="https://www.nitori-net.tw/product/8920341-8920342set7" TargetMode="External" Id="rId245"/><Relationship Type="http://schemas.openxmlformats.org/officeDocument/2006/relationships/hyperlink" Target="https://www.nitori-net.tw/product/8920423-8920433set" TargetMode="External" Id="rId246"/><Relationship Type="http://schemas.openxmlformats.org/officeDocument/2006/relationships/hyperlink" Target="https://www.nitori-net.tw/product/8920423-8920433set" TargetMode="External" Id="rId247"/><Relationship Type="http://schemas.openxmlformats.org/officeDocument/2006/relationships/hyperlink" Target="https://www.ikea.com.tw/zh/products/boxes-and-organisers/organisers/baxna-art-20474371" TargetMode="External" Id="rId248"/><Relationship Type="http://schemas.openxmlformats.org/officeDocument/2006/relationships/hyperlink" Target="https://www.ikea.com.tw/zh/products/boxes-and-organisers/organisers/baxna-art-80486291" TargetMode="External" Id="rId249"/><Relationship Type="http://schemas.openxmlformats.org/officeDocument/2006/relationships/hyperlink" Target="https://www.ikea.com.tw/zh/products/boxes-and-organisers/boxes-and-baskets/bekna-art-90513393" TargetMode="External" Id="rId250"/><Relationship Type="http://schemas.openxmlformats.org/officeDocument/2006/relationships/hyperlink" Target="https://www.ikea.com.tw/zh/products/boxes-and-organisers/organisers/billingen-art-10270402" TargetMode="External" Id="rId251"/><Relationship Type="http://schemas.openxmlformats.org/officeDocument/2006/relationships/hyperlink" Target="https://www.ikea.com.tw/zh/products/boxes-and-organisers/boxes-and-baskets/bladdra-art-30586778" TargetMode="External" Id="rId252"/><Relationship Type="http://schemas.openxmlformats.org/officeDocument/2006/relationships/hyperlink" Target="https://www.ikea.com.tw/zh/products/boxes-and-organisers/boxes-and-baskets/branas-art-80173153" TargetMode="External" Id="rId253"/><Relationship Type="http://schemas.openxmlformats.org/officeDocument/2006/relationships/hyperlink" Target="https://www.ikea.com.tw/zh/products/boxes-and-organisers/boxes-and-baskets/bullig-art-10474593" TargetMode="External" Id="rId254"/><Relationship Type="http://schemas.openxmlformats.org/officeDocument/2006/relationships/hyperlink" Target="https://www.ikea.com.tw/zh/products/boxes-and-organisers/boxes-and-baskets/drona-art-20443978" TargetMode="External" Id="rId255"/><Relationship Type="http://schemas.openxmlformats.org/officeDocument/2006/relationships/hyperlink" Target="https://www.ikea.com.tw/zh/products/boxes-and-organisers/boxes-and-baskets/drona-art-90467070" TargetMode="External" Id="rId256"/><Relationship Type="http://schemas.openxmlformats.org/officeDocument/2006/relationships/hyperlink" Target="https://www.ikea.com.tw/zh/products/boxes-and-organisers/boxes-and-baskets/drona-art-30632134" TargetMode="External" Id="rId257"/><Relationship Type="http://schemas.openxmlformats.org/officeDocument/2006/relationships/hyperlink" Target="https://www.ikea.com.tw/zh/products/boxes-and-organisers/boxes-and-baskets/drona-spr-59634302" TargetMode="External" Id="rId258"/><Relationship Type="http://schemas.openxmlformats.org/officeDocument/2006/relationships/hyperlink" Target="https://www.ikea.com.tw/zh/products/boxes-and-organisers/boxes-and-baskets/drona-spr-59634509" TargetMode="External" Id="rId259"/><Relationship Type="http://schemas.openxmlformats.org/officeDocument/2006/relationships/hyperlink" Target="https://www.ikea.com.tw/zh/products/boxes-and-organisers/boxes-and-baskets/drona-spr-99634512" TargetMode="External" Id="rId260"/><Relationship Type="http://schemas.openxmlformats.org/officeDocument/2006/relationships/hyperlink" Target="https://www.ikea.com.tw/zh/products/boxes-and-organisers/boxes-and-baskets/dronjons-art-00515495" TargetMode="External" Id="rId261"/><Relationship Type="http://schemas.openxmlformats.org/officeDocument/2006/relationships/hyperlink" Target="https://www.ikea.com.tw/zh/products/boxes-and-organisers/organisers/dronjons-art-80428828" TargetMode="External" Id="rId262"/><Relationship Type="http://schemas.openxmlformats.org/officeDocument/2006/relationships/hyperlink" Target="https://www.ikea.com.tw/zh/products/boxes-and-organisers/organisers/dronjons-art-40428825" TargetMode="External" Id="rId263"/><Relationship Type="http://schemas.openxmlformats.org/officeDocument/2006/relationships/hyperlink" Target="https://www.ikea.com.tw/zh/products/boxes-and-organisers/boxes-and-baskets/fjaderharv-art-10596924" TargetMode="External" Id="rId264"/><Relationship Type="http://schemas.openxmlformats.org/officeDocument/2006/relationships/hyperlink" Target="https://www.ikea.com.tw/zh/products/boxes-and-organisers/boxes-and-baskets/fjaderharv-art-60596926" TargetMode="External" Id="rId265"/><Relationship Type="http://schemas.openxmlformats.org/officeDocument/2006/relationships/hyperlink" Target="https://www.ikea.com.tw/zh/products/boxes-and-organisers/organisers/fodertrag-art-70590764" TargetMode="External" Id="rId266"/><Relationship Type="http://schemas.openxmlformats.org/officeDocument/2006/relationships/hyperlink" Target="https://www.ikea.com.tw/zh/products/boxes-and-organisers/organisers/fanggroda-art-90559526" TargetMode="External" Id="rId267"/><Relationship Type="http://schemas.openxmlformats.org/officeDocument/2006/relationships/hyperlink" Target="https://www.ikea.com.tw/zh/products/boxes-and-organisers/boxes-and-baskets/gjatta-art-00599678" TargetMode="External" Id="rId268"/><Relationship Type="http://schemas.openxmlformats.org/officeDocument/2006/relationships/hyperlink" Target="https://www.ikea.com.tw/zh/products/boxes-and-organisers/boxes-and-baskets/gjatta-art-00599683" TargetMode="External" Id="rId269"/><Relationship Type="http://schemas.openxmlformats.org/officeDocument/2006/relationships/hyperlink" Target="https://www.ikea.com.tw/zh/products/boxes-and-organisers/boxes-and-baskets/gjatta-art-60599680" TargetMode="External" Id="rId270"/><Relationship Type="http://schemas.openxmlformats.org/officeDocument/2006/relationships/hyperlink" Target="https://www.ikea.com.tw/zh/products/boxes-and-organisers/boxes-and-baskets/gardesgard-art-80596954" TargetMode="External" Id="rId271"/><Relationship Type="http://schemas.openxmlformats.org/officeDocument/2006/relationships/hyperlink" Target="https://www.ikea.com.tw/zh/products/boxes-and-organisers/boxes-and-baskets/gardesgard-art-30596956" TargetMode="External" Id="rId272"/><Relationship Type="http://schemas.openxmlformats.org/officeDocument/2006/relationships/hyperlink" Target="https://www.ikea.com.tw/zh/products/boxes-and-organisers/organisers/harvmatta-art-00555306" TargetMode="External" Id="rId273"/><Relationship Type="http://schemas.openxmlformats.org/officeDocument/2006/relationships/hyperlink" Target="https://www.ikea.com.tw/zh/products/boxes-and-organisers/organisers/harvmatta-art-10555301" TargetMode="External" Id="rId274"/><Relationship Type="http://schemas.openxmlformats.org/officeDocument/2006/relationships/hyperlink" Target="https://www.ikea.com.tw/zh/products/clothes-and-shoe-organisers-and-accessories/clothes-and-shoes-organisers/hemmafixare-art-50503923" TargetMode="External" Id="rId275"/><Relationship Type="http://schemas.openxmlformats.org/officeDocument/2006/relationships/hyperlink" Target="https://www.ikea.com.tw/zh/products/boxes-and-organisers/organisers/hovagn-art-20534394" TargetMode="External" Id="rId276"/><Relationship Type="http://schemas.openxmlformats.org/officeDocument/2006/relationships/hyperlink" Target="https://www.ikea.com.tw/zh/products/boxes-and-organisers/organisers/hovagn-art-70534396" TargetMode="External" Id="rId277"/><Relationship Type="http://schemas.openxmlformats.org/officeDocument/2006/relationships/hyperlink" Target="https://www.ikea.com.tw/zh/products/boxes-and-organisers/organisers/hovagn-art-50534397" TargetMode="External" Id="rId278"/><Relationship Type="http://schemas.openxmlformats.org/officeDocument/2006/relationships/hyperlink" Target="https://www.ikea.com.tw/zh/products/boxes-and-organisers/organisers/hovagn-art-30534398" TargetMode="External" Id="rId279"/><Relationship Type="http://schemas.openxmlformats.org/officeDocument/2006/relationships/hyperlink" Target="https://www.ikea.com.tw/zh/products/boxes-and-organisers/boxes-and-baskets/jagmastare-art-40555875" TargetMode="External" Id="rId280"/><Relationship Type="http://schemas.openxmlformats.org/officeDocument/2006/relationships/hyperlink" Target="https://www.ikea.com.tw/zh/products/boxes-and-organisers/organisers/kackla-art-00534385" TargetMode="External" Id="rId281"/><Relationship Type="http://schemas.openxmlformats.org/officeDocument/2006/relationships/hyperlink" Target="https://www.ikea.com.tw/zh/products/boxes-and-organisers/organisers/kackla-art-80534386" TargetMode="External" Id="rId282"/><Relationship Type="http://schemas.openxmlformats.org/officeDocument/2006/relationships/hyperlink" Target="https://www.ikea.com.tw/zh/products/boxes-and-organisers/organisers/kackla-art-30534384" TargetMode="External" Id="rId283"/><Relationship Type="http://schemas.openxmlformats.org/officeDocument/2006/relationships/hyperlink" Target="https://www.ikea.com.tw/zh/products/boxes-and-organisers/organisers/kackla-art-50534383" TargetMode="External" Id="rId284"/><Relationship Type="http://schemas.openxmlformats.org/officeDocument/2006/relationships/hyperlink" Target="https://www.ikea.com.tw/zh/products/boxes-and-organisers/boxes-and-baskets/knagglig-art-50292360" TargetMode="External" Id="rId285"/><Relationship Type="http://schemas.openxmlformats.org/officeDocument/2006/relationships/hyperlink" Target="https://www.ikea.com.tw/zh/products/boxes-and-organisers/boxes-and-baskets/knipsa-art-90173299" TargetMode="External" Id="rId286"/><Relationship Type="http://schemas.openxmlformats.org/officeDocument/2006/relationships/hyperlink" Target="https://www.ikea.com.tw/zh/products/boxes-and-organisers/organisers/komplement-art-20405778" TargetMode="External" Id="rId287"/><Relationship Type="http://schemas.openxmlformats.org/officeDocument/2006/relationships/hyperlink" Target="https://www.ikea.com.tw/zh/products/boxes-and-organisers/organisers/komplement-art-00405779" TargetMode="External" Id="rId288"/><Relationship Type="http://schemas.openxmlformats.org/officeDocument/2006/relationships/hyperlink" Target="https://www.ikea.com.tw/zh/products/boxes-and-organisers/boxes-and-baskets/kosingen-art-90601083" TargetMode="External" Id="rId289"/><Relationship Type="http://schemas.openxmlformats.org/officeDocument/2006/relationships/hyperlink" Target="https://www.ikea.com.tw/zh/products/boxes-and-organisers/organisers/kuggis-art-20603311" TargetMode="External" Id="rId290"/><Relationship Type="http://schemas.openxmlformats.org/officeDocument/2006/relationships/hyperlink" Target="https://www.ikea.com.tw/zh/products/boxes-and-organisers/boxes-and-baskets/kuggis-art-20599149" TargetMode="External" Id="rId291"/><Relationship Type="http://schemas.openxmlformats.org/officeDocument/2006/relationships/hyperlink" Target="https://www.ikea.com.tw/zh/products/boxes-and-organisers/boxes-and-baskets/kuggis-art-00599150" TargetMode="External" Id="rId292"/><Relationship Type="http://schemas.openxmlformats.org/officeDocument/2006/relationships/hyperlink" Target="https://www.ikea.com.tw/zh/products/boxes-and-organisers/boxes-and-baskets/kuggis-art-30599158" TargetMode="External" Id="rId293"/><Relationship Type="http://schemas.openxmlformats.org/officeDocument/2006/relationships/hyperlink" Target="https://www.ikea.com.tw/zh/products/boxes-and-organisers/boxes-and-baskets/kuggis-art-80599151" TargetMode="External" Id="rId294"/><Relationship Type="http://schemas.openxmlformats.org/officeDocument/2006/relationships/hyperlink" Target="https://www.ikea.com.tw/zh/products/boxes-and-organisers/boxes-and-baskets/kuggis-spr-29596759" TargetMode="External" Id="rId295"/><Relationship Type="http://schemas.openxmlformats.org/officeDocument/2006/relationships/hyperlink" Target="https://www.ikea.com.tw/zh/products/boxes-and-organisers/boxes-and-baskets/kuggis-spr-49596758" TargetMode="External" Id="rId296"/><Relationship Type="http://schemas.openxmlformats.org/officeDocument/2006/relationships/hyperlink" Target="https://www.ikea.com.tw/zh/products/boxes-and-organisers/boxes-and-baskets/kuggis-spr-59596767" TargetMode="External" Id="rId297"/><Relationship Type="http://schemas.openxmlformats.org/officeDocument/2006/relationships/hyperlink" Target="https://www.ikea.com.tw/zh/products/boxes-and-organisers/boxes-and-baskets/kuggis-spr-79596766" TargetMode="External" Id="rId298"/><Relationship Type="http://schemas.openxmlformats.org/officeDocument/2006/relationships/hyperlink" Target="https://www.ikea.com.tw/zh/products/boxes-and-organisers/boxes-and-baskets/kuggis-art-80526876" TargetMode="External" Id="rId299"/><Relationship Type="http://schemas.openxmlformats.org/officeDocument/2006/relationships/hyperlink" Target="https://www.ikea.com.tw/zh/products/boxes-and-organisers/boxes-and-baskets/kvarnvik-art-50412876" TargetMode="External" Id="rId300"/><Relationship Type="http://schemas.openxmlformats.org/officeDocument/2006/relationships/hyperlink" Target="https://www.ikea.com.tw/zh/products/boxes-and-organisers/boxes-and-baskets/kvarnvik-art-90412879" TargetMode="External" Id="rId301"/><Relationship Type="http://schemas.openxmlformats.org/officeDocument/2006/relationships/hyperlink" Target="https://www.ikea.com.tw/zh/products/boxes-and-organisers/boxes-and-baskets/kvarnvik-art-90466952" TargetMode="External" Id="rId302"/><Relationship Type="http://schemas.openxmlformats.org/officeDocument/2006/relationships/hyperlink" Target="https://www.ikea.com.tw/zh/products/boxes-and-organisers/boxes-and-baskets/ljungan-art-10567295" TargetMode="External" Id="rId303"/><Relationship Type="http://schemas.openxmlformats.org/officeDocument/2006/relationships/hyperlink" Target="https://www.ikea.com.tw/zh/products/boxes-and-organisers/boxes-and-baskets/lustigkurre-art-10457409" TargetMode="External" Id="rId304"/><Relationship Type="http://schemas.openxmlformats.org/officeDocument/2006/relationships/hyperlink" Target="https://www.ikea.com.tw/zh/products/boxes-and-organisers/organisers/mojan-art-10521924" TargetMode="External" Id="rId305"/><Relationship Type="http://schemas.openxmlformats.org/officeDocument/2006/relationships/hyperlink" Target="https://www.ikea.com.tw/zh/products/boxes-and-organisers/organisers/mojan-art-80521925" TargetMode="External" Id="rId306"/><Relationship Type="http://schemas.openxmlformats.org/officeDocument/2006/relationships/hyperlink" Target="https://www.ikea.com.tw/zh/products/boxes-and-organisers/organisers/mojan-art-20521928" TargetMode="External" Id="rId307"/><Relationship Type="http://schemas.openxmlformats.org/officeDocument/2006/relationships/hyperlink" Target="https://www.ikea.com.tw/zh/products/boxes-and-organisers/organisers/mojan-art-40521927" TargetMode="External" Id="rId308"/><Relationship Type="http://schemas.openxmlformats.org/officeDocument/2006/relationships/hyperlink" Target="https://www.ikea.com.tw/zh/products/boxes-and-organisers/boxes-and-baskets/mavinn-art-40615134" TargetMode="External" Id="rId309"/><Relationship Type="http://schemas.openxmlformats.org/officeDocument/2006/relationships/hyperlink" Target="https://www.ikea.com.tw/zh/products/boxes-and-organisers/organisers/nojig-art-00477040" TargetMode="External" Id="rId310"/><Relationship Type="http://schemas.openxmlformats.org/officeDocument/2006/relationships/hyperlink" Target="https://www.ikea.com.tw/zh/products/boxes-and-organisers/organisers/nojig-art-70468080" TargetMode="External" Id="rId311"/><Relationship Type="http://schemas.openxmlformats.org/officeDocument/2006/relationships/hyperlink" Target="https://www.ikea.com.tw/zh/products/boxes-and-organisers/organisers/nojig-art-00468106" TargetMode="External" Id="rId312"/><Relationship Type="http://schemas.openxmlformats.org/officeDocument/2006/relationships/hyperlink" Target="https://www.ikea.com.tw/zh/products/boxes-and-organisers/organisers/nojig-art-80468107" TargetMode="External" Id="rId313"/><Relationship Type="http://schemas.openxmlformats.org/officeDocument/2006/relationships/hyperlink" Target="https://www.ikea.com.tw/zh/products/boxes-and-organisers/boxes-and-baskets/pappis-art-30188656" TargetMode="External" Id="rId314"/><Relationship Type="http://schemas.openxmlformats.org/officeDocument/2006/relationships/hyperlink" Target="https://www.ikea.com.tw/zh/products/boxes-and-organisers/organisers/plogsvang-art-50593457" TargetMode="External" Id="rId315"/><Relationship Type="http://schemas.openxmlformats.org/officeDocument/2006/relationships/hyperlink" Target="https://www.ikea.com.tw/zh/products/boxes-and-organisers/organisers/risatorp-art-50530399" TargetMode="External" Id="rId316"/><Relationship Type="http://schemas.openxmlformats.org/officeDocument/2006/relationships/hyperlink" Target="https://www.ikea.com.tw/zh/products/boxes-and-organisers/organisers/risatorp-art-70530398" TargetMode="External" Id="rId317"/><Relationship Type="http://schemas.openxmlformats.org/officeDocument/2006/relationships/hyperlink" Target="https://www.ikea.com.tw/zh/products/boxes-and-organisers/boxes-and-baskets/risatorp-art-00588712" TargetMode="External" Id="rId318"/><Relationship Type="http://schemas.openxmlformats.org/officeDocument/2006/relationships/hyperlink" Target="https://www.ikea.com.tw/zh/products/boxes-and-organisers/boxes-and-baskets/samla-art-60180885" TargetMode="External" Id="rId319"/><Relationship Type="http://schemas.openxmlformats.org/officeDocument/2006/relationships/hyperlink" Target="https://www.ikea.com.tw/zh/products/boxes-and-organisers/boxes-and-baskets/samla-art-10180939" TargetMode="External" Id="rId320"/><Relationship Type="http://schemas.openxmlformats.org/officeDocument/2006/relationships/hyperlink" Target="https://www.ikea.com.tw/zh/products/boxes-and-organisers/boxes-and-baskets/samla-art-90180940" TargetMode="External" Id="rId321"/><Relationship Type="http://schemas.openxmlformats.org/officeDocument/2006/relationships/hyperlink" Target="https://www.ikea.com.tw/zh/products/boxes-and-organisers/boxes-and-baskets/samla-spr-19440848" TargetMode="External" Id="rId322"/><Relationship Type="http://schemas.openxmlformats.org/officeDocument/2006/relationships/hyperlink" Target="https://www.ikea.com.tw/zh/products/boxes-and-organisers/boxes-and-baskets/samla-spr-49440837" TargetMode="External" Id="rId323"/><Relationship Type="http://schemas.openxmlformats.org/officeDocument/2006/relationships/hyperlink" Target="https://www.ikea.com.tw/zh/products/boxes-and-organisers/boxes-and-baskets/samla-spr-39440828" TargetMode="External" Id="rId324"/><Relationship Type="http://schemas.openxmlformats.org/officeDocument/2006/relationships/hyperlink" Target="https://www.ikea.com.tw/zh/products/boxes-and-organisers/storage-boxes-and-accessories/samla-spr-49651575" TargetMode="External" Id="rId325"/><Relationship Type="http://schemas.openxmlformats.org/officeDocument/2006/relationships/hyperlink" Target="https://www.ikea.com.tw/zh/products/boxes-and-organisers/storage-boxes-and-accessories/samla-art-60630609" TargetMode="External" Id="rId326"/><Relationship Type="http://schemas.openxmlformats.org/officeDocument/2006/relationships/hyperlink" Target="https://www.ikea.com.tw/zh/products/clothes-and-shoe-organisers-and-accessories/clothes-and-shoes-organisers/skubb-art-80630585" TargetMode="External" Id="rId327"/><Relationship Type="http://schemas.openxmlformats.org/officeDocument/2006/relationships/hyperlink" Target="https://www.ikea.com.tw/zh/products/clothes-and-shoe-organisers-and-accessories/clothes-and-shoes-organisers/skubb-art-10186390" TargetMode="External" Id="rId328"/><Relationship Type="http://schemas.openxmlformats.org/officeDocument/2006/relationships/hyperlink" Target="https://www.ikea.com.tw/zh/products/clothes-and-shoe-organisers-and-accessories/clothes-and-shoes-organisers/skubb-art-00472981" TargetMode="External" Id="rId329"/><Relationship Type="http://schemas.openxmlformats.org/officeDocument/2006/relationships/hyperlink" Target="https://www.ikea.com.tw/zh/products/boxes-and-organisers/boxes-and-baskets/skyffel-art-50435948" TargetMode="External" Id="rId330"/><Relationship Type="http://schemas.openxmlformats.org/officeDocument/2006/relationships/hyperlink" Target="https://www.ikea.com.tw/zh/products/boxes-and-organisers/boxes-and-baskets/slattervall-art-50612427" TargetMode="External" Id="rId331"/><Relationship Type="http://schemas.openxmlformats.org/officeDocument/2006/relationships/hyperlink" Target="https://www.ikea.com.tw/zh/products/boxes-and-organisers/boxes-and-baskets/slatterang-art-90625809" TargetMode="External" Id="rId332"/><Relationship Type="http://schemas.openxmlformats.org/officeDocument/2006/relationships/hyperlink" Target="https://www.ikea.com.tw/zh/products/boxes-and-organisers/boxes-and-baskets/smarra-art-40348065" TargetMode="External" Id="rId333"/><Relationship Type="http://schemas.openxmlformats.org/officeDocument/2006/relationships/hyperlink" Target="https://www.ikea.com.tw/zh/products/boxes-and-organisers/boxes-and-baskets/sockerbit-art-70316181" TargetMode="External" Id="rId334"/><Relationship Type="http://schemas.openxmlformats.org/officeDocument/2006/relationships/hyperlink" Target="https://www.ikea.com.tw/zh/products/boxes-and-organisers/boxes-and-baskets/sockerbit-art-50316064" TargetMode="External" Id="rId335"/><Relationship Type="http://schemas.openxmlformats.org/officeDocument/2006/relationships/hyperlink" Target="https://www.ikea.com.tw/zh/products/boxes-and-organisers/boxes-and-baskets/sopprot-art-10435945" TargetMode="External" Id="rId336"/><Relationship Type="http://schemas.openxmlformats.org/officeDocument/2006/relationships/hyperlink" Target="https://www.ikea.com.tw/zh/products/boxes-and-organisers/boxes-and-baskets/sopprot-art-90435946" TargetMode="External" Id="rId337"/><Relationship Type="http://schemas.openxmlformats.org/officeDocument/2006/relationships/hyperlink" Target="https://www.ikea.com.tw/zh/products/boxes-and-organisers/boxes-and-baskets/sopprot-art-70435947" TargetMode="External" Id="rId338"/><Relationship Type="http://schemas.openxmlformats.org/officeDocument/2006/relationships/hyperlink" Target="https://www.ikea.com.tw/zh/products/boxes-and-organisers/organisers/stackstod-art-30620145" TargetMode="External" Id="rId339"/><Relationship Type="http://schemas.openxmlformats.org/officeDocument/2006/relationships/hyperlink" Target="https://www.ikea.com.tw/zh/products/clothes-and-shoe-organisers-and-accessories/clothes-and-shoes-organisers/stuk-art-50621525" TargetMode="External" Id="rId340"/><Relationship Type="http://schemas.openxmlformats.org/officeDocument/2006/relationships/hyperlink" Target="https://www.ikea.com.tw/zh/products/boxes-and-organisers/organisers/satting-art-30534628" TargetMode="External" Id="rId341"/><Relationship Type="http://schemas.openxmlformats.org/officeDocument/2006/relationships/hyperlink" Target="https://www.ikea.com.tw/zh/products/boxes-and-organisers/boxes-and-baskets/uppdatera-art-80610549" TargetMode="External" Id="rId342"/><Relationship Type="http://schemas.openxmlformats.org/officeDocument/2006/relationships/hyperlink" Target="https://www.ikea.com.tw/zh/products/boxes-and-organisers/boxes-and-baskets/uppdatera-art-20546472" TargetMode="External" Id="rId343"/><Relationship Type="http://schemas.openxmlformats.org/officeDocument/2006/relationships/hyperlink" Target="https://www.ikea.com.tw/zh/products/boxes-and-organisers/boxes-and-baskets/uppdatera-art-20520721" TargetMode="External" Id="rId344"/><Relationship Type="http://schemas.openxmlformats.org/officeDocument/2006/relationships/hyperlink" Target="https://www.ikea.com.tw/zh/products/boxes-and-organisers/boxes-and-baskets/uppdatera-art-00520722" TargetMode="External" Id="rId345"/><Relationship Type="http://schemas.openxmlformats.org/officeDocument/2006/relationships/hyperlink" Target="https://www.ikea.com.tw/zh/products/kitchen-accessories/kitchen-interior-organisers/uppdatera-art-40486410" TargetMode="External" Id="rId346"/><Relationship Type="http://schemas.openxmlformats.org/officeDocument/2006/relationships/hyperlink" Target="https://www.ikea.com.tw/zh/products/kitchen-accessories/kitchen-interior-organisers/uppdatera-art-60486409" TargetMode="External" Id="rId347"/><Relationship Type="http://schemas.openxmlformats.org/officeDocument/2006/relationships/hyperlink" Target="https://www.ikea.com.tw/zh/products/kitchen-accessories/kitchen-interior-organisers/uppdatera-art-00486426" TargetMode="External" Id="rId348"/><Relationship Type="http://schemas.openxmlformats.org/officeDocument/2006/relationships/hyperlink" Target="https://www.ikea.com.tw/zh/products/boxes-and-organisers/boxes-and-baskets/uppsnofsad-art-60440765" TargetMode="External" Id="rId349"/><Relationship Type="http://schemas.openxmlformats.org/officeDocument/2006/relationships/hyperlink" Target="https://www.ikea.com.tw/zh/products/boxes-and-organisers/storage-boxes-and-accessories/uppsnofsad-art-30598205" TargetMode="External" Id="rId350"/><Relationship Type="http://schemas.openxmlformats.org/officeDocument/2006/relationships/hyperlink" Target="https://www.ikea.com.tw/zh/products/boxes-and-organisers/storage-boxes-and-accessories/uppsnofsad-spr-29599994" TargetMode="External" Id="rId351"/><Relationship Type="http://schemas.openxmlformats.org/officeDocument/2006/relationships/hyperlink" Target="https://www.ikea.com.tw/zh/products/boxes-and-organisers/storage-boxes-and-accessories/uppsnofsad-spr-69630073" TargetMode="External" Id="rId352"/><Relationship Type="http://schemas.openxmlformats.org/officeDocument/2006/relationships/hyperlink" Target="https://www.ikea.com.tw/zh/products/boxes-and-organisers/boxes-and-baskets/vattentrag-art-00551092" TargetMode="External" Id="rId353"/><Relationship Type="http://schemas.openxmlformats.org/officeDocument/2006/relationships/hyperlink" Target="https://www.ikea.com.tw/zh/products/boxes-and-organisers/organisers/skubb-art-00472957" TargetMode="External" Id="rId354"/><Relationship Type="http://schemas.openxmlformats.org/officeDocument/2006/relationships/hyperlink" Target="https://www.ikea.com.tw/zh/products/boxes-and-organisers/organisers/skubb-art-00472957" TargetMode="External" Id="rId355"/><Relationship Type="http://schemas.openxmlformats.org/officeDocument/2006/relationships/hyperlink" Target="https://www.ikea.com.tw/zh/products/boxes-and-organisers/organisers/skubb-art-00472957" TargetMode="External" Id="rId356"/><Relationship Type="http://schemas.openxmlformats.org/officeDocument/2006/relationships/hyperlink" Target="https://www.ikea.com.tw/zh/products/boxes-and-organisers/boxes-and-baskets/brogrund-art-90329093" TargetMode="External" Id="rId357"/><Relationship Type="http://schemas.openxmlformats.org/officeDocument/2006/relationships/hyperlink" Target="https://www.ikea.com.tw/zh/products/boxes-and-organisers/boxes-and-baskets/brogrund-art-90329093" TargetMode="External" Id="rId358"/><Relationship Type="http://schemas.openxmlformats.org/officeDocument/2006/relationships/hyperlink" Target="https://www.ikea.com.tw/zh/products/boxes-and-organisers/organisers/komplement-spr-79260839" TargetMode="External" Id="rId359"/><Relationship Type="http://schemas.openxmlformats.org/officeDocument/2006/relationships/hyperlink" Target="https://www.ikea.com.tw/zh/products/boxes-and-organisers/organisers/komplement-spr-79260839" TargetMode="External" Id="rId360"/><Relationship Type="http://schemas.openxmlformats.org/officeDocument/2006/relationships/hyperlink" Target="https://www.ikea.com.tw/zh/products/boxes-and-organisers/organisers/komplement-spr-19260842" TargetMode="External" Id="rId361"/><Relationship Type="http://schemas.openxmlformats.org/officeDocument/2006/relationships/hyperlink" Target="https://www.ikea.com.tw/zh/products/boxes-and-organisers/organisers/komplement-spr-19260842" TargetMode="External" Id="rId362"/><Relationship Type="http://schemas.openxmlformats.org/officeDocument/2006/relationships/hyperlink" Target="https://www.ikea.com.tw/zh/products/boxes-and-organisers/organisers/komplement-spr-49260845" TargetMode="External" Id="rId363"/><Relationship Type="http://schemas.openxmlformats.org/officeDocument/2006/relationships/hyperlink" Target="https://www.ikea.com.tw/zh/products/boxes-and-organisers/organisers/komplement-spr-49260845" TargetMode="External" Id="rId364"/><Relationship Type="http://schemas.openxmlformats.org/officeDocument/2006/relationships/hyperlink" Target="https://www.ikea.com.tw/zh/products/boxes-and-organisers/organisers/dronjons-art-80439695" TargetMode="External" Id="rId365"/><Relationship Type="http://schemas.openxmlformats.org/officeDocument/2006/relationships/hyperlink" Target="https://www.ikea.com.tw/zh/products/boxes-and-organisers/organisers/dronjons-art-80439695" TargetMode="External" Id="rId366"/><Relationship Type="http://schemas.openxmlformats.org/officeDocument/2006/relationships/hyperlink" Target="https://www.ikea.com.tw/zh/products/boxes-and-organisers/organisers/kuggis-art-80515335" TargetMode="External" Id="rId367"/><Relationship Type="http://schemas.openxmlformats.org/officeDocument/2006/relationships/hyperlink" Target="https://www.ikea.com.tw/zh/products/boxes-and-organisers/organisers/fjaderharv-art-90596915" TargetMode="External" Id="rId368"/><Relationship Type="http://schemas.openxmlformats.org/officeDocument/2006/relationships/hyperlink" Target="https://www.ikea.com.tw/zh/products/boxes-and-organisers/organisers/gardesgard-art-40596951" TargetMode="External" Id="rId369"/><Relationship Type="http://schemas.openxmlformats.org/officeDocument/2006/relationships/hyperlink" Target="https://www.ikea.com.tw/zh/products/boxes-and-organisers/organisers/tjabba-art-50497502" TargetMode="External" Id="rId370"/><Relationship Type="http://schemas.openxmlformats.org/officeDocument/2006/relationships/hyperlink" Target="https://www.ikea.com.tw/zh/products/boxes-and-organisers/organisers/harvmatta-art-00578586" TargetMode="External" Id="rId371"/><Relationship Type="http://schemas.openxmlformats.org/officeDocument/2006/relationships/hyperlink" Target="https://shop.daiso.com.tw/products/4973430025447" TargetMode="External" Id="rId372"/><Relationship Type="http://schemas.openxmlformats.org/officeDocument/2006/relationships/hyperlink" Target="https://shop.daiso.com.tw/products/4973430022583" TargetMode="External" Id="rId373"/><Relationship Type="http://schemas.openxmlformats.org/officeDocument/2006/relationships/hyperlink" Target="https://shop.daiso.com.tw/products/4973430024693" TargetMode="External" Id="rId374"/><Relationship Type="http://schemas.openxmlformats.org/officeDocument/2006/relationships/hyperlink" Target="https://shop.daiso.com.tw/products/4973430019576" TargetMode="External" Id="rId375"/><Relationship Type="http://schemas.openxmlformats.org/officeDocument/2006/relationships/hyperlink" Target="https://shop.daiso.com.tw/products/4984355716266" TargetMode="External" Id="rId376"/><Relationship Type="http://schemas.openxmlformats.org/officeDocument/2006/relationships/hyperlink" Target="https://shop.daiso.com.tw/products/4906137337919" TargetMode="External" Id="rId377"/><Relationship Type="http://schemas.openxmlformats.org/officeDocument/2006/relationships/hyperlink" Target="https://shop.daiso.com.tw/products/4549131883596" TargetMode="External" Id="rId378"/><Relationship Type="http://schemas.openxmlformats.org/officeDocument/2006/relationships/hyperlink" Target="https://shop.daiso.com.tw/products/4973911834216" TargetMode="External" Id="rId379"/><Relationship Type="http://schemas.openxmlformats.org/officeDocument/2006/relationships/hyperlink" Target="https://shop.daiso.com.tw/products/4550480353241" TargetMode="External" Id="rId380"/><Relationship Type="http://schemas.openxmlformats.org/officeDocument/2006/relationships/hyperlink" Target="https://shop.daiso.com.tw/products/4550480646077" TargetMode="External" Id="rId381"/><Relationship Type="http://schemas.openxmlformats.org/officeDocument/2006/relationships/hyperlink" Target="https://shop.daiso.com.tw/products/4905596431558" TargetMode="External" Id="rId382"/><Relationship Type="http://schemas.openxmlformats.org/officeDocument/2006/relationships/hyperlink" Target="https://shop.daiso.com.tw/products/4550480901077" TargetMode="External" Id="rId383"/><Relationship Type="http://schemas.openxmlformats.org/officeDocument/2006/relationships/hyperlink" Target="https://shop.daiso.com.tw/products/4550480519531" TargetMode="External" Id="rId384"/><Relationship Type="http://schemas.openxmlformats.org/officeDocument/2006/relationships/hyperlink" Target="https://shop.daiso.com.tw/products/4984355715962" TargetMode="External" Id="rId385"/><Relationship Type="http://schemas.openxmlformats.org/officeDocument/2006/relationships/hyperlink" Target="https://shop.daiso.com.tw/products/4984355716037" TargetMode="External" Id="rId386"/><Relationship Type="http://schemas.openxmlformats.org/officeDocument/2006/relationships/hyperlink" Target="https://shop.daiso.com.tw/products/4984355716020" TargetMode="External" Id="rId387"/><Relationship Type="http://schemas.openxmlformats.org/officeDocument/2006/relationships/hyperlink" Target="https://shop.daiso.com.tw/products/4550480364087" TargetMode="External" Id="rId388"/><Relationship Type="http://schemas.openxmlformats.org/officeDocument/2006/relationships/hyperlink" Target="https://shop.daiso.com.tw/products/4550480364148" TargetMode="External" Id="rId389"/><Relationship Type="http://schemas.openxmlformats.org/officeDocument/2006/relationships/hyperlink" Target="https://shop.daiso.com.tw/products/4550480364186" TargetMode="External" Id="rId390"/><Relationship Type="http://schemas.openxmlformats.org/officeDocument/2006/relationships/hyperlink" Target="https://shop.daiso.com.tw/products/4550480364124" TargetMode="External" Id="rId391"/><Relationship Type="http://schemas.openxmlformats.org/officeDocument/2006/relationships/hyperlink" Target="https://shop.daiso.com.tw/products/4550480364100" TargetMode="External" Id="rId392"/><Relationship Type="http://schemas.openxmlformats.org/officeDocument/2006/relationships/hyperlink" Target="https://shop.daiso.com.tw/products/4550480364162" TargetMode="External" Id="rId393"/><Relationship Type="http://schemas.openxmlformats.org/officeDocument/2006/relationships/hyperlink" Target="https://shop.daiso.com.tw/products/4550480239934" TargetMode="External" Id="rId394"/><Relationship Type="http://schemas.openxmlformats.org/officeDocument/2006/relationships/hyperlink" Target="https://shop.daiso.com.tw/products/4550480239927" TargetMode="External" Id="rId395"/><Relationship Type="http://schemas.openxmlformats.org/officeDocument/2006/relationships/hyperlink" Target="https://shop.daiso.com.tw/products/4550480709239" TargetMode="External" Id="rId396"/><Relationship Type="http://schemas.openxmlformats.org/officeDocument/2006/relationships/hyperlink" Target="https://shop.daiso.com.tw/products/4550480586380" TargetMode="External" Id="rId397"/><Relationship Type="http://schemas.openxmlformats.org/officeDocument/2006/relationships/hyperlink" Target="https://shop.daiso.com.tw/products/4550480641584" TargetMode="External" Id="rId398"/><Relationship Type="http://schemas.openxmlformats.org/officeDocument/2006/relationships/hyperlink" Target="https://shop.daiso.com.tw/products/4550480580333" TargetMode="External" Id="rId399"/><Relationship Type="http://schemas.openxmlformats.org/officeDocument/2006/relationships/hyperlink" Target="https://shop.daiso.com.tw/products/4550480580395" TargetMode="External" Id="rId400"/><Relationship Type="http://schemas.openxmlformats.org/officeDocument/2006/relationships/hyperlink" Target="https://shop.daiso.com.tw/products/4549131885620" TargetMode="External" Id="rId401"/><Relationship Type="http://schemas.openxmlformats.org/officeDocument/2006/relationships/hyperlink" Target="https://shop.daiso.com.tw/products/4549131885606" TargetMode="External" Id="rId402"/><Relationship Type="http://schemas.openxmlformats.org/officeDocument/2006/relationships/hyperlink" Target="https://shop.daiso.com.tw/products/4549131485318" TargetMode="External" Id="rId403"/><Relationship Type="http://schemas.openxmlformats.org/officeDocument/2006/relationships/hyperlink" Target="https://shop.daiso.com.tw/products/4906137325411" TargetMode="External" Id="rId404"/><Relationship Type="http://schemas.openxmlformats.org/officeDocument/2006/relationships/hyperlink" Target="https://shop.daiso.com.tw/products/4549131590685" TargetMode="External" Id="rId405"/><Relationship Type="http://schemas.openxmlformats.org/officeDocument/2006/relationships/hyperlink" Target="https://shop.daiso.com.tw/products/4550480392110" TargetMode="External" Id="rId406"/><Relationship Type="http://schemas.openxmlformats.org/officeDocument/2006/relationships/hyperlink" Target="https://shop.daiso.com.tw/products/4549131714517" TargetMode="External" Id="rId407"/><Relationship Type="http://schemas.openxmlformats.org/officeDocument/2006/relationships/hyperlink" Target="https://shop.daiso.com.tw/products/4549131980998" TargetMode="External" Id="rId408"/><Relationship Type="http://schemas.openxmlformats.org/officeDocument/2006/relationships/hyperlink" Target="https://shop.daiso.com.tw/products/4550480596518" TargetMode="External" Id="rId409"/><Relationship Type="http://schemas.openxmlformats.org/officeDocument/2006/relationships/hyperlink" Target="https://shop.daiso.com.tw/products/4550480596600" TargetMode="External" Id="rId410"/><Relationship Type="http://schemas.openxmlformats.org/officeDocument/2006/relationships/hyperlink" Target="https://shop.daiso.com.tw/products/4550480204840" TargetMode="External" Id="rId411"/><Relationship Type="http://schemas.openxmlformats.org/officeDocument/2006/relationships/hyperlink" Target="https://shop.daiso.com.tw/products/4550480589558" TargetMode="External" Id="rId412"/><Relationship Type="http://schemas.openxmlformats.org/officeDocument/2006/relationships/hyperlink" Target="https://shop.daiso.com.tw/products/4550480423432" TargetMode="External" Id="rId413"/><Relationship Type="http://schemas.openxmlformats.org/officeDocument/2006/relationships/hyperlink" Target="https://shop.daiso.com.tw/products/4550480423425" TargetMode="External" Id="rId414"/><Relationship Type="http://schemas.openxmlformats.org/officeDocument/2006/relationships/hyperlink" Target="https://shop.daiso.com.tw/products/4550480423463" TargetMode="External" Id="rId415"/><Relationship Type="http://schemas.openxmlformats.org/officeDocument/2006/relationships/hyperlink" Target="https://shop.daiso.com.tw/products/4550480135816" TargetMode="External" Id="rId416"/><Relationship Type="http://schemas.openxmlformats.org/officeDocument/2006/relationships/hyperlink" Target="https://shop.daiso.com.tw/products/4550480135946" TargetMode="External" Id="rId417"/><Relationship Type="http://schemas.openxmlformats.org/officeDocument/2006/relationships/hyperlink" Target="https://shop.daiso.com.tw/products/4550480539188" TargetMode="External" Id="rId418"/><Relationship Type="http://schemas.openxmlformats.org/officeDocument/2006/relationships/hyperlink" Target="https://shop.daiso.com.tw/products/4550480539164" TargetMode="External" Id="rId419"/><Relationship Type="http://schemas.openxmlformats.org/officeDocument/2006/relationships/hyperlink" Target="https://shop.daiso.com.tw/products/4550480616827" TargetMode="External" Id="rId420"/><Relationship Type="http://schemas.openxmlformats.org/officeDocument/2006/relationships/hyperlink" Target="https://shop.daiso.com.tw/products/4550480247854" TargetMode="External" Id="rId421"/><Relationship Type="http://schemas.openxmlformats.org/officeDocument/2006/relationships/hyperlink" Target="https://shop.daiso.com.tw/products/4549131983609" TargetMode="External" Id="rId422"/><Relationship Type="http://schemas.openxmlformats.org/officeDocument/2006/relationships/hyperlink" Target="https://shop.daiso.com.tw/products/4550480453453" TargetMode="External" Id="rId423"/><Relationship Type="http://schemas.openxmlformats.org/officeDocument/2006/relationships/hyperlink" Target="https://shop.daiso.com.tw/products/4550480381206" TargetMode="External" Id="rId424"/><Relationship Type="http://schemas.openxmlformats.org/officeDocument/2006/relationships/hyperlink" Target="https://shop.daiso.com.tw/products/4550480381190" TargetMode="External" Id="rId425"/><Relationship Type="http://schemas.openxmlformats.org/officeDocument/2006/relationships/hyperlink" Target="https://shop.daiso.com.tw/products/4550480596525" TargetMode="External" Id="rId426"/><Relationship Type="http://schemas.openxmlformats.org/officeDocument/2006/relationships/hyperlink" Target="https://shop.daiso.com.tw/products/4549131976670" TargetMode="External" Id="rId427"/><Relationship Type="http://schemas.openxmlformats.org/officeDocument/2006/relationships/hyperlink" Target="https://shop.daiso.com.tw/products/4973430024303" TargetMode="External" Id="rId428"/><Relationship Type="http://schemas.openxmlformats.org/officeDocument/2006/relationships/hyperlink" Target="https://shop.daiso.com.tw/products/4973430024341" TargetMode="External" Id="rId429"/><Relationship Type="http://schemas.openxmlformats.org/officeDocument/2006/relationships/hyperlink" Target="https://shop.daiso.com.tw/products/4973430023924" TargetMode="External" Id="rId430"/><Relationship Type="http://schemas.openxmlformats.org/officeDocument/2006/relationships/hyperlink" Target="https://shop.daiso.com.tw/products/4973430023153" TargetMode="External" Id="rId431"/><Relationship Type="http://schemas.openxmlformats.org/officeDocument/2006/relationships/hyperlink" Target="https://shop.daiso.com.tw/products/4955959218210" TargetMode="External" Id="rId432"/><Relationship Type="http://schemas.openxmlformats.org/officeDocument/2006/relationships/hyperlink" Target="https://shop.daiso.com.tw/products/4955959222606" TargetMode="External" Id="rId433"/><Relationship Type="http://schemas.openxmlformats.org/officeDocument/2006/relationships/hyperlink" Target="https://shop.daiso.com.tw/products/4550480554723" TargetMode="External" Id="rId434"/><Relationship Type="http://schemas.openxmlformats.org/officeDocument/2006/relationships/hyperlink" Target="https://shop.daiso.com.tw/products/4550480911380" TargetMode="External" Id="rId435"/><Relationship Type="http://schemas.openxmlformats.org/officeDocument/2006/relationships/hyperlink" Target="https://shop.daiso.com.tw/products/4550480919935" TargetMode="External" Id="rId436"/><Relationship Type="http://schemas.openxmlformats.org/officeDocument/2006/relationships/hyperlink" Target="https://shop.daiso.com.tw/products/4550480529707" TargetMode="External" Id="rId437"/><Relationship Type="http://schemas.openxmlformats.org/officeDocument/2006/relationships/hyperlink" Target="https://shop.daiso.com.tw/products/4549131533583" TargetMode="External" Id="rId438"/><Relationship Type="http://schemas.openxmlformats.org/officeDocument/2006/relationships/hyperlink" Target="https://shop.daiso.com.tw/products/4905596510062" TargetMode="External" Id="rId439"/><Relationship Type="http://schemas.openxmlformats.org/officeDocument/2006/relationships/hyperlink" Target="https://shop.daiso.com.tw/products/4905596509967" TargetMode="External" Id="rId440"/><Relationship Type="http://schemas.openxmlformats.org/officeDocument/2006/relationships/hyperlink" Target="https://shop.daiso.com.tw/products/4550480032887" TargetMode="External" Id="rId441"/><Relationship Type="http://schemas.openxmlformats.org/officeDocument/2006/relationships/hyperlink" Target="https://shop.daiso.com.tw/products/4550480364407" TargetMode="External" Id="rId442"/><Relationship Type="http://schemas.openxmlformats.org/officeDocument/2006/relationships/hyperlink" Target="https://shop.daiso.com.tw/products/4550480210780" TargetMode="External" Id="rId443"/><Relationship Type="http://schemas.openxmlformats.org/officeDocument/2006/relationships/hyperlink" Target="https://shop.daiso.com.tw/products/4550480591964" TargetMode="External" Id="rId444"/><Relationship Type="http://schemas.openxmlformats.org/officeDocument/2006/relationships/hyperlink" Target="https://shop.daiso.com.tw/products/4550480216539" TargetMode="External" Id="rId445"/><Relationship Type="http://schemas.openxmlformats.org/officeDocument/2006/relationships/hyperlink" Target="https://shop.daiso.com.tw/products/4550480216546" TargetMode="External" Id="rId446"/><Relationship Type="http://schemas.openxmlformats.org/officeDocument/2006/relationships/hyperlink" Target="https://shop.daiso.com.tw/products/4580004041897" TargetMode="External" Id="rId447"/><Relationship Type="http://schemas.openxmlformats.org/officeDocument/2006/relationships/hyperlink" Target="https://shop.daiso.com.tw/products/4550480595863" TargetMode="External" Id="rId448"/><Relationship Type="http://schemas.openxmlformats.org/officeDocument/2006/relationships/hyperlink" Target="https://shop.daiso.com.tw/products/4906137333010" TargetMode="External" Id="rId449"/><Relationship Type="http://schemas.openxmlformats.org/officeDocument/2006/relationships/hyperlink" Target="https://shop.daiso.com.tw/products/4906137326210" TargetMode="External" Id="rId450"/><Relationship Type="http://schemas.openxmlformats.org/officeDocument/2006/relationships/hyperlink" Target="https://shop.daiso.com.tw/products/4550480306384" TargetMode="External" Id="rId451"/><Relationship Type="http://schemas.openxmlformats.org/officeDocument/2006/relationships/hyperlink" Target="https://shop.daiso.com.tw/products/4906137328818" TargetMode="External" Id="rId452"/><Relationship Type="http://schemas.openxmlformats.org/officeDocument/2006/relationships/hyperlink" Target="https://shop.daiso.com.tw/products/4549131489477" TargetMode="External" Id="rId453"/><Relationship Type="http://schemas.openxmlformats.org/officeDocument/2006/relationships/hyperlink" Target="https://shop.daiso.com.tw/products/4550480392370" TargetMode="External" Id="rId454"/><Relationship Type="http://schemas.openxmlformats.org/officeDocument/2006/relationships/hyperlink" Target="https://shop.daiso.com.tw/products/4906137308223" TargetMode="External" Id="rId455"/><Relationship Type="http://schemas.openxmlformats.org/officeDocument/2006/relationships/hyperlink" Target="https://shop.daiso.com.tw/products/4550480842806" TargetMode="External" Id="rId456"/><Relationship Type="http://schemas.openxmlformats.org/officeDocument/2006/relationships/hyperlink" Target="https://shop.daiso.com.tw/products/4984343997363" TargetMode="External" Id="rId457"/><Relationship Type="http://schemas.openxmlformats.org/officeDocument/2006/relationships/hyperlink" Target="https://shop.daiso.com.tw/products/4550480364513" TargetMode="External" Id="rId458"/><Relationship Type="http://schemas.openxmlformats.org/officeDocument/2006/relationships/hyperlink" Target="https://shop.daiso.com.tw/products/4550480306438" TargetMode="External" Id="rId459"/><Relationship Type="http://schemas.openxmlformats.org/officeDocument/2006/relationships/hyperlink" Target="https://shop.daiso.com.tw/products/4550480338903" TargetMode="External" Id="rId460"/><Relationship Type="http://schemas.openxmlformats.org/officeDocument/2006/relationships/hyperlink" Target="https://shop.daiso.com.tw/products/4550480364629" TargetMode="External" Id="rId461"/><Relationship Type="http://schemas.openxmlformats.org/officeDocument/2006/relationships/hyperlink" Target="https://shop.daiso.com.tw/products/4550480364636" TargetMode="External" Id="rId462"/><Relationship Type="http://schemas.openxmlformats.org/officeDocument/2006/relationships/hyperlink" Target="https://shop.daiso.com.tw/products/4550480364605" TargetMode="External" Id="rId463"/><Relationship Type="http://schemas.openxmlformats.org/officeDocument/2006/relationships/hyperlink" Target="https://shop.daiso.com.tw/products/4550480364575" TargetMode="External" Id="rId464"/><Relationship Type="http://schemas.openxmlformats.org/officeDocument/2006/relationships/hyperlink" Target="https://shop.daiso.com.tw/products/4939491802243" TargetMode="External" Id="rId465"/><Relationship Type="http://schemas.openxmlformats.org/officeDocument/2006/relationships/hyperlink" Target="https://shop.daiso.com.tw/products/4550480144894" TargetMode="External" Id="rId466"/><Relationship Type="http://schemas.openxmlformats.org/officeDocument/2006/relationships/hyperlink" Target="https://shop.daiso.com.tw/products/4550480144917" TargetMode="External" Id="rId467"/><Relationship Type="http://schemas.openxmlformats.org/officeDocument/2006/relationships/hyperlink" Target="https://shop.daiso.com.tw/products/4550480804842" TargetMode="External" Id="rId468"/><Relationship Type="http://schemas.openxmlformats.org/officeDocument/2006/relationships/hyperlink" Target="https://shop.daiso.com.tw/products/4550480380261" TargetMode="External" Id="rId469"/><Relationship Type="http://schemas.openxmlformats.org/officeDocument/2006/relationships/hyperlink" Target="https://shop.daiso.com.tw/products/4550480392363" TargetMode="External" Id="rId470"/><Relationship Type="http://schemas.openxmlformats.org/officeDocument/2006/relationships/hyperlink" Target="https://shop.daiso.com.tw/products/4550480392448" TargetMode="External" Id="rId471"/><Relationship Type="http://schemas.openxmlformats.org/officeDocument/2006/relationships/hyperlink" Target="https://shop.daiso.com.tw/products/4549131960310" TargetMode="External" Id="rId472"/><Relationship Type="http://schemas.openxmlformats.org/officeDocument/2006/relationships/hyperlink" Target="https://shop.daiso.com.tw/products/4550480957166" TargetMode="External" Id="rId473"/><Relationship Type="http://schemas.openxmlformats.org/officeDocument/2006/relationships/hyperlink" Target="https://shop.daiso.com.tw/products/4549131611021" TargetMode="External" Id="rId474"/><Relationship Type="http://schemas.openxmlformats.org/officeDocument/2006/relationships/hyperlink" Target="https://shop.daiso.com.tw/products/4550480618425" TargetMode="External" Id="rId475"/><Relationship Type="http://schemas.openxmlformats.org/officeDocument/2006/relationships/hyperlink" Target="https://shop.daiso.com.tw/products/4550480725529" TargetMode="External" Id="rId476"/><Relationship Type="http://schemas.openxmlformats.org/officeDocument/2006/relationships/hyperlink" Target="https://shop.daiso.com.tw/products/4550480453842" TargetMode="External" Id="rId477"/><Relationship Type="http://schemas.openxmlformats.org/officeDocument/2006/relationships/hyperlink" Target="https://shop.daiso.com.tw/products/4550480453897" TargetMode="External" Id="rId478"/><Relationship Type="http://schemas.openxmlformats.org/officeDocument/2006/relationships/hyperlink" Target="https://shop.daiso.com.tw/products/4550480726052" TargetMode="External" Id="rId479"/><Relationship Type="http://schemas.openxmlformats.org/officeDocument/2006/relationships/hyperlink" Target="https://shop.daiso.com.tw/products/4550480505756" TargetMode="External" Id="rId480"/><Relationship Type="http://schemas.openxmlformats.org/officeDocument/2006/relationships/hyperlink" Target="https://shop.daiso.com.tw/products/4550480334097" TargetMode="External" Id="rId481"/><Relationship Type="http://schemas.openxmlformats.org/officeDocument/2006/relationships/hyperlink" Target="https://shop.daiso.com.tw/products/4550480331355" TargetMode="External" Id="rId482"/><Relationship Type="http://schemas.openxmlformats.org/officeDocument/2006/relationships/hyperlink" Target="https://shop.daiso.com.tw/products/4550480438177" TargetMode="External" Id="rId483"/><Relationship Type="http://schemas.openxmlformats.org/officeDocument/2006/relationships/hyperlink" Target="https://shop.daiso.com.tw/products/4550480773162" TargetMode="External" Id="rId484"/></Relationships>
</file>

<file path=xl/worksheets/_rels/sheet2.xml.rels><Relationships xmlns="http://schemas.openxmlformats.org/package/2006/relationships"><Relationship Type="http://schemas.openxmlformats.org/officeDocument/2006/relationships/hyperlink" Target="https://shop.muji.tw/SalePage/Index/8920955" TargetMode="External" Id="rId1"/><Relationship Type="http://schemas.openxmlformats.org/officeDocument/2006/relationships/hyperlink" Target="https://shop.muji.tw/SalePage/Index/8920975" TargetMode="External" Id="rId2"/><Relationship Type="http://schemas.openxmlformats.org/officeDocument/2006/relationships/hyperlink" Target="https://shop.muji.tw/SalePage/Index/8920989" TargetMode="External" Id="rId3"/><Relationship Type="http://schemas.openxmlformats.org/officeDocument/2006/relationships/hyperlink" Target="https://shop.muji.tw/SalePage/Index/8920974" TargetMode="External" Id="rId4"/><Relationship Type="http://schemas.openxmlformats.org/officeDocument/2006/relationships/hyperlink" Target="https://shop.muji.tw/SalePage/Index/8920992" TargetMode="External" Id="rId5"/><Relationship Type="http://schemas.openxmlformats.org/officeDocument/2006/relationships/hyperlink" Target="https://shop.muji.tw/SalePage/Index/8917100" TargetMode="External" Id="rId6"/><Relationship Type="http://schemas.openxmlformats.org/officeDocument/2006/relationships/hyperlink" Target="https://shop.muji.tw/SalePage/Index/8917117" TargetMode="External" Id="rId7"/><Relationship Type="http://schemas.openxmlformats.org/officeDocument/2006/relationships/hyperlink" Target="https://shop.muji.tw/SalePage/Index/8919517" TargetMode="External" Id="rId8"/><Relationship Type="http://schemas.openxmlformats.org/officeDocument/2006/relationships/hyperlink" Target="https://shop.muji.tw/SalePage/Index/8919518" TargetMode="External" Id="rId9"/><Relationship Type="http://schemas.openxmlformats.org/officeDocument/2006/relationships/hyperlink" Target="https://shop.muji.tw/SalePage/Index/8916898" TargetMode="External" Id="rId10"/><Relationship Type="http://schemas.openxmlformats.org/officeDocument/2006/relationships/hyperlink" Target="https://shop.muji.tw/SalePage/Index/8916929" TargetMode="External" Id="rId11"/><Relationship Type="http://schemas.openxmlformats.org/officeDocument/2006/relationships/hyperlink" Target="https://shop.muji.tw/SalePage/Index/10330664" TargetMode="External" Id="rId12"/><Relationship Type="http://schemas.openxmlformats.org/officeDocument/2006/relationships/hyperlink" Target="https://shop.muji.tw/SalePage/Index/8917007" TargetMode="External" Id="rId13"/><Relationship Type="http://schemas.openxmlformats.org/officeDocument/2006/relationships/hyperlink" Target="https://shop.muji.tw/SalePage/Index/8917030" TargetMode="External" Id="rId14"/><Relationship Type="http://schemas.openxmlformats.org/officeDocument/2006/relationships/hyperlink" Target="https://shop.muji.tw/SalePage/Index/8916994" TargetMode="External" Id="rId15"/><Relationship Type="http://schemas.openxmlformats.org/officeDocument/2006/relationships/hyperlink" Target="https://shop.muji.tw/SalePage/Index/8916974" TargetMode="External" Id="rId16"/><Relationship Type="http://schemas.openxmlformats.org/officeDocument/2006/relationships/hyperlink" Target="https://shop.muji.tw/SalePage/Index/8916992" TargetMode="External" Id="rId17"/><Relationship Type="http://schemas.openxmlformats.org/officeDocument/2006/relationships/hyperlink" Target="https://shop.muji.tw/SalePage/Index/8918348" TargetMode="External" Id="rId18"/><Relationship Type="http://schemas.openxmlformats.org/officeDocument/2006/relationships/hyperlink" Target="https://shop.muji.tw/SalePage/Index/10653130" TargetMode="External" Id="rId19"/><Relationship Type="http://schemas.openxmlformats.org/officeDocument/2006/relationships/hyperlink" Target="https://shop.muji.tw/SalePage/Index/11580248" TargetMode="External" Id="rId20"/><Relationship Type="http://schemas.openxmlformats.org/officeDocument/2006/relationships/hyperlink" Target="https://shop.muji.tw/SalePage/Index/8918240" TargetMode="External" Id="rId21"/><Relationship Type="http://schemas.openxmlformats.org/officeDocument/2006/relationships/hyperlink" Target="https://shop.muji.tw/SalePage/Index/8918252" TargetMode="External" Id="rId22"/><Relationship Type="http://schemas.openxmlformats.org/officeDocument/2006/relationships/hyperlink" Target="https://shop.muji.tw/SalePage/Index/8918231" TargetMode="External" Id="rId23"/><Relationship Type="http://schemas.openxmlformats.org/officeDocument/2006/relationships/hyperlink" Target="https://shop.muji.tw/SalePage/Index/8918234" TargetMode="External" Id="rId24"/><Relationship Type="http://schemas.openxmlformats.org/officeDocument/2006/relationships/hyperlink" Target="https://shop.muji.tw/SalePage/Index/12052444" TargetMode="External" Id="rId25"/><Relationship Type="http://schemas.openxmlformats.org/officeDocument/2006/relationships/hyperlink" Target="https://shop.muji.tw/SalePage/Index/8918274" TargetMode="External" Id="rId26"/><Relationship Type="http://schemas.openxmlformats.org/officeDocument/2006/relationships/hyperlink" Target="https://shop.muji.tw/SalePage/Index/8918257" TargetMode="External" Id="rId27"/><Relationship Type="http://schemas.openxmlformats.org/officeDocument/2006/relationships/hyperlink" Target="https://shop.muji.tw/SalePage/Index/8918276" TargetMode="External" Id="rId28"/><Relationship Type="http://schemas.openxmlformats.org/officeDocument/2006/relationships/hyperlink" Target="https://shop.muji.tw/SalePage/Index/8918250" TargetMode="External" Id="rId29"/><Relationship Type="http://schemas.openxmlformats.org/officeDocument/2006/relationships/hyperlink" Target="https://shop.muji.tw/SalePage/Index/11863282" TargetMode="External" Id="rId30"/><Relationship Type="http://schemas.openxmlformats.org/officeDocument/2006/relationships/hyperlink" Target="https://shop.muji.tw/SalePage/Index/10391413" TargetMode="External" Id="rId31"/><Relationship Type="http://schemas.openxmlformats.org/officeDocument/2006/relationships/hyperlink" Target="https://shop.muji.tw/SalePage/Index/10391411" TargetMode="External" Id="rId32"/><Relationship Type="http://schemas.openxmlformats.org/officeDocument/2006/relationships/hyperlink" Target="https://shop.muji.tw/SalePage/Index/8918185" TargetMode="External" Id="rId33"/><Relationship Type="http://schemas.openxmlformats.org/officeDocument/2006/relationships/hyperlink" Target="https://shop.muji.tw/SalePage/Index/8920758" TargetMode="External" Id="rId34"/><Relationship Type="http://schemas.openxmlformats.org/officeDocument/2006/relationships/hyperlink" Target="https://shop.muji.tw/SalePage/Index/8916062" TargetMode="External" Id="rId35"/><Relationship Type="http://schemas.openxmlformats.org/officeDocument/2006/relationships/hyperlink" Target="https://shop.muji.tw/SalePage/Index/12209056" TargetMode="External" Id="rId36"/><Relationship Type="http://schemas.openxmlformats.org/officeDocument/2006/relationships/hyperlink" Target="https://shop.muji.tw/SalePage/Index/10391409" TargetMode="External" Id="rId37"/><Relationship Type="http://schemas.openxmlformats.org/officeDocument/2006/relationships/hyperlink" Target="https://shop.muji.tw/SalePage/Index/10391410" TargetMode="External" Id="rId38"/><Relationship Type="http://schemas.openxmlformats.org/officeDocument/2006/relationships/hyperlink" Target="https://www.nitori-net.tw/product/7450822" TargetMode="External" Id="rId39"/><Relationship Type="http://schemas.openxmlformats.org/officeDocument/2006/relationships/hyperlink" Target="https://www.nitori-net.tw/product/7450826" TargetMode="External" Id="rId40"/><Relationship Type="http://schemas.openxmlformats.org/officeDocument/2006/relationships/hyperlink" Target="https://www.nitori-net.tw/product/7450827" TargetMode="External" Id="rId41"/><Relationship Type="http://schemas.openxmlformats.org/officeDocument/2006/relationships/hyperlink" Target="https://www.nitori-net.tw/product/7450829" TargetMode="External" Id="rId42"/><Relationship Type="http://schemas.openxmlformats.org/officeDocument/2006/relationships/hyperlink" Target="https://www.nitori-net.tw/product/2114100279568" TargetMode="External" Id="rId43"/><Relationship Type="http://schemas.openxmlformats.org/officeDocument/2006/relationships/hyperlink" Target="https://www.nitori-net.tw/product/2114100279612" TargetMode="External" Id="rId44"/><Relationship Type="http://schemas.openxmlformats.org/officeDocument/2006/relationships/hyperlink" Target="https://www.nitori-net.tw/product/7710665" TargetMode="External" Id="rId45"/><Relationship Type="http://schemas.openxmlformats.org/officeDocument/2006/relationships/hyperlink" Target="https://www.nitori-net.tw/product/8542104" TargetMode="External" Id="rId46"/><Relationship Type="http://schemas.openxmlformats.org/officeDocument/2006/relationships/hyperlink" Target="https://www.nitori-net.tw/product/2112200002482" TargetMode="External" Id="rId47"/><Relationship Type="http://schemas.openxmlformats.org/officeDocument/2006/relationships/hyperlink" Target="https://www.nitori-net.tw/product/8540141" TargetMode="External" Id="rId48"/><Relationship Type="http://schemas.openxmlformats.org/officeDocument/2006/relationships/hyperlink" Target="https://www.nitori-net.tw/product/8540143" TargetMode="External" Id="rId49"/><Relationship Type="http://schemas.openxmlformats.org/officeDocument/2006/relationships/hyperlink" Target="https://www.nitori-net.tw/product/8540145" TargetMode="External" Id="rId50"/><Relationship Type="http://schemas.openxmlformats.org/officeDocument/2006/relationships/hyperlink" Target="https://www.nitori-net.tw/product/8540146" TargetMode="External" Id="rId51"/><Relationship Type="http://schemas.openxmlformats.org/officeDocument/2006/relationships/hyperlink" Target="https://www.nitori-net.tw/product/8540147" TargetMode="External" Id="rId52"/><Relationship Type="http://schemas.openxmlformats.org/officeDocument/2006/relationships/hyperlink" Target="https://www.nitori-net.tw/product/8540148" TargetMode="External" Id="rId53"/><Relationship Type="http://schemas.openxmlformats.org/officeDocument/2006/relationships/hyperlink" Target="https://www.nitori-net.tw/product/8542078" TargetMode="External" Id="rId54"/><Relationship Type="http://schemas.openxmlformats.org/officeDocument/2006/relationships/hyperlink" Target="https://www.nitori-net.tw/product/8540164" TargetMode="External" Id="rId55"/><Relationship Type="http://schemas.openxmlformats.org/officeDocument/2006/relationships/hyperlink" Target="https://www.nitori-net.tw/product/8440307" TargetMode="External" Id="rId56"/><Relationship Type="http://schemas.openxmlformats.org/officeDocument/2006/relationships/hyperlink" Target="https://www.nitori-net.tw/product/8440308" TargetMode="External" Id="rId57"/><Relationship Type="http://schemas.openxmlformats.org/officeDocument/2006/relationships/hyperlink" Target="https://www.nitori-net.tw/product/5850511" TargetMode="External" Id="rId58"/><Relationship Type="http://schemas.openxmlformats.org/officeDocument/2006/relationships/hyperlink" Target="https://www.nitori-net.tw/product/5850512" TargetMode="External" Id="rId59"/><Relationship Type="http://schemas.openxmlformats.org/officeDocument/2006/relationships/hyperlink" Target="https://www.nitori-net.tw/product/2111200008197" TargetMode="External" Id="rId60"/><Relationship Type="http://schemas.openxmlformats.org/officeDocument/2006/relationships/hyperlink" Target="https://www.nitori-net.tw/product/8987549" TargetMode="External" Id="rId61"/><Relationship Type="http://schemas.openxmlformats.org/officeDocument/2006/relationships/hyperlink" Target="https://www.nitori-net.tw/product/8987548" TargetMode="External" Id="rId62"/><Relationship Type="http://schemas.openxmlformats.org/officeDocument/2006/relationships/hyperlink" Target="https://www.nitori-net.tw/product/5898478" TargetMode="External" Id="rId63"/><Relationship Type="http://schemas.openxmlformats.org/officeDocument/2006/relationships/hyperlink" Target="https://www.nitori-net.tw/product/2112100013717" TargetMode="External" Id="rId64"/><Relationship Type="http://schemas.openxmlformats.org/officeDocument/2006/relationships/hyperlink" Target="https://www.nitori-net.tw/product/8987521" TargetMode="External" Id="rId65"/><Relationship Type="http://schemas.openxmlformats.org/officeDocument/2006/relationships/hyperlink" Target="https://www.nitori-net.tw/product/8987823" TargetMode="External" Id="rId66"/><Relationship Type="http://schemas.openxmlformats.org/officeDocument/2006/relationships/hyperlink" Target="https://www.nitori-net.tw/product/8987824" TargetMode="External" Id="rId67"/><Relationship Type="http://schemas.openxmlformats.org/officeDocument/2006/relationships/hyperlink" Target="https://www.nitori-net.tw/product/5898749" TargetMode="External" Id="rId68"/><Relationship Type="http://schemas.openxmlformats.org/officeDocument/2006/relationships/hyperlink" Target="https://www.nitori-net.tw/product/8987986" TargetMode="External" Id="rId69"/><Relationship Type="http://schemas.openxmlformats.org/officeDocument/2006/relationships/hyperlink" Target="https://www.nitori-net.tw/product/8987987" TargetMode="External" Id="rId70"/><Relationship Type="http://schemas.openxmlformats.org/officeDocument/2006/relationships/hyperlink" Target="https://www.nitori-net.tw/product/2112100004326" TargetMode="External" Id="rId71"/><Relationship Type="http://schemas.openxmlformats.org/officeDocument/2006/relationships/hyperlink" Target="https://www.nitori-net.tw/product/8920432" TargetMode="External" Id="rId72"/><Relationship Type="http://schemas.openxmlformats.org/officeDocument/2006/relationships/hyperlink" Target="https://www.nitori-net.tw/product/8920433" TargetMode="External" Id="rId73"/><Relationship Type="http://schemas.openxmlformats.org/officeDocument/2006/relationships/hyperlink" Target="https://www.nitori-net.tw/product/8920435" TargetMode="External" Id="rId74"/><Relationship Type="http://schemas.openxmlformats.org/officeDocument/2006/relationships/hyperlink" Target="https://www.nitori-net.tw/product/2111200005622" TargetMode="External" Id="rId75"/><Relationship Type="http://schemas.openxmlformats.org/officeDocument/2006/relationships/hyperlink" Target="https://www.nitori-net.tw/product/8920378" TargetMode="External" Id="rId76"/><Relationship Type="http://schemas.openxmlformats.org/officeDocument/2006/relationships/hyperlink" Target="https://www.nitori-net.tw/product/8987555" TargetMode="External" Id="rId77"/><Relationship Type="http://schemas.openxmlformats.org/officeDocument/2006/relationships/hyperlink" Target="https://www.nitori-net.tw/product/8987556" TargetMode="External" Id="rId78"/><Relationship Type="http://schemas.openxmlformats.org/officeDocument/2006/relationships/hyperlink" Target="https://www.nitori-net.tw/product/8430627" TargetMode="External" Id="rId79"/><Relationship Type="http://schemas.openxmlformats.org/officeDocument/2006/relationships/hyperlink" Target="https://www.nitori-net.tw/product/8511543" TargetMode="External" Id="rId80"/><Relationship Type="http://schemas.openxmlformats.org/officeDocument/2006/relationships/hyperlink" Target="https://www.nitori-net.tw/product/8421417" TargetMode="External" Id="rId81"/><Relationship Type="http://schemas.openxmlformats.org/officeDocument/2006/relationships/hyperlink" Target="https://www.nitori-net.tw/product/8503177" TargetMode="External" Id="rId82"/><Relationship Type="http://schemas.openxmlformats.org/officeDocument/2006/relationships/hyperlink" Target="https://www.nitori-net.tw/product/8503229" TargetMode="External" Id="rId83"/><Relationship Type="http://schemas.openxmlformats.org/officeDocument/2006/relationships/hyperlink" Target="https://www.nitori-net.tw/product/8511529" TargetMode="External" Id="rId84"/><Relationship Type="http://schemas.openxmlformats.org/officeDocument/2006/relationships/hyperlink" Target="https://www.nitori-net.tw/product/8511531" TargetMode="External" Id="rId85"/><Relationship Type="http://schemas.openxmlformats.org/officeDocument/2006/relationships/hyperlink" Target="https://www.nitori-net.tw/product/8511527" TargetMode="External" Id="rId86"/><Relationship Type="http://schemas.openxmlformats.org/officeDocument/2006/relationships/hyperlink" Target="https://www.nitori-net.tw/product/8511526" TargetMode="External" Id="rId87"/><Relationship Type="http://schemas.openxmlformats.org/officeDocument/2006/relationships/hyperlink" Target="https://www.nitori-net.tw/product/8980446" TargetMode="External" Id="rId88"/><Relationship Type="http://schemas.openxmlformats.org/officeDocument/2006/relationships/hyperlink" Target="https://www.nitori-net.tw/product/8470603" TargetMode="External" Id="rId89"/><Relationship Type="http://schemas.openxmlformats.org/officeDocument/2006/relationships/hyperlink" Target="https://www.nitori-net.tw/product/8470454" TargetMode="External" Id="rId90"/><Relationship Type="http://schemas.openxmlformats.org/officeDocument/2006/relationships/hyperlink" Target="https://www.nitori-net.tw/product/7460403" TargetMode="External" Id="rId91"/><Relationship Type="http://schemas.openxmlformats.org/officeDocument/2006/relationships/hyperlink" Target="https://www.nitori-net.tw/product/7460408" TargetMode="External" Id="rId92"/><Relationship Type="http://schemas.openxmlformats.org/officeDocument/2006/relationships/hyperlink" Target="https://www.nitori-net.tw/product/2111200037005" TargetMode="External" Id="rId93"/><Relationship Type="http://schemas.openxmlformats.org/officeDocument/2006/relationships/hyperlink" Target="https://www.nitori-net.tw/product/2111200036992" TargetMode="External" Id="rId94"/><Relationship Type="http://schemas.openxmlformats.org/officeDocument/2006/relationships/hyperlink" Target="https://www.nitori-net.tw/product/2111200036985" TargetMode="External" Id="rId95"/><Relationship Type="http://schemas.openxmlformats.org/officeDocument/2006/relationships/hyperlink" Target="https://www.nitori-net.tw/product/8980845" TargetMode="External" Id="rId96"/><Relationship Type="http://schemas.openxmlformats.org/officeDocument/2006/relationships/hyperlink" Target="https://www.nitori-net.tw/product/2112100000342" TargetMode="External" Id="rId97"/><Relationship Type="http://schemas.openxmlformats.org/officeDocument/2006/relationships/hyperlink" Target="https://www.nitori-net.tw/product/8511745" TargetMode="External" Id="rId98"/><Relationship Type="http://schemas.openxmlformats.org/officeDocument/2006/relationships/hyperlink" Target="https://www.nitori-net.tw/product/2112100004388" TargetMode="External" Id="rId99"/><Relationship Type="http://schemas.openxmlformats.org/officeDocument/2006/relationships/hyperlink" Target="https://www.nitori-net.tw/product/8981117" TargetMode="External" Id="rId100"/><Relationship Type="http://schemas.openxmlformats.org/officeDocument/2006/relationships/hyperlink" Target="https://www.nitori-net.tw/product/8511021" TargetMode="External" Id="rId101"/><Relationship Type="http://schemas.openxmlformats.org/officeDocument/2006/relationships/hyperlink" Target="https://www.nitori-net.tw/product/8511751" TargetMode="External" Id="rId102"/><Relationship Type="http://schemas.openxmlformats.org/officeDocument/2006/relationships/hyperlink" Target="https://www.nitori-net.tw/product/8511598" TargetMode="External" Id="rId103"/><Relationship Type="http://schemas.openxmlformats.org/officeDocument/2006/relationships/hyperlink" Target="https://www.nitori-net.tw/product/8511599" TargetMode="External" Id="rId104"/><Relationship Type="http://schemas.openxmlformats.org/officeDocument/2006/relationships/hyperlink" Target="https://www.nitori-net.tw/product/8511687" TargetMode="External" Id="rId105"/><Relationship Type="http://schemas.openxmlformats.org/officeDocument/2006/relationships/hyperlink" Target="https://www.nitori-net.tw/product/5898499" TargetMode="External" Id="rId106"/><Relationship Type="http://schemas.openxmlformats.org/officeDocument/2006/relationships/hyperlink" Target="https://www.nitori-net.tw/product/8791591" TargetMode="External" Id="rId107"/><Relationship Type="http://schemas.openxmlformats.org/officeDocument/2006/relationships/hyperlink" Target="https://www.nitori-net.tw/product/8791357" TargetMode="External" Id="rId108"/><Relationship Type="http://schemas.openxmlformats.org/officeDocument/2006/relationships/hyperlink" Target="https://www.nitori-net.tw/product/5898481" TargetMode="External" Id="rId109"/><Relationship Type="http://schemas.openxmlformats.org/officeDocument/2006/relationships/hyperlink" Target="https://www.nitori-net.tw/product/2111200000207" TargetMode="External" Id="rId110"/><Relationship Type="http://schemas.openxmlformats.org/officeDocument/2006/relationships/hyperlink" Target="https://www.nitori-net.tw/product/2111200000214" TargetMode="External" Id="rId111"/><Relationship Type="http://schemas.openxmlformats.org/officeDocument/2006/relationships/hyperlink" Target="https://www.nitori-net.tw/product/8987796" TargetMode="External" Id="rId112"/><Relationship Type="http://schemas.openxmlformats.org/officeDocument/2006/relationships/hyperlink" Target="https://www.nitori-net.tw/product/8791592" TargetMode="External" Id="rId113"/><Relationship Type="http://schemas.openxmlformats.org/officeDocument/2006/relationships/hyperlink" Target="https://www.ikea.com.tw/zh/products/wardrobes/interior-organisers/hjalpa-art-20497829" TargetMode="External" Id="rId114"/><Relationship Type="http://schemas.openxmlformats.org/officeDocument/2006/relationships/hyperlink" Target="https://www.ikea.com.tw/zh/products/bathroom-accessories/bathroom-towel-solutions/tisken-art-20381287" TargetMode="External" Id="rId115"/><Relationship Type="http://schemas.openxmlformats.org/officeDocument/2006/relationships/hyperlink" Target="https://www.ikea.com.tw/zh/products/wall-organisers/boards-and-wall-organisers/sunnersta-art-60440954" TargetMode="External" Id="rId116"/><Relationship Type="http://schemas.openxmlformats.org/officeDocument/2006/relationships/hyperlink" Target="https://www.ikea.com.tw/zh/products/wall-organisers/boards-and-wall-organisers/kungsfors-art-50334930" TargetMode="External" Id="rId117"/><Relationship Type="http://schemas.openxmlformats.org/officeDocument/2006/relationships/hyperlink" Target="https://www.ikea.com.tw/zh/products/wall-organisers/boards-and-wall-organisers/skadis-art-80320804" TargetMode="External" Id="rId118"/><Relationship Type="http://schemas.openxmlformats.org/officeDocument/2006/relationships/hyperlink" Target="https://www.ikea.com.tw/zh/products/wall-organisers/boards-and-wall-organisers/skadis-art-00347176" TargetMode="External" Id="rId119"/><Relationship Type="http://schemas.openxmlformats.org/officeDocument/2006/relationships/hyperlink" Target="https://www.ikea.com.tw/zh/products/wall-organisers/boards-and-wall-organisers/skadis-art-30320806" TargetMode="External" Id="rId120"/><Relationship Type="http://schemas.openxmlformats.org/officeDocument/2006/relationships/hyperlink" Target="https://www.ikea.com.tw/zh/products/wall-organisers/boards-and-wall-organisers/skadis-art-80347177" TargetMode="External" Id="rId121"/><Relationship Type="http://schemas.openxmlformats.org/officeDocument/2006/relationships/hyperlink" Target="https://www.ikea.com.tw/zh/products/wall-organisers/boards-and-wall-organisers/skadis-art-90321619" TargetMode="External" Id="rId122"/><Relationship Type="http://schemas.openxmlformats.org/officeDocument/2006/relationships/hyperlink" Target="https://www.ikea.com.tw/zh/products/wall-organisers/boards-and-wall-organisers/skadis-art-60347178" TargetMode="External" Id="rId123"/><Relationship Type="http://schemas.openxmlformats.org/officeDocument/2006/relationships/hyperlink" Target="https://www.ikea.com.tw/zh/products/wall-organisers/boards-and-wall-organisers/skadis-art-00624418" TargetMode="External" Id="rId124"/><Relationship Type="http://schemas.openxmlformats.org/officeDocument/2006/relationships/hyperlink" Target="https://www.ikea.com.tw/zh/products/wall-organisers/boards-and-wall-organisers/skadis-art-80624424" TargetMode="External" Id="rId125"/><Relationship Type="http://schemas.openxmlformats.org/officeDocument/2006/relationships/hyperlink" Target="https://www.ikea.com.tw/zh/products/wall-organisers/boards-and-wall-organisers/skadis-art-70541575" TargetMode="External" Id="rId126"/><Relationship Type="http://schemas.openxmlformats.org/officeDocument/2006/relationships/hyperlink" Target="https://www.ikea.com.tw/zh/products/wall-organisers/boards-and-wall-organisers/skadis-art-30321617" TargetMode="External" Id="rId127"/><Relationship Type="http://schemas.openxmlformats.org/officeDocument/2006/relationships/hyperlink" Target="https://www.ikea.com.tw/zh/products/wall-organisers/boards-and-wall-organisers/skadis-art-30335619" TargetMode="External" Id="rId128"/><Relationship Type="http://schemas.openxmlformats.org/officeDocument/2006/relationships/hyperlink" Target="https://www.ikea.com.tw/zh/products/wall-organisers/boards-and-wall-organisers/skadis-art-10519884" TargetMode="External" Id="rId129"/><Relationship Type="http://schemas.openxmlformats.org/officeDocument/2006/relationships/hyperlink" Target="https://www.ikea.com.tw/zh/products/wall-organisers/boards-and-wall-organisers/skadis-art-30569934" TargetMode="External" Id="rId130"/><Relationship Type="http://schemas.openxmlformats.org/officeDocument/2006/relationships/hyperlink" Target="https://www.ikea.com.tw/zh/products/wall-organisers/boards-and-wall-organisers/skadis-art-60519886" TargetMode="External" Id="rId131"/><Relationship Type="http://schemas.openxmlformats.org/officeDocument/2006/relationships/hyperlink" Target="https://www.ikea.com.tw/zh/products/wall-organisers/boards-and-wall-organisers/skadis-art-60320800" TargetMode="External" Id="rId132"/><Relationship Type="http://schemas.openxmlformats.org/officeDocument/2006/relationships/hyperlink" Target="https://www.ikea.com.tw/zh/products/wall-organisers/boards-and-wall-organisers/skadis-art-00591842" TargetMode="External" Id="rId133"/><Relationship Type="http://schemas.openxmlformats.org/officeDocument/2006/relationships/hyperlink" Target="https://www.ikea.com.tw/zh/products/wall-organisers/boards-and-wall-organisers/skadis-art-40320797" TargetMode="External" Id="rId134"/><Relationship Type="http://schemas.openxmlformats.org/officeDocument/2006/relationships/hyperlink" Target="https://www.ikea.com.tw/zh/products/wall-organisers/boards-and-wall-organisers/skadis-art-60599519" TargetMode="External" Id="rId135"/><Relationship Type="http://schemas.openxmlformats.org/officeDocument/2006/relationships/hyperlink" Target="https://www.ikea.com.tw/zh/products/wall-organisers/boards-and-wall-organisers/skadis-art-40335911" TargetMode="External" Id="rId136"/><Relationship Type="http://schemas.openxmlformats.org/officeDocument/2006/relationships/hyperlink" Target="https://www.ikea.com.tw/zh/products/wall-organisers/boards-and-wall-organisers/skadis-art-70321615" TargetMode="External" Id="rId137"/><Relationship Type="http://schemas.openxmlformats.org/officeDocument/2006/relationships/hyperlink" Target="https://www.ikea.com.tw/zh/products/wall-organisers/boards-and-wall-organisers/skadis-art-20321632" TargetMode="External" Id="rId138"/><Relationship Type="http://schemas.openxmlformats.org/officeDocument/2006/relationships/hyperlink" Target="https://www.ikea.com.tw/zh/products/wall-organisers/boards-and-wall-organisers/skadis-art-10320794" TargetMode="External" Id="rId139"/><Relationship Type="http://schemas.openxmlformats.org/officeDocument/2006/relationships/hyperlink" Target="https://www.ikea.com.tw/zh/products/wall-organisers/boards-and-wall-organisers/skadis-art-00477648" TargetMode="External" Id="rId140"/><Relationship Type="http://schemas.openxmlformats.org/officeDocument/2006/relationships/hyperlink" Target="https://www.ikea.com.tw/zh/products/kitchen-accessories/kitchen-interior-organisers/variera-art-20619623" TargetMode="External" Id="rId141"/><Relationship Type="http://schemas.openxmlformats.org/officeDocument/2006/relationships/hyperlink" Target="https://www.ikea.com.tw/zh/products/kitchen-accessories/kitchen-interior-organisers/uppdatera-art-90486422" TargetMode="External" Id="rId142"/><Relationship Type="http://schemas.openxmlformats.org/officeDocument/2006/relationships/hyperlink" Target="https://www.ikea.com.tw/zh/products/kitchen-accessories/kitchen-interior-organisers/uppdatera-art-70486423" TargetMode="External" Id="rId143"/><Relationship Type="http://schemas.openxmlformats.org/officeDocument/2006/relationships/hyperlink" Target="https://www.ikea.com.tw/zh/products/kitchen-accessories/kitchen-interior-organisers/variera-art-40164075" TargetMode="External" Id="rId144"/><Relationship Type="http://schemas.openxmlformats.org/officeDocument/2006/relationships/hyperlink" Target="https://www.ikea.com.tw/zh/products/boxes-and-organisers/organisers/variera-art-70177726" TargetMode="External" Id="rId145"/><Relationship Type="http://schemas.openxmlformats.org/officeDocument/2006/relationships/hyperlink" Target="https://www.ikea.com.tw/zh/products/boxes-and-organisers/organisers/variera-art-50177727" TargetMode="External" Id="rId146"/><Relationship Type="http://schemas.openxmlformats.org/officeDocument/2006/relationships/hyperlink" Target="https://www.ikea.com.tw/zh/products/boxes-and-organisers/organisers/variera-art-10536162" TargetMode="External" Id="rId147"/><Relationship Type="http://schemas.openxmlformats.org/officeDocument/2006/relationships/hyperlink" Target="https://www.ikea.com.tw/zh/products/boxes-and-organisers/organisers/variera-art-50536160" TargetMode="External" Id="rId148"/><Relationship Type="http://schemas.openxmlformats.org/officeDocument/2006/relationships/hyperlink" Target="https://www.ikea.com.tw/zh/products/boxes-and-organisers/organisers/palycke-art-30534416" TargetMode="External" Id="rId149"/><Relationship Type="http://schemas.openxmlformats.org/officeDocument/2006/relationships/hyperlink" Target="https://www.ikea.com.tw/zh/products/wall-organisers/boards-and-wall-organisers/kungsfors-art-70334929" TargetMode="External" Id="rId150"/><Relationship Type="http://schemas.openxmlformats.org/officeDocument/2006/relationships/hyperlink" Target="https://www.ikea.com.tw/zh/products/wall-organisers/boards-and-wall-organisers/nereby-art-00476352" TargetMode="External" Id="rId151"/><Relationship Type="http://schemas.openxmlformats.org/officeDocument/2006/relationships/hyperlink" Target="https://www.ikea.com.tw/zh/products/wall-organisers/boards-and-wall-organisers/kungsfors-art-50379693" TargetMode="External" Id="rId152"/><Relationship Type="http://schemas.openxmlformats.org/officeDocument/2006/relationships/hyperlink" Target="https://www.ikea.com.tw/zh/products/wall-organisers/boards-and-wall-organisers/hultarp-art-30448838" TargetMode="External" Id="rId153"/><Relationship Type="http://schemas.openxmlformats.org/officeDocument/2006/relationships/hyperlink" Target="https://www.ikea.com.tw/zh/products/wall-organisers/boards-and-wall-organisers/sunnersta-art-20303727" TargetMode="External" Id="rId154"/><Relationship Type="http://schemas.openxmlformats.org/officeDocument/2006/relationships/hyperlink" Target="https://www.ikea.com.tw/zh/products/bathroom-accessories/bathroom-towel-solutions/enhet-art-80481774" TargetMode="External" Id="rId155"/><Relationship Type="http://schemas.openxmlformats.org/officeDocument/2006/relationships/hyperlink" Target="https://www.ikea.com.tw/zh/products/bathroom-accessories/bathroom-towel-solutions/brogrund-art-90328545" TargetMode="External" Id="rId156"/><Relationship Type="http://schemas.openxmlformats.org/officeDocument/2006/relationships/hyperlink" Target="https://www.ikea.com.tw/zh/products/bathroom-accessories/bathroom-towel-solutions/enudden-art-40251666" TargetMode="External" Id="rId157"/><Relationship Type="http://schemas.openxmlformats.org/officeDocument/2006/relationships/hyperlink" Target="https://www.ikea.com.tw/zh/products/bathroom-accessories/bathroom-towel-solutions/valasjon-art-50619947" TargetMode="External" Id="rId158"/><Relationship Type="http://schemas.openxmlformats.org/officeDocument/2006/relationships/hyperlink" Target="https://www.ikea.com.tw/zh/products/bathroom-accessories/bathroom-towel-solutions/lillangen-art-90197672" TargetMode="External" Id="rId159"/><Relationship Type="http://schemas.openxmlformats.org/officeDocument/2006/relationships/hyperlink" Target="https://www.ikea.com.tw/zh/products/wall-organisers/hooks/sekiner-art-00498113" TargetMode="External" Id="rId160"/><Relationship Type="http://schemas.openxmlformats.org/officeDocument/2006/relationships/hyperlink" Target="https://www.ikea.com.tw/zh/products/bathroom-accessories/bathroom-towel-solutions/skogsviken-art-30428703" TargetMode="External" Id="rId161"/><Relationship Type="http://schemas.openxmlformats.org/officeDocument/2006/relationships/hyperlink" Target="https://www.ikea.com.tw/zh/products/kids-storage-and-study/kids-storage-solutions/barfis-art-20550176" TargetMode="External" Id="rId162"/><Relationship Type="http://schemas.openxmlformats.org/officeDocument/2006/relationships/hyperlink" Target="https://www.ikea.com.tw/zh/products/wall-organisers/hooks/tjusig-art-60242666" TargetMode="External" Id="rId163"/><Relationship Type="http://schemas.openxmlformats.org/officeDocument/2006/relationships/hyperlink" Target="https://www.ikea.com.tw/zh/products/wall-organisers/hooks/arsjon-art-80628691" TargetMode="External" Id="rId164"/><Relationship Type="http://schemas.openxmlformats.org/officeDocument/2006/relationships/hyperlink" Target="https://www.ikea.com.tw/zh/products/bathroom-accessories/bathroom-towel-solutions/skoghall-art-30567831" TargetMode="External" Id="rId165"/><Relationship Type="http://schemas.openxmlformats.org/officeDocument/2006/relationships/hyperlink" Target="https://www.ikea.com.tw/zh/products/bathroom-accessories/bathroom-towel-solutions/valasjon-art-90619950" TargetMode="External" Id="rId166"/><Relationship Type="http://schemas.openxmlformats.org/officeDocument/2006/relationships/hyperlink" Target="https://www.ikea.com.tw/zh/products/wall-organisers/hooks/jordborr-art-60563718" TargetMode="External" Id="rId167"/><Relationship Type="http://schemas.openxmlformats.org/officeDocument/2006/relationships/hyperlink" Target="https://www.ikea.com.tw/zh/products/wall-organisers/hooks/tippvagn-art-30563705" TargetMode="External" Id="rId168"/><Relationship Type="http://schemas.openxmlformats.org/officeDocument/2006/relationships/hyperlink" Target="https://www.ikea.com.tw/zh/products/wall-organisers/hooks/galtbox-art-90563712" TargetMode="External" Id="rId169"/><Relationship Type="http://schemas.openxmlformats.org/officeDocument/2006/relationships/hyperlink" Target="https://www.ikea.com.tw/zh/products/bathroom-accessories/bathroom-towel-solutions/tisken-art-50381276" TargetMode="External" Id="rId170"/><Relationship Type="http://schemas.openxmlformats.org/officeDocument/2006/relationships/hyperlink" Target="https://www.ikea.com.tw/zh/products/bathroom-accessories/bathroom-towel-solutions/krokfjorden-art-50453999" TargetMode="External" Id="rId171"/><Relationship Type="http://schemas.openxmlformats.org/officeDocument/2006/relationships/hyperlink" Target="https://www.ikea.com.tw/zh/products/bathroom-accessories/bathroom-towel-solutions/humlesjon-art-30600963" TargetMode="External" Id="rId172"/><Relationship Type="http://schemas.openxmlformats.org/officeDocument/2006/relationships/hyperlink" Target="https://www.ikea.com.tw/zh/products/wall-organisers/boards-and-wall-organisers/obonas-art-60606096" TargetMode="External" Id="rId173"/><Relationship Type="http://schemas.openxmlformats.org/officeDocument/2006/relationships/hyperlink" Target="https://www.ikea.com.tw/zh/products/wall-organisers/boards-and-wall-organisers/gresla-art-50634518" TargetMode="External" Id="rId174"/><Relationship Type="http://schemas.openxmlformats.org/officeDocument/2006/relationships/hyperlink" Target="https://www.ikea.com.tw/zh/products/wall-organisers/boards-and-wall-organisers/bestaende-art-80411154" TargetMode="External" Id="rId175"/><Relationship Type="http://schemas.openxmlformats.org/officeDocument/2006/relationships/hyperlink" Target="https://www.ikea.com.tw/zh/products/boxes-and-organisers/organisers/palycke-art-90534423" TargetMode="External" Id="rId176"/><Relationship Type="http://schemas.openxmlformats.org/officeDocument/2006/relationships/hyperlink" Target="https://www.ikea.com.tw/zh/products/boxes-and-organisers/organisers/palycke-art-50534415" TargetMode="External" Id="rId177"/><Relationship Type="http://schemas.openxmlformats.org/officeDocument/2006/relationships/hyperlink" Target="https://www.ikea.com.tw/zh/products/boxes-and-organisers/organisers/palycke-art-50534401" TargetMode="External" Id="rId178"/><Relationship Type="http://schemas.openxmlformats.org/officeDocument/2006/relationships/hyperlink" Target="https://www.ikea.com.tw/zh/products/wall-organisers/boards-and-wall-organisers/hultarp-art-50462828" TargetMode="External" Id="rId179"/><Relationship Type="http://schemas.openxmlformats.org/officeDocument/2006/relationships/hyperlink" Target="https://www.ikea.com.tw/zh/products/wall-organisers/boards-and-wall-organisers/hultarp-art-90448835" TargetMode="External" Id="rId180"/><Relationship Type="http://schemas.openxmlformats.org/officeDocument/2006/relationships/hyperlink" Target="https://www.ikea.com.tw/zh/products/wall-organisers/boards-and-wall-organisers/kungsfors-art-30334931" TargetMode="External" Id="rId181"/><Relationship Type="http://schemas.openxmlformats.org/officeDocument/2006/relationships/hyperlink" Target="https://www.ikea.com.tw/zh/products/wall-organisers/boards-and-wall-organisers/sunnersta-art-30303736" TargetMode="External" Id="rId182"/><Relationship Type="http://schemas.openxmlformats.org/officeDocument/2006/relationships/hyperlink" Target="https://www.ikea.com.tw/zh/products/bathroom-accessories/bathroom-shower-and-toilet-solutions/krokfjorden-art-20454009" TargetMode="External" Id="rId183"/><Relationship Type="http://schemas.openxmlformats.org/officeDocument/2006/relationships/hyperlink" Target="https://www.ikea.com.tw/zh/products/bathroom-accessories/bathroom-shower-and-toilet-solutions/blecksjon-art-80552506" TargetMode="External" Id="rId184"/><Relationship Type="http://schemas.openxmlformats.org/officeDocument/2006/relationships/hyperlink" Target="https://www.ikea.com.tw/zh/products/bathroom-accessories/bathroom-shower-and-toilet-solutions/tisken-art-20381254" TargetMode="External" Id="rId185"/><Relationship Type="http://schemas.openxmlformats.org/officeDocument/2006/relationships/hyperlink" Target="https://www.ikea.com.tw/zh/products/bathroom-accessories/bathroom-shower-and-toilet-solutions/krokfjorden-art-70454002" TargetMode="External" Id="rId186"/><Relationship Type="http://schemas.openxmlformats.org/officeDocument/2006/relationships/hyperlink" Target="https://www.ikea.com.tw/zh/products/bathroom-accessories/bathroom-shower-and-toilet-solutions/humlesjon-art-70600961" TargetMode="External" Id="rId187"/><Relationship Type="http://schemas.openxmlformats.org/officeDocument/2006/relationships/hyperlink" Target="https://shop.daiso.com.tw/products/4549131156331" TargetMode="External" Id="rId188"/><Relationship Type="http://schemas.openxmlformats.org/officeDocument/2006/relationships/hyperlink" Target="https://shop.daiso.com.tw/products/4549131179859" TargetMode="External" Id="rId189"/><Relationship Type="http://schemas.openxmlformats.org/officeDocument/2006/relationships/hyperlink" Target="https://shop.daiso.com.tw/products/4549131735918" TargetMode="External" Id="rId190"/><Relationship Type="http://schemas.openxmlformats.org/officeDocument/2006/relationships/hyperlink" Target="https://shop.daiso.com.tw/products/4549131735901" TargetMode="External" Id="rId191"/><Relationship Type="http://schemas.openxmlformats.org/officeDocument/2006/relationships/hyperlink" Target="https://shop.daiso.com.tw/products/4549131735895" TargetMode="External" Id="rId192"/><Relationship Type="http://schemas.openxmlformats.org/officeDocument/2006/relationships/hyperlink" Target="https://shop.daiso.com.tw/products/4549131179897" TargetMode="External" Id="rId193"/><Relationship Type="http://schemas.openxmlformats.org/officeDocument/2006/relationships/hyperlink" Target="https://shop.daiso.com.tw/products/4549131179903" TargetMode="External" Id="rId194"/><Relationship Type="http://schemas.openxmlformats.org/officeDocument/2006/relationships/hyperlink" Target="https://shop.daiso.com.tw/products/4549131179927" TargetMode="External" Id="rId195"/><Relationship Type="http://schemas.openxmlformats.org/officeDocument/2006/relationships/hyperlink" Target="https://shop.daiso.com.tw/products/4549131986211" TargetMode="External" Id="rId196"/><Relationship Type="http://schemas.openxmlformats.org/officeDocument/2006/relationships/hyperlink" Target="https://shop.daiso.com.tw/products/4550480530789" TargetMode="External" Id="rId197"/><Relationship Type="http://schemas.openxmlformats.org/officeDocument/2006/relationships/hyperlink" Target="https://shop.daiso.com.tw/products/4550480529905" TargetMode="External" Id="rId198"/><Relationship Type="http://schemas.openxmlformats.org/officeDocument/2006/relationships/hyperlink" Target="https://shop.daiso.com.tw/products/4550480848419" TargetMode="External" Id="rId199"/><Relationship Type="http://schemas.openxmlformats.org/officeDocument/2006/relationships/hyperlink" Target="https://shop.daiso.com.tw/products/4549131544596" TargetMode="External" Id="rId200"/><Relationship Type="http://schemas.openxmlformats.org/officeDocument/2006/relationships/hyperlink" Target="https://shop.daiso.com.tw/products/4550480590707" TargetMode="External" Id="rId201"/><Relationship Type="http://schemas.openxmlformats.org/officeDocument/2006/relationships/hyperlink" Target="https://shop.daiso.com.tw/products/4550480042251" TargetMode="External" Id="rId202"/><Relationship Type="http://schemas.openxmlformats.org/officeDocument/2006/relationships/hyperlink" Target="https://shop.daiso.com.tw/products/4550480042244" TargetMode="External" Id="rId203"/><Relationship Type="http://schemas.openxmlformats.org/officeDocument/2006/relationships/hyperlink" Target="https://shop.daiso.com.tw/products/4550480648569" TargetMode="External" Id="rId204"/><Relationship Type="http://schemas.openxmlformats.org/officeDocument/2006/relationships/hyperlink" Target="https://shop.daiso.com.tw/products/4905596037187" TargetMode="External" Id="rId205"/><Relationship Type="http://schemas.openxmlformats.org/officeDocument/2006/relationships/hyperlink" Target="https://shop.daiso.com.tw/products/4550480588575" TargetMode="External" Id="rId206"/><Relationship Type="http://schemas.openxmlformats.org/officeDocument/2006/relationships/hyperlink" Target="https://shop.daiso.com.tw/products/4549131491999" TargetMode="External" Id="rId207"/><Relationship Type="http://schemas.openxmlformats.org/officeDocument/2006/relationships/hyperlink" Target="https://shop.daiso.com.tw/products/4550480618913" TargetMode="External" Id="rId208"/><Relationship Type="http://schemas.openxmlformats.org/officeDocument/2006/relationships/hyperlink" Target="https://shop.daiso.com.tw/products/4905596281283" TargetMode="External" Id="rId209"/><Relationship Type="http://schemas.openxmlformats.org/officeDocument/2006/relationships/hyperlink" Target="https://shop.daiso.com.tw/products/4550480497921" TargetMode="External" Id="rId210"/><Relationship Type="http://schemas.openxmlformats.org/officeDocument/2006/relationships/hyperlink" Target="https://shop.daiso.com.tw/products/4550480497341" TargetMode="External" Id="rId211"/><Relationship Type="http://schemas.openxmlformats.org/officeDocument/2006/relationships/hyperlink" Target="https://shop.daiso.com.tw/products/4550480131252" TargetMode="External" Id="rId212"/><Relationship Type="http://schemas.openxmlformats.org/officeDocument/2006/relationships/hyperlink" Target="https://shop.daiso.com.tw/products/4550480131269" TargetMode="External" Id="rId213"/><Relationship Type="http://schemas.openxmlformats.org/officeDocument/2006/relationships/hyperlink" Target="https://shop.daiso.com.tw/products/4550480131276" TargetMode="External" Id="rId214"/><Relationship Type="http://schemas.openxmlformats.org/officeDocument/2006/relationships/hyperlink" Target="https://shop.daiso.com.tw/products/4550480131283" TargetMode="External" Id="rId215"/><Relationship Type="http://schemas.openxmlformats.org/officeDocument/2006/relationships/hyperlink" Target="https://shop.daiso.com.tw/products/4550480131290" TargetMode="External" Id="rId216"/><Relationship Type="http://schemas.openxmlformats.org/officeDocument/2006/relationships/hyperlink" Target="https://shop.daiso.com.tw/products/4550480131313" TargetMode="External" Id="rId217"/><Relationship Type="http://schemas.openxmlformats.org/officeDocument/2006/relationships/hyperlink" Target="https://shop.daiso.com.tw/products/4550480131320" TargetMode="External" Id="rId218"/><Relationship Type="http://schemas.openxmlformats.org/officeDocument/2006/relationships/hyperlink" Target="https://shop.daiso.com.tw/products/4956810863945" TargetMode="External" Id="rId219"/><Relationship Type="http://schemas.openxmlformats.org/officeDocument/2006/relationships/hyperlink" Target="https://shop.daiso.com.tw/products/4550480273662" TargetMode="External" Id="rId220"/><Relationship Type="http://schemas.openxmlformats.org/officeDocument/2006/relationships/hyperlink" Target="https://shop.daiso.com.tw/products/4994163279914" TargetMode="External" Id="rId221"/><Relationship Type="http://schemas.openxmlformats.org/officeDocument/2006/relationships/hyperlink" Target="https://shop.daiso.com.tw/products/4550480656120" TargetMode="External" Id="rId222"/><Relationship Type="http://schemas.openxmlformats.org/officeDocument/2006/relationships/hyperlink" Target="https://shop.daiso.com.tw/products/4550480785479" TargetMode="External" Id="rId223"/><Relationship Type="http://schemas.openxmlformats.org/officeDocument/2006/relationships/hyperlink" Target="https://shop.daiso.com.tw/products/4550480785493" TargetMode="External" Id="rId224"/><Relationship Type="http://schemas.openxmlformats.org/officeDocument/2006/relationships/hyperlink" Target="https://shop.daiso.com.tw/products/4550480785486" TargetMode="External" Id="rId225"/><Relationship Type="http://schemas.openxmlformats.org/officeDocument/2006/relationships/hyperlink" Target="https://shop.daiso.com.tw/products/4550480506197" TargetMode="External" Id="rId226"/><Relationship Type="http://schemas.openxmlformats.org/officeDocument/2006/relationships/hyperlink" Target="https://shop.daiso.com.tw/products/4994163292487" TargetMode="External" Id="rId227"/><Relationship Type="http://schemas.openxmlformats.org/officeDocument/2006/relationships/hyperlink" Target="https://shop.daiso.com.tw/products/4994163292463" TargetMode="External" Id="rId228"/><Relationship Type="http://schemas.openxmlformats.org/officeDocument/2006/relationships/hyperlink" Target="https://shop.daiso.com.tw/products/4550480477435" TargetMode="External" Id="rId229"/><Relationship Type="http://schemas.openxmlformats.org/officeDocument/2006/relationships/hyperlink" Target="https://shop.daiso.com.tw/products/4550480477459" TargetMode="External" Id="rId230"/><Relationship Type="http://schemas.openxmlformats.org/officeDocument/2006/relationships/hyperlink" Target="https://shop.daiso.com.tw/products/4550480477466" TargetMode="External" Id="rId231"/><Relationship Type="http://schemas.openxmlformats.org/officeDocument/2006/relationships/hyperlink" Target="https://shop.daiso.com.tw/products/4994163290889" TargetMode="External" Id="rId232"/><Relationship Type="http://schemas.openxmlformats.org/officeDocument/2006/relationships/hyperlink" Target="https://shop.daiso.com.tw/products/4550480387956" TargetMode="External" Id="rId233"/><Relationship Type="http://schemas.openxmlformats.org/officeDocument/2006/relationships/hyperlink" Target="https://shop.daiso.com.tw/products/4962964017707" TargetMode="External" Id="rId234"/><Relationship Type="http://schemas.openxmlformats.org/officeDocument/2006/relationships/hyperlink" Target="https://shop.daiso.com.tw/products/4549131706918" TargetMode="External" Id="rId235"/><Relationship Type="http://schemas.openxmlformats.org/officeDocument/2006/relationships/hyperlink" Target="https://shop.daiso.com.tw/products/4550480878287" TargetMode="External" Id="rId236"/><Relationship Type="http://schemas.openxmlformats.org/officeDocument/2006/relationships/hyperlink" Target="https://shop.daiso.com.tw/products/4550480172491" TargetMode="External" Id="rId237"/><Relationship Type="http://schemas.openxmlformats.org/officeDocument/2006/relationships/hyperlink" Target="https://shop.daiso.com.tw/products/4550480172460" TargetMode="External" Id="rId238"/><Relationship Type="http://schemas.openxmlformats.org/officeDocument/2006/relationships/hyperlink" Target="https://shop.daiso.com.tw/products/4550480172514" TargetMode="External" Id="rId239"/><Relationship Type="http://schemas.openxmlformats.org/officeDocument/2006/relationships/hyperlink" Target="https://shop.daiso.com.tw/products/4550480172446" TargetMode="External" Id="rId240"/><Relationship Type="http://schemas.openxmlformats.org/officeDocument/2006/relationships/hyperlink" Target="https://shop.daiso.com.tw/products/4984343033191" TargetMode="External" Id="rId241"/><Relationship Type="http://schemas.openxmlformats.org/officeDocument/2006/relationships/hyperlink" Target="https://shop.daiso.com.tw/products/4550480878539" TargetMode="External" Id="rId242"/><Relationship Type="http://schemas.openxmlformats.org/officeDocument/2006/relationships/hyperlink" Target="https://shop.daiso.com.tw/products/4550480878522" TargetMode="External" Id="rId24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itori-net.jp/ec/feature/storageidea/kitchen/" TargetMode="External" Id="rId1"/><Relationship Type="http://schemas.openxmlformats.org/officeDocument/2006/relationships/hyperlink" Target="https://www.nitori-net.jp/ec/feature/storageidea/kitchen/" TargetMode="External" Id="rId2"/><Relationship Type="http://schemas.openxmlformats.org/officeDocument/2006/relationships/hyperlink" Target="https://www.nitori-net.jp/ec/feature/storageidea/kitchen/" TargetMode="External" Id="rId3"/><Relationship Type="http://schemas.openxmlformats.org/officeDocument/2006/relationships/hyperlink" Target="https://www.nitori-net.jp/ec/feature/storageidea/kitchen/" TargetMode="External" Id="rId4"/><Relationship Type="http://schemas.openxmlformats.org/officeDocument/2006/relationships/hyperlink" Target="https://www.nitori-net.jp/ec/feature/storageidea/kitchen/" TargetMode="External" Id="rId5"/><Relationship Type="http://schemas.openxmlformats.org/officeDocument/2006/relationships/hyperlink" Target="https://www.nitori-net.jp/ec/feature/storageidea/kitchen/" TargetMode="External" Id="rId6"/><Relationship Type="http://schemas.openxmlformats.org/officeDocument/2006/relationships/hyperlink" Target="https://www.nitori-net.jp/ec/feature/storageidea/kitchen/" TargetMode="External" Id="rId7"/><Relationship Type="http://schemas.openxmlformats.org/officeDocument/2006/relationships/hyperlink" Target="https://www.nitori-net.jp/ec/feature/storageidea/kitchen/" TargetMode="External" Id="rId8"/><Relationship Type="http://schemas.openxmlformats.org/officeDocument/2006/relationships/hyperlink" Target="https://www.nitori-net.jp/ec/feature/storageidea/kitchen/" TargetMode="External" Id="rId9"/><Relationship Type="http://schemas.openxmlformats.org/officeDocument/2006/relationships/hyperlink" Target="https://www.nitori-net.jp/ec/feature/storageidea/kitchen/" TargetMode="External" Id="rId10"/><Relationship Type="http://schemas.openxmlformats.org/officeDocument/2006/relationships/hyperlink" Target="https://www.nitori-net.jp/ec/feature/storageidea/kitchen/" TargetMode="External" Id="rId11"/><Relationship Type="http://schemas.openxmlformats.org/officeDocument/2006/relationships/hyperlink" Target="https://www.nitori-net.jp/ec/feature/storageidea/kitchen/" TargetMode="External" Id="rId12"/><Relationship Type="http://schemas.openxmlformats.org/officeDocument/2006/relationships/hyperlink" Target="https://www.nitori-net.jp/ec/feature/storageidea/kitchen/" TargetMode="External" Id="rId13"/><Relationship Type="http://schemas.openxmlformats.org/officeDocument/2006/relationships/hyperlink" Target="https://www.nitori-net.jp/ec/feature/storageidea/closet/" TargetMode="External" Id="rId14"/><Relationship Type="http://schemas.openxmlformats.org/officeDocument/2006/relationships/hyperlink" Target="https://www.nitori-net.jp/ec/feature/storageidea/closet/" TargetMode="External" Id="rId15"/><Relationship Type="http://schemas.openxmlformats.org/officeDocument/2006/relationships/hyperlink" Target="https://www.nitori-net.jp/ec/feature/storageidea/closet/" TargetMode="External" Id="rId16"/><Relationship Type="http://schemas.openxmlformats.org/officeDocument/2006/relationships/hyperlink" Target="https://www.nitori-net.jp/ec/feature/storageidea/closet/" TargetMode="External" Id="rId17"/><Relationship Type="http://schemas.openxmlformats.org/officeDocument/2006/relationships/hyperlink" Target="https://www.nitori-net.jp/ec/feature/storageidea/closet/" TargetMode="External" Id="rId18"/><Relationship Type="http://schemas.openxmlformats.org/officeDocument/2006/relationships/hyperlink" Target="https://www.nitori-net.jp/ec/feature/storageidea/closet/" TargetMode="External" Id="rId19"/><Relationship Type="http://schemas.openxmlformats.org/officeDocument/2006/relationships/hyperlink" Target="https://www.nitori-net.jp/ec/feature/storageidea/closet/" TargetMode="External" Id="rId20"/><Relationship Type="http://schemas.openxmlformats.org/officeDocument/2006/relationships/hyperlink" Target="https://www.nitori-net.jp/ec/feature/storageidea/entrance/" TargetMode="External" Id="rId21"/><Relationship Type="http://schemas.openxmlformats.org/officeDocument/2006/relationships/hyperlink" Target="https://www.nitori-net.jp/ec/feature/storageidea/entrance/" TargetMode="External" Id="rId22"/><Relationship Type="http://schemas.openxmlformats.org/officeDocument/2006/relationships/hyperlink" Target="https://www.nitori-net.jp/ec/feature/storageidea/entrance/" TargetMode="External" Id="rId23"/><Relationship Type="http://schemas.openxmlformats.org/officeDocument/2006/relationships/hyperlink" Target="https://www.nitori-net.jp/ec/feature/storageidea/entrance/" TargetMode="External" Id="rId24"/><Relationship Type="http://schemas.openxmlformats.org/officeDocument/2006/relationships/hyperlink" Target="https://www.nitori-net.jp/ec/feature/storageidea/entrance/" TargetMode="External" Id="rId25"/><Relationship Type="http://schemas.openxmlformats.org/officeDocument/2006/relationships/hyperlink" Target="https://www.nitori-net.jp/ec/feature/storageidea/entrance/" TargetMode="External" Id="rId26"/><Relationship Type="http://schemas.openxmlformats.org/officeDocument/2006/relationships/hyperlink" Target="https://www.nitori-net.jp/ec/feature/storageidea/oshiire/" TargetMode="External" Id="rId27"/><Relationship Type="http://schemas.openxmlformats.org/officeDocument/2006/relationships/hyperlink" Target="https://www.nitori-net.jp/ec/feature/storageidea/oshiire/" TargetMode="External" Id="rId28"/><Relationship Type="http://schemas.openxmlformats.org/officeDocument/2006/relationships/hyperlink" Target="https://www.nitori-net.jp/ec/feature/storageidea/oshiire/" TargetMode="External" Id="rId29"/><Relationship Type="http://schemas.openxmlformats.org/officeDocument/2006/relationships/hyperlink" Target="https://www.nitori-net.jp/ec/feature/storageidea/washroom/" TargetMode="External" Id="rId30"/><Relationship Type="http://schemas.openxmlformats.org/officeDocument/2006/relationships/hyperlink" Target="https://www.nitori-net.jp/ec/feature/storageidea/washroom/" TargetMode="External" Id="rId31"/><Relationship Type="http://schemas.openxmlformats.org/officeDocument/2006/relationships/hyperlink" Target="https://www.nitori-net.jp/ec/feature/storageidea/washroom/" TargetMode="External" Id="rId32"/><Relationship Type="http://schemas.openxmlformats.org/officeDocument/2006/relationships/hyperlink" Target="https://www.nitori-net.jp/ec/feature/storageidea/washroom/" TargetMode="External" Id="rId33"/><Relationship Type="http://schemas.openxmlformats.org/officeDocument/2006/relationships/hyperlink" Target="https://www.nitori-net.jp/ec/feature/storageidea/washroom/" TargetMode="External" Id="rId34"/><Relationship Type="http://schemas.openxmlformats.org/officeDocument/2006/relationships/hyperlink" Target="https://www.nitori-net.jp/ec/feature/storageidea/washroom/" TargetMode="External" Id="rId35"/><Relationship Type="http://schemas.openxmlformats.org/officeDocument/2006/relationships/hyperlink" Target="https://www.nitori-net.jp/ec/feature/storageidea/workspace/" TargetMode="External" Id="rId36"/><Relationship Type="http://schemas.openxmlformats.org/officeDocument/2006/relationships/hyperlink" Target="https://www.nitori-net.jp/ec/feature/refrigerator/" TargetMode="External" Id="rId37"/><Relationship Type="http://schemas.openxmlformats.org/officeDocument/2006/relationships/hyperlink" Target="https://www.nitori-net.jp/ec/feature/refrigerator/" TargetMode="External" Id="rId38"/><Relationship Type="http://schemas.openxmlformats.org/officeDocument/2006/relationships/hyperlink" Target="https://www.nitori-net.jp/ec/feature/refrigerator/" TargetMode="External" Id="rId39"/><Relationship Type="http://schemas.openxmlformats.org/officeDocument/2006/relationships/hyperlink" Target="https://www.nitori-net.jp/ec/feature/refrigerator/" TargetMode="External" Id="rId40"/><Relationship Type="http://schemas.openxmlformats.org/officeDocument/2006/relationships/hyperlink" Target="https://www.nitori-net.jp/ec/feature/kurashi/organize-2240001/" TargetMode="External" Id="rId41"/><Relationship Type="http://schemas.openxmlformats.org/officeDocument/2006/relationships/hyperlink" Target="https://www.nitori-net.jp/ec/feature/kurashi/organize-2240001/" TargetMode="External" Id="rId42"/><Relationship Type="http://schemas.openxmlformats.org/officeDocument/2006/relationships/hyperlink" Target="https://www.nitori-net.jp/ec/feature/kurashi/organize-2240001/" TargetMode="External" Id="rId43"/><Relationship Type="http://schemas.openxmlformats.org/officeDocument/2006/relationships/hyperlink" Target="https://www.nitori-net.jp/ec/feature/kurashi/organize-2240001/" TargetMode="External" Id="rId44"/><Relationship Type="http://schemas.openxmlformats.org/officeDocument/2006/relationships/hyperlink" Target="https://www.nitori-net.jp/ec/feature/kurashi/organize-2207001/" TargetMode="External" Id="rId45"/><Relationship Type="http://schemas.openxmlformats.org/officeDocument/2006/relationships/hyperlink" Target="https://www.nitori-net.jp/ec/feature/kurashi/organize-2222001/" TargetMode="External" Id="rId46"/><Relationship Type="http://schemas.openxmlformats.org/officeDocument/2006/relationships/hyperlink" Target="https://www.muji.com/jp/ja/shop/046868/articles/muji-staff/1247316" TargetMode="External" Id="rId47"/><Relationship Type="http://schemas.openxmlformats.org/officeDocument/2006/relationships/hyperlink" Target="https://www.muji.com/jp/ja/shop/045517/articles/muji-staff/561821" TargetMode="External" Id="rId48"/><Relationship Type="http://schemas.openxmlformats.org/officeDocument/2006/relationships/hyperlink" Target="https://www.muji.com/jp/ja/shop/045570/articles/muji-staff/523756" TargetMode="External" Id="rId49"/><Relationship Type="http://schemas.openxmlformats.org/officeDocument/2006/relationships/hyperlink" Target="https://www.muji.com/jp/ja/shop/045769/articles/muji-staff/459516" TargetMode="External" Id="rId50"/><Relationship Type="http://schemas.openxmlformats.org/officeDocument/2006/relationships/hyperlink" Target="https://www.muji.com/jp/ja/shop/045570/articles/muji-staff/573416" TargetMode="External" Id="rId51"/><Relationship Type="http://schemas.openxmlformats.org/officeDocument/2006/relationships/hyperlink" Target="https://www.muji.com/jp/ja/shop/045570/articles/muji-staff/573416" TargetMode="External" Id="rId52"/><Relationship Type="http://schemas.openxmlformats.org/officeDocument/2006/relationships/hyperlink" Target="https://www.muji.com/jp/ja/special-feature/furniture/storage-supplies/" TargetMode="External" Id="rId53"/><Relationship Type="http://schemas.openxmlformats.org/officeDocument/2006/relationships/hyperlink" Target="https://www.muji.com/jp/ja/special-feature/furniture/storage-supplies/" TargetMode="External" Id="rId54"/><Relationship Type="http://schemas.openxmlformats.org/officeDocument/2006/relationships/hyperlink" Target="https://www.muji.com/jp/ja/special-feature/furniture/storage-supplies/" TargetMode="External" Id="rId55"/><Relationship Type="http://schemas.openxmlformats.org/officeDocument/2006/relationships/hyperlink" Target="https://www.muji.com/jp/ja/special-feature/furniture/storage-supplies/" TargetMode="External" Id="rId56"/><Relationship Type="http://schemas.openxmlformats.org/officeDocument/2006/relationships/hyperlink" Target="https://house.muji.com/life/clmn/tebiki/tebiki_250731/" TargetMode="External" Id="rId57"/><Relationship Type="http://schemas.openxmlformats.org/officeDocument/2006/relationships/hyperlink" Target="https://house.muji.com/life/clmn/tebiki/tebiki_250731/" TargetMode="External" Id="rId58"/><Relationship Type="http://schemas.openxmlformats.org/officeDocument/2006/relationships/hyperlink" Target="https://house.muji.com/life/clmn/tebiki/tebiki_250731/" TargetMode="External" Id="rId59"/><Relationship Type="http://schemas.openxmlformats.org/officeDocument/2006/relationships/hyperlink" Target="https://house.muji.com/life/clmn/tebiki/tebiki_250828/" TargetMode="External" Id="rId60"/><Relationship Type="http://schemas.openxmlformats.org/officeDocument/2006/relationships/hyperlink" Target="https://house.muji.com/life/clmn/tebiki/tebiki_250828/" TargetMode="External" Id="rId61"/><Relationship Type="http://schemas.openxmlformats.org/officeDocument/2006/relationships/hyperlink" Target="https://house.muji.com/life/clmn/tebiki/tebiki_250828/" TargetMode="External" Id="rId62"/><Relationship Type="http://schemas.openxmlformats.org/officeDocument/2006/relationships/hyperlink" Target="https://house.muji.com/life/clmn/tebiki/tebiki_260918/" TargetMode="External" Id="rId63"/><Relationship Type="http://schemas.openxmlformats.org/officeDocument/2006/relationships/hyperlink" Target="https://house.muji.com/life/clmn/tebiki/tebiki_260918/" TargetMode="External" Id="rId64"/><Relationship Type="http://schemas.openxmlformats.org/officeDocument/2006/relationships/hyperlink" Target="https://house.muji.com/life/clmn/tebiki/tebiki_260918/" TargetMode="External" Id="rId65"/><Relationship Type="http://schemas.openxmlformats.org/officeDocument/2006/relationships/hyperlink" Target="https://house.muji.com/life/clmn/tebiki/tebiki_260918/" TargetMode="External" Id="rId66"/><Relationship Type="http://schemas.openxmlformats.org/officeDocument/2006/relationships/hyperlink" Target="https://house.muji.com/life/clmn/tebiki/tebiki_260918/" TargetMode="External" Id="rId67"/><Relationship Type="http://schemas.openxmlformats.org/officeDocument/2006/relationships/hyperlink" Target="https://house.muji.com/life/clmn/tebiki/tebiki_261023/" TargetMode="External" Id="rId68"/><Relationship Type="http://schemas.openxmlformats.org/officeDocument/2006/relationships/hyperlink" Target="https://house.muji.com/life/clmn/tebiki/tebiki_261023/" TargetMode="External" Id="rId69"/><Relationship Type="http://schemas.openxmlformats.org/officeDocument/2006/relationships/hyperlink" Target="https://house.muji.com/life/clmn/tebiki/tebiki_261023/" TargetMode="External" Id="rId70"/><Relationship Type="http://schemas.openxmlformats.org/officeDocument/2006/relationships/hyperlink" Target="https://house.muji.com/life/clmn/tebiki/tebiki_261023/" TargetMode="External" Id="rId71"/><Relationship Type="http://schemas.openxmlformats.org/officeDocument/2006/relationships/hyperlink" Target="https://house.muji.com/life/clmn/tebiki/tebiki_261023/" TargetMode="External" Id="rId72"/><Relationship Type="http://schemas.openxmlformats.org/officeDocument/2006/relationships/hyperlink" Target="https://house.muji.com/life/clmn/tebiki/tebiki_261023/" TargetMode="External" Id="rId73"/><Relationship Type="http://schemas.openxmlformats.org/officeDocument/2006/relationships/hyperlink" Target="https://house.muji.com/life/clmn/tebiki/tebiki_251027/" TargetMode="External" Id="rId74"/><Relationship Type="http://schemas.openxmlformats.org/officeDocument/2006/relationships/hyperlink" Target="https://house.muji.com/life/clmn/tebiki/tebiki_251027/" TargetMode="External" Id="rId75"/><Relationship Type="http://schemas.openxmlformats.org/officeDocument/2006/relationships/hyperlink" Target="https://house.muji.com/life/clmn/tebiki/tebiki_251027/" TargetMode="External" Id="rId76"/><Relationship Type="http://schemas.openxmlformats.org/officeDocument/2006/relationships/hyperlink" Target="https://house.muji.com/life/clmn/tebiki/tebiki_251027/" TargetMode="External" Id="rId77"/><Relationship Type="http://schemas.openxmlformats.org/officeDocument/2006/relationships/hyperlink" Target="https://house.muji.com/life/clmn/tebiki/tebiki_251027/" TargetMode="External" Id="rId78"/><Relationship Type="http://schemas.openxmlformats.org/officeDocument/2006/relationships/hyperlink" Target="https://www.muji.com/jp/ja/store/articles/staff-blog/summary/1587002" TargetMode="External" Id="rId79"/><Relationship Type="http://schemas.openxmlformats.org/officeDocument/2006/relationships/hyperlink" Target="https://www.muji.com/jp/ja/store/articles/staff-blog/summary/1587002" TargetMode="External" Id="rId80"/><Relationship Type="http://schemas.openxmlformats.org/officeDocument/2006/relationships/hyperlink" Target="https://www.muji.com/jp/ja/store/articles/staff-blog/summary/1598364" TargetMode="External" Id="rId81"/><Relationship Type="http://schemas.openxmlformats.org/officeDocument/2006/relationships/hyperlink" Target="https://www.muji.com/jp/ja/store/articles/staff-blog/summary/1679425" TargetMode="External" Id="rId82"/><Relationship Type="http://schemas.openxmlformats.org/officeDocument/2006/relationships/hyperlink" Target="https://www.muji.com/jp/ja/store/articles/staff-blog/summary/1679425" TargetMode="External" Id="rId83"/><Relationship Type="http://schemas.openxmlformats.org/officeDocument/2006/relationships/hyperlink" Target="https://www.muji.tw/muji-journal/feature/24ss/storage-supplies/" TargetMode="External" Id="rId84"/><Relationship Type="http://schemas.openxmlformats.org/officeDocument/2006/relationships/hyperlink" Target="https://www.muji.tw/muji-journal/feature/24ss/storage-supplies/" TargetMode="External" Id="rId85"/><Relationship Type="http://schemas.openxmlformats.org/officeDocument/2006/relationships/hyperlink" Target="https://www.muji.tw/muji-journal/feature/24ss/storage-supplies/" TargetMode="External" Id="rId86"/><Relationship Type="http://schemas.openxmlformats.org/officeDocument/2006/relationships/hyperlink" Target="https://www.ikea.com/us/en/rooms/kitchen/how-to/organize-under-the-kitchen-sink-6-smart-storage-ideas-pubacf6ec70/" TargetMode="External" Id="rId87"/><Relationship Type="http://schemas.openxmlformats.org/officeDocument/2006/relationships/hyperlink" Target="https://www.ikea.com/us/en/rooms/kitchen/how-to/organize-under-the-kitchen-sink-6-smart-storage-ideas-pubacf6ec70/" TargetMode="External" Id="rId88"/><Relationship Type="http://schemas.openxmlformats.org/officeDocument/2006/relationships/hyperlink" Target="https://www.ikea.com/us/en/rooms/kitchen/how-to/organize-under-the-kitchen-sink-6-smart-storage-ideas-pubacf6ec70/" TargetMode="External" Id="rId89"/><Relationship Type="http://schemas.openxmlformats.org/officeDocument/2006/relationships/hyperlink" Target="https://www.ikea.com/gb/en/rooms/bathroom/how-to/under-sink-bathroom-storage-ideas-pub7bb1a450/" TargetMode="External" Id="rId90"/><Relationship Type="http://schemas.openxmlformats.org/officeDocument/2006/relationships/hyperlink" Target="https://www.ikea.com/gb/en/rooms/bathroom/how-to/under-sink-bathroom-storage-ideas-pub7bb1a450/" TargetMode="External" Id="rId91"/><Relationship Type="http://schemas.openxmlformats.org/officeDocument/2006/relationships/hyperlink" Target="https://www.ikea.com/us/en/rooms/kitchen/how-to/easy-ways-to-organize-your-fridge-pubaec7aa90/" TargetMode="External" Id="rId92"/><Relationship Type="http://schemas.openxmlformats.org/officeDocument/2006/relationships/hyperlink" Target="https://www.ikea.com/us/en/rooms/kitchen/how-to/easy-ways-to-organize-your-fridge-pubaec7aa90/" TargetMode="External" Id="rId93"/><Relationship Type="http://schemas.openxmlformats.org/officeDocument/2006/relationships/hyperlink" Target="https://www.ikea.com/us/en/rooms/kitchen/how-to/how-to-organize-kitchen-cabinets-and-drawers-8-ideas-that-save-time-and-space-pube8ed7a50/" TargetMode="External" Id="rId94"/><Relationship Type="http://schemas.openxmlformats.org/officeDocument/2006/relationships/hyperlink" Target="https://www.ikea.com/us/en/rooms/kitchen/how-to/how-to-organize-kitchen-cabinets-and-drawers-8-ideas-that-save-time-and-space-pube8ed7a50/" TargetMode="External" Id="rId95"/><Relationship Type="http://schemas.openxmlformats.org/officeDocument/2006/relationships/hyperlink" Target="https://www.ikea.com/ph/en/ideas/custom-walls-with-ikea-pegboards-pubcd140fa0/" TargetMode="External" Id="rId96"/><Relationship Type="http://schemas.openxmlformats.org/officeDocument/2006/relationships/hyperlink" Target="https://www.ikea.com/ph/en/ideas/custom-walls-with-ikea-pegboards-pubcd140fa0/" TargetMode="External" Id="rId97"/><Relationship Type="http://schemas.openxmlformats.org/officeDocument/2006/relationships/hyperlink" Target="https://www.ikea.com.tw/zh/inspirations/clever-ideas-to-organise-your-laundry-room" TargetMode="External" Id="rId98"/><Relationship Type="http://schemas.openxmlformats.org/officeDocument/2006/relationships/hyperlink" Target="https://www.ikea.com.tw/zh/galleries/7-home-organisation-ideas-for-a-smoother-everyday-flow" TargetMode="External" Id="rId99"/><Relationship Type="http://schemas.openxmlformats.org/officeDocument/2006/relationships/hyperlink" Target="https://www.ikea.com.tw/zh/galleries/7-home-organisation-ideas-for-a-smoother-everyday-flow" TargetMode="External" Id="rId100"/><Relationship Type="http://schemas.openxmlformats.org/officeDocument/2006/relationships/hyperlink" Target="https://www.ikea.com.tw/zh/inspirations/two-simple-habits-to-reclaim-your-space" TargetMode="External" Id="rId101"/><Relationship Type="http://schemas.openxmlformats.org/officeDocument/2006/relationships/hyperlink" Target="https://www.ikea.com.tw/zh/inspirations/two-simple-habits-to-reclaim-your-space" TargetMode="External" Id="rId102"/><Relationship Type="http://schemas.openxmlformats.org/officeDocument/2006/relationships/hyperlink" Target="https://www.ikea.com.tw/zh/inspirations/small-storage-ideas-across-the-home" TargetMode="External" Id="rId103"/><Relationship Type="http://schemas.openxmlformats.org/officeDocument/2006/relationships/hyperlink" Target="https://www.ikea.com.tw/zh/inspirations/small-storage-ideas-across-the-home" TargetMode="External" Id="rId104"/><Relationship Type="http://schemas.openxmlformats.org/officeDocument/2006/relationships/hyperlink" Target="https://www.ikea.com.tw/zh/inspirations/storage-ideas-for-small-spaces" TargetMode="External" Id="rId105"/><Relationship Type="http://schemas.openxmlformats.org/officeDocument/2006/relationships/hyperlink" Target="https://www.ikea.com.tw/zh/rooms/bedroom/how-to/getting-the-best-from-a-wardrobe" TargetMode="External" Id="rId106"/><Relationship Type="http://schemas.openxmlformats.org/officeDocument/2006/relationships/hyperlink" Target="https://www.ikea.com.tw/zh/rooms/kitchen/how-to/kitchen-shelf-ideas-to-maximise-storage-and-style" TargetMode="External" Id="rId107"/><Relationship Type="http://schemas.openxmlformats.org/officeDocument/2006/relationships/hyperlink" Target="https://www.ikea.com.tw/zh/inspirations/family-hallway-storage-ideas-putting-the-kids-first" TargetMode="External" Id="rId108"/><Relationship Type="http://schemas.openxmlformats.org/officeDocument/2006/relationships/hyperlink" Target="https://www.ikea.com.tw/zh/inspirations/kid-friendly-hallway-ideas-that-work-for-all-ages" TargetMode="External" Id="rId109"/><Relationship Type="http://schemas.openxmlformats.org/officeDocument/2006/relationships/hyperlink" Target="https://www.ikea.com.tw/zh/inspirations/playful-harmony-in-a-super-organised-bathroom" TargetMode="External" Id="rId110"/><Relationship Type="http://schemas.openxmlformats.org/officeDocument/2006/relationships/hyperlink" Target="https://jp.daisonet.com/products/4550480280226" TargetMode="External" Id="rId111"/><Relationship Type="http://schemas.openxmlformats.org/officeDocument/2006/relationships/hyperlink" Target="https://jp.daisonet.com/products/4549131532456" TargetMode="External" Id="rId112"/><Relationship Type="http://schemas.openxmlformats.org/officeDocument/2006/relationships/hyperlink" Target="https://jp.daisonet.com/products/4550480910543" TargetMode="External" Id="rId113"/><Relationship Type="http://schemas.openxmlformats.org/officeDocument/2006/relationships/hyperlink" Target="https://jp.daisonet.com/products/4550480131320" TargetMode="External" Id="rId114"/><Relationship Type="http://schemas.openxmlformats.org/officeDocument/2006/relationships/hyperlink" Target="https://jpbulk.daisonet.com/products/4549131312065" TargetMode="External" Id="rId115"/><Relationship Type="http://schemas.openxmlformats.org/officeDocument/2006/relationships/hyperlink" Target="https://jp.daisonet.com/products/4549131483369" TargetMode="External" Id="rId116"/><Relationship Type="http://schemas.openxmlformats.org/officeDocument/2006/relationships/hyperlink" Target="https://jp.daisonet.com/products/4550480283487" TargetMode="External" Id="rId117"/><Relationship Type="http://schemas.openxmlformats.org/officeDocument/2006/relationships/hyperlink" Target="https://jp.daisonet.com/products/4550480092089" TargetMode="External" Id="rId118"/><Relationship Type="http://schemas.openxmlformats.org/officeDocument/2006/relationships/hyperlink" Target="https://www.daiso-sangyo.co.jp/item/27964" TargetMode="External" Id="rId119"/><Relationship Type="http://schemas.openxmlformats.org/officeDocument/2006/relationships/hyperlink" Target="https://esse-online.jp/articles/-/30019" TargetMode="External" Id="rId120"/><Relationship Type="http://schemas.openxmlformats.org/officeDocument/2006/relationships/hyperlink" Target="https://esse-online.jp/articles/-/30177" TargetMode="External" Id="rId121"/><Relationship Type="http://schemas.openxmlformats.org/officeDocument/2006/relationships/hyperlink" Target="https://39mag.thankyu.co.jp/article/living/storage/950326/" TargetMode="External" Id="rId122"/><Relationship Type="http://schemas.openxmlformats.org/officeDocument/2006/relationships/hyperlink" Target="https://39mag.thankyu.co.jp/article/living/storage/950326/" TargetMode="External" Id="rId123"/><Relationship Type="http://schemas.openxmlformats.org/officeDocument/2006/relationships/hyperlink" Target="https://39mag.thankyu.co.jp/article/living/storage/250279/" TargetMode="External" Id="rId124"/><Relationship Type="http://schemas.openxmlformats.org/officeDocument/2006/relationships/hyperlink" Target="https://39mag.thankyu.co.jp/article/living/storage/250279/" TargetMode="External" Id="rId125"/><Relationship Type="http://schemas.openxmlformats.org/officeDocument/2006/relationships/hyperlink" Target="https://39mag.thankyu.co.jp/article/living/storage/250279/" TargetMode="External" Id="rId126"/><Relationship Type="http://schemas.openxmlformats.org/officeDocument/2006/relationships/hyperlink" Target="https://www.searchome.net/article.aspx?id=82596" TargetMode="External" Id="rId127"/><Relationship Type="http://schemas.openxmlformats.org/officeDocument/2006/relationships/hyperlink" Target="https://www.searchome.net/article.aspx?id=80565" TargetMode="External" Id="rId128"/><Relationship Type="http://schemas.openxmlformats.org/officeDocument/2006/relationships/hyperlink" Target="https://39mag.thankyu.co.jp/article/living/storage/250279/" TargetMode="External" Id="rId129"/><Relationship Type="http://schemas.openxmlformats.org/officeDocument/2006/relationships/hyperlink" Target="https://39mag.thankyu.co.jp/article/living/storage/250279/" TargetMode="External" Id="rId130"/><Relationship Type="http://schemas.openxmlformats.org/officeDocument/2006/relationships/hyperlink" Target="https://39mag.thankyu.co.jp/article/living/storage/250279/" TargetMode="External" Id="rId131"/><Relationship Type="http://schemas.openxmlformats.org/officeDocument/2006/relationships/hyperlink" Target="https://esse-online.jp/articles/-/22795?page=2" TargetMode="External" Id="rId132"/><Relationship Type="http://schemas.openxmlformats.org/officeDocument/2006/relationships/hyperlink" Target="https://39mag.thankyu.co.jp/article/living/storage/250279/" TargetMode="External" Id="rId133"/><Relationship Type="http://schemas.openxmlformats.org/officeDocument/2006/relationships/hyperlink" Target="https://39mag.thankyu.co.jp/article/living/storage/250279/" TargetMode="External" Id="rId134"/><Relationship Type="http://schemas.openxmlformats.org/officeDocument/2006/relationships/hyperlink" Target="https://39mag.thankyu.co.jp/article/living/storage/250279/" TargetMode="External" Id="rId135"/><Relationship Type="http://schemas.openxmlformats.org/officeDocument/2006/relationships/hyperlink" Target="https://esse-online.jp/articles/-/29531" TargetMode="External" Id="rId136"/><Relationship Type="http://schemas.openxmlformats.org/officeDocument/2006/relationships/hyperlink" Target="https://esse-online.jp/articles/-/29531" TargetMode="External" Id="rId137"/><Relationship Type="http://schemas.openxmlformats.org/officeDocument/2006/relationships/hyperlink" Target="https://www.searchome.net/article.aspx?id=82002" TargetMode="External" Id="rId138"/><Relationship Type="http://schemas.openxmlformats.org/officeDocument/2006/relationships/hyperlink" Target="https://39mag.thankyu.co.jp/benesse/215627" TargetMode="External" Id="rId139"/><Relationship Type="http://schemas.openxmlformats.org/officeDocument/2006/relationships/hyperlink" Target="https://www.searchome.net/article.aspx?id=78137" TargetMode="External" Id="rId140"/><Relationship Type="http://schemas.openxmlformats.org/officeDocument/2006/relationships/hyperlink" Target="https://www.searchome.net/article.aspx?id=78137" TargetMode="External" Id="rId141"/><Relationship Type="http://schemas.openxmlformats.org/officeDocument/2006/relationships/hyperlink" Target="https://39mag.thankyu.co.jp/benesse/154915" TargetMode="External" Id="rId142"/><Relationship Type="http://schemas.openxmlformats.org/officeDocument/2006/relationships/hyperlink" Target="https://esse-online.jp/articles/-/30019" TargetMode="External" Id="rId143"/><Relationship Type="http://schemas.openxmlformats.org/officeDocument/2006/relationships/hyperlink" Target="https://39mag.thankyu.co.jp/benesse/215627" TargetMode="External" Id="rId144"/><Relationship Type="http://schemas.openxmlformats.org/officeDocument/2006/relationships/hyperlink" Target="https://www.searchome.net/article.aspx?id=82596" TargetMode="External" Id="rId145"/><Relationship Type="http://schemas.openxmlformats.org/officeDocument/2006/relationships/hyperlink" Target="https://www.searchome.net/article.aspx?id=82596" TargetMode="External" Id="rId146"/><Relationship Type="http://schemas.openxmlformats.org/officeDocument/2006/relationships/hyperlink" Target="https://www.searchome.net/article.aspx?id=80565" TargetMode="External" Id="rId147"/><Relationship Type="http://schemas.openxmlformats.org/officeDocument/2006/relationships/hyperlink" Target="https://www.searchome.net/article.aspx?id=82596" TargetMode="External" Id="rId148"/><Relationship Type="http://schemas.openxmlformats.org/officeDocument/2006/relationships/hyperlink" Target="https://www.searchome.net/article.aspx?id=82596" TargetMode="External" Id="rId149"/><Relationship Type="http://schemas.openxmlformats.org/officeDocument/2006/relationships/hyperlink" Target="https://www.searchome.net/article.aspx?id=82596" TargetMode="External" Id="rId150"/><Relationship Type="http://schemas.openxmlformats.org/officeDocument/2006/relationships/hyperlink" Target="https://www.searchome.net/article.aspx?id=82596" TargetMode="External" Id="rId151"/><Relationship Type="http://schemas.openxmlformats.org/officeDocument/2006/relationships/hyperlink" Target="https://esse-online.jp/articles/-/32551" TargetMode="External" Id="rId152"/><Relationship Type="http://schemas.openxmlformats.org/officeDocument/2006/relationships/hyperlink" Target="https://esse-online.jp/articles/-/29782" TargetMode="External" Id="rId153"/><Relationship Type="http://schemas.openxmlformats.org/officeDocument/2006/relationships/hyperlink" Target="https://39mag.thankyu.co.jp/article/living/storage/250279/" TargetMode="External" Id="rId154"/><Relationship Type="http://schemas.openxmlformats.org/officeDocument/2006/relationships/hyperlink" Target="https://esse-online.jp/articles/-/8125" TargetMode="External" Id="rId155"/><Relationship Type="http://schemas.openxmlformats.org/officeDocument/2006/relationships/hyperlink" Target="https://limo.media/articles/-/137036" TargetMode="External" Id="rId156"/><Relationship Type="http://schemas.openxmlformats.org/officeDocument/2006/relationships/hyperlink" Target="https://esse-online.jp/articles/-/30030" TargetMode="External" Id="rId157"/><Relationship Type="http://schemas.openxmlformats.org/officeDocument/2006/relationships/hyperlink" Target="https://www.roomie.jp/2025/10/1625820/" TargetMode="External" Id="rId158"/><Relationship Type="http://schemas.openxmlformats.org/officeDocument/2006/relationships/hyperlink" Target="https://www.searchome.net/article.aspx?id=82596" TargetMode="External" Id="rId159"/><Relationship Type="http://schemas.openxmlformats.org/officeDocument/2006/relationships/hyperlink" Target="https://www.searchome.net/article.aspx?id=76595" TargetMode="External" Id="rId160"/><Relationship Type="http://schemas.openxmlformats.org/officeDocument/2006/relationships/hyperlink" Target="https://www.searchome.net/article.aspx?id=76595" TargetMode="External" Id="rId161"/><Relationship Type="http://schemas.openxmlformats.org/officeDocument/2006/relationships/hyperlink" Target="https://www.searchome.net/article.aspx?id=76595" TargetMode="External" Id="rId162"/><Relationship Type="http://schemas.openxmlformats.org/officeDocument/2006/relationships/hyperlink" Target="https://www.searchome.net/article.aspx?id=76595" TargetMode="External" Id="rId163"/><Relationship Type="http://schemas.openxmlformats.org/officeDocument/2006/relationships/hyperlink" Target="https://www.searchome.net/article.aspx?id=76595" TargetMode="External" Id="rId164"/><Relationship Type="http://schemas.openxmlformats.org/officeDocument/2006/relationships/hyperlink" Target="https://www.searchome.net/article.aspx?id=76595" TargetMode="External" Id="rId165"/><Relationship Type="http://schemas.openxmlformats.org/officeDocument/2006/relationships/hyperlink" Target="https://www.searchome.net/article.aspx?id=80259" TargetMode="External" Id="rId166"/><Relationship Type="http://schemas.openxmlformats.org/officeDocument/2006/relationships/hyperlink" Target="https://www.searchome.net/article.aspx?id=80259" TargetMode="External" Id="rId167"/><Relationship Type="http://schemas.openxmlformats.org/officeDocument/2006/relationships/hyperlink" Target="https://esse-online.jp/articles/-/27250" TargetMode="External" Id="rId168"/><Relationship Type="http://schemas.openxmlformats.org/officeDocument/2006/relationships/hyperlink" Target="https://esse-online.jp/articles/-/27250" TargetMode="External" Id="rId169"/><Relationship Type="http://schemas.openxmlformats.org/officeDocument/2006/relationships/hyperlink" Target="https://esse-online.jp/articles/-/27250" TargetMode="External" Id="rId170"/><Relationship Type="http://schemas.openxmlformats.org/officeDocument/2006/relationships/hyperlink" Target="https://esse-online.jp/articles/-/26138" TargetMode="External" Id="rId171"/><Relationship Type="http://schemas.openxmlformats.org/officeDocument/2006/relationships/hyperlink" Target="https://esse-online.jp/articles/-/26138" TargetMode="External" Id="rId172"/><Relationship Type="http://schemas.openxmlformats.org/officeDocument/2006/relationships/hyperlink" Target="https://esse-online.jp/articles/-/29782" TargetMode="External" Id="rId173"/><Relationship Type="http://schemas.openxmlformats.org/officeDocument/2006/relationships/hyperlink" Target="https://esse-online.jp/articles/-/8125" TargetMode="External" Id="rId174"/><Relationship Type="http://schemas.openxmlformats.org/officeDocument/2006/relationships/hyperlink" Target="https://www.searchome.net/article.aspx?id=82596" TargetMode="External" Id="rId175"/><Relationship Type="http://schemas.openxmlformats.org/officeDocument/2006/relationships/hyperlink" Target="https://www.searchome.net/article.aspx?id=78137" TargetMode="External" Id="rId176"/><Relationship Type="http://schemas.openxmlformats.org/officeDocument/2006/relationships/hyperlink" Target="https://www.searchome.net/article.aspx?id=81334" TargetMode="External" Id="rId177"/><Relationship Type="http://schemas.openxmlformats.org/officeDocument/2006/relationships/hyperlink" Target="https://www.searchome.net/article.aspx?id=81334" TargetMode="External" Id="rId178"/><Relationship Type="http://schemas.openxmlformats.org/officeDocument/2006/relationships/hyperlink" Target="https://www.searchome.net/article.aspx?id=81334" TargetMode="External" Id="rId179"/><Relationship Type="http://schemas.openxmlformats.org/officeDocument/2006/relationships/hyperlink" Target="https://www.searchome.net/article.aspx?id=81334" TargetMode="External" Id="rId180"/><Relationship Type="http://schemas.openxmlformats.org/officeDocument/2006/relationships/hyperlink" Target="https://www.searchome.net/article.aspx?id=73455" TargetMode="External" Id="rId181"/><Relationship Type="http://schemas.openxmlformats.org/officeDocument/2006/relationships/hyperlink" Target="https://esse-online.jp/articles/-/38693" TargetMode="External" Id="rId182"/><Relationship Type="http://schemas.openxmlformats.org/officeDocument/2006/relationships/hyperlink" Target="https://woman.nikkei.com/atcl/doors/wol/column/15/011900050/080700020/" TargetMode="External" Id="rId183"/><Relationship Type="http://schemas.openxmlformats.org/officeDocument/2006/relationships/hyperlink" Target="https://www.searchome.net/article.aspx?id=81334" TargetMode="External" Id="rId184"/><Relationship Type="http://schemas.openxmlformats.org/officeDocument/2006/relationships/hyperlink" Target="https://www.searchome.net/article.aspx?id=81334" TargetMode="External" Id="rId185"/><Relationship Type="http://schemas.openxmlformats.org/officeDocument/2006/relationships/hyperlink" Target="https://esse-online.jp/articles/-/38693" TargetMode="External" Id="rId186"/><Relationship Type="http://schemas.openxmlformats.org/officeDocument/2006/relationships/hyperlink" Target="https://www.searchome.net/article.aspx?id=80565" TargetMode="External" Id="rId187"/><Relationship Type="http://schemas.openxmlformats.org/officeDocument/2006/relationships/hyperlink" Target="https://esse-online.jp/articles/-/22795?page=2" TargetMode="External" Id="rId188"/><Relationship Type="http://schemas.openxmlformats.org/officeDocument/2006/relationships/hyperlink" Target="https://www.searchome.net/article.aspx?id=80565" TargetMode="External" Id="rId189"/><Relationship Type="http://schemas.openxmlformats.org/officeDocument/2006/relationships/hyperlink" Target="https://www.searchome.net/article.aspx?id=81334" TargetMode="External" Id="rId190"/><Relationship Type="http://schemas.openxmlformats.org/officeDocument/2006/relationships/hyperlink" Target="https://www.searchome.net/article.aspx?id=82596" TargetMode="External" Id="rId191"/><Relationship Type="http://schemas.openxmlformats.org/officeDocument/2006/relationships/hyperlink" Target="https://www.searchome.net/article.aspx?id=82596" TargetMode="External" Id="rId192"/><Relationship Type="http://schemas.openxmlformats.org/officeDocument/2006/relationships/hyperlink" Target="https://www.searchome.net/article.aspx?id=82596" TargetMode="External" Id="rId193"/><Relationship Type="http://schemas.openxmlformats.org/officeDocument/2006/relationships/hyperlink" Target="https://www.searchome.net/article.aspx?id=78137" TargetMode="External" Id="rId194"/><Relationship Type="http://schemas.openxmlformats.org/officeDocument/2006/relationships/hyperlink" Target="https://www.searchome.net/article.aspx?id=82002" TargetMode="External" Id="rId195"/><Relationship Type="http://schemas.openxmlformats.org/officeDocument/2006/relationships/hyperlink" Target="https://www.searchome.net/article.aspx?id=82002" TargetMode="External" Id="rId196"/><Relationship Type="http://schemas.openxmlformats.org/officeDocument/2006/relationships/hyperlink" Target="https://esse-online.jp/articles/-/30030" TargetMode="External" Id="rId197"/><Relationship Type="http://schemas.openxmlformats.org/officeDocument/2006/relationships/hyperlink" Target="https://esse-online.jp/articles/-/22797" TargetMode="External" Id="rId198"/><Relationship Type="http://schemas.openxmlformats.org/officeDocument/2006/relationships/hyperlink" Target="https://esse-online.jp/articles/-/22797" TargetMode="External" Id="rId199"/><Relationship Type="http://schemas.openxmlformats.org/officeDocument/2006/relationships/hyperlink" Target="https://www.searchome.net/article.aspx?id=81334" TargetMode="External" Id="rId200"/><Relationship Type="http://schemas.openxmlformats.org/officeDocument/2006/relationships/hyperlink" Target="https://esse-online.jp/articles/-/30177" TargetMode="External" Id="rId201"/><Relationship Type="http://schemas.openxmlformats.org/officeDocument/2006/relationships/hyperlink" Target="https://39mag.thankyu.co.jp/benesse/215627" TargetMode="External" Id="rId202"/><Relationship Type="http://schemas.openxmlformats.org/officeDocument/2006/relationships/hyperlink" Target="https://esse-online.jp/articles/-/30177" TargetMode="External" Id="rId203"/><Relationship Type="http://schemas.openxmlformats.org/officeDocument/2006/relationships/hyperlink" Target="https://esse-online.jp/articles/-/29782" TargetMode="External" Id="rId204"/><Relationship Type="http://schemas.openxmlformats.org/officeDocument/2006/relationships/hyperlink" Target="https://www.searchome.net/article.aspx?id=82002" TargetMode="External" Id="rId205"/><Relationship Type="http://schemas.openxmlformats.org/officeDocument/2006/relationships/hyperlink" Target="https://www.searchome.net/article.aspx?id=82002" TargetMode="External" Id="rId206"/><Relationship Type="http://schemas.openxmlformats.org/officeDocument/2006/relationships/hyperlink" Target="https://www.searchome.net/article.aspx?id=82596" TargetMode="External" Id="rId207"/><Relationship Type="http://schemas.openxmlformats.org/officeDocument/2006/relationships/hyperlink" Target="https://www.searchome.net/article.aspx?id=82596" TargetMode="External" Id="rId208"/><Relationship Type="http://schemas.openxmlformats.org/officeDocument/2006/relationships/hyperlink" Target="https://www.searchome.net/article.aspx?id=78137" TargetMode="External" Id="rId209"/><Relationship Type="http://schemas.openxmlformats.org/officeDocument/2006/relationships/hyperlink" Target="https://www.searchome.net/article.aspx?id=82002" TargetMode="External" Id="rId210"/><Relationship Type="http://schemas.openxmlformats.org/officeDocument/2006/relationships/hyperlink" Target="https://www.searchome.net/article.aspx?id=79154" TargetMode="External" Id="rId211"/><Relationship Type="http://schemas.openxmlformats.org/officeDocument/2006/relationships/hyperlink" Target="https://www.searchome.net/article.aspx?id=79154" TargetMode="External" Id="rId212"/><Relationship Type="http://schemas.openxmlformats.org/officeDocument/2006/relationships/hyperlink" Target="https://news.housefun.com.tw/news/article/173120483531.html" TargetMode="External" Id="rId213"/><Relationship Type="http://schemas.openxmlformats.org/officeDocument/2006/relationships/hyperlink" Target="https://esse-online.jp/articles/-/29782" TargetMode="External" Id="rId214"/><Relationship Type="http://schemas.openxmlformats.org/officeDocument/2006/relationships/hyperlink" Target="https://www.searchome.net/article.aspx?id=82596" TargetMode="External" Id="rId215"/><Relationship Type="http://schemas.openxmlformats.org/officeDocument/2006/relationships/hyperlink" Target="https://esse-online.jp/articles/-/8125" TargetMode="External" Id="rId216"/><Relationship Type="http://schemas.openxmlformats.org/officeDocument/2006/relationships/hyperlink" Target="https://www.searchome.net/article.aspx?id=81334" TargetMode="External" Id="rId217"/><Relationship Type="http://schemas.openxmlformats.org/officeDocument/2006/relationships/hyperlink" Target="https://www.searchome.net/article.aspx?id=81334" TargetMode="External" Id="rId218"/><Relationship Type="http://schemas.openxmlformats.org/officeDocument/2006/relationships/hyperlink" Target="https://news.housefun.com.tw/news/article/768561483760.html" TargetMode="External" Id="rId219"/><Relationship Type="http://schemas.openxmlformats.org/officeDocument/2006/relationships/hyperlink" Target="https://www.searchome.net/article.aspx?id=78137" TargetMode="External" Id="rId220"/><Relationship Type="http://schemas.openxmlformats.org/officeDocument/2006/relationships/hyperlink" Target="https://limo.media/articles/-/137036" TargetMode="External" Id="rId221"/><Relationship Type="http://schemas.openxmlformats.org/officeDocument/2006/relationships/hyperlink" Target="https://www.searchome.net/article.aspx?id=82596" TargetMode="External" Id="rId222"/><Relationship Type="http://schemas.openxmlformats.org/officeDocument/2006/relationships/hyperlink" Target="https://www.searchome.net/article.aspx?id=82596" TargetMode="External" Id="rId223"/><Relationship Type="http://schemas.openxmlformats.org/officeDocument/2006/relationships/hyperlink" Target="https://www.searchome.net/article.aspx?id=82596" TargetMode="External" Id="rId224"/><Relationship Type="http://schemas.openxmlformats.org/officeDocument/2006/relationships/hyperlink" Target="https://esse-online.jp/articles/-/22795" TargetMode="External" Id="rId225"/><Relationship Type="http://schemas.openxmlformats.org/officeDocument/2006/relationships/hyperlink" Target="https://esse-online.jp/articles/-/22795?page=2" TargetMode="External" Id="rId226"/><Relationship Type="http://schemas.openxmlformats.org/officeDocument/2006/relationships/hyperlink" Target="https://esse-online.jp/articles/-/38693" TargetMode="External" Id="rId227"/><Relationship Type="http://schemas.openxmlformats.org/officeDocument/2006/relationships/hyperlink" Target="https://www.searchome.net/article.aspx?id=80565" TargetMode="External" Id="rId228"/><Relationship Type="http://schemas.openxmlformats.org/officeDocument/2006/relationships/hyperlink" Target="https://www.searchome.net/article.aspx?id=80565" TargetMode="External" Id="rId229"/><Relationship Type="http://schemas.openxmlformats.org/officeDocument/2006/relationships/hyperlink" Target="https://www.searchome.net/article.aspx?id=80565" TargetMode="External" Id="rId230"/><Relationship Type="http://schemas.openxmlformats.org/officeDocument/2006/relationships/hyperlink" Target="https://www.searchome.net/article.aspx?id=80565" TargetMode="External" Id="rId231"/><Relationship Type="http://schemas.openxmlformats.org/officeDocument/2006/relationships/hyperlink" Target="https://esse-online.jp/articles/-/32551" TargetMode="External" Id="rId232"/><Relationship Type="http://schemas.openxmlformats.org/officeDocument/2006/relationships/hyperlink" Target="https://39mag.thankyu.co.jp/article/living/storage/191718/" TargetMode="External" Id="rId233"/><Relationship Type="http://schemas.openxmlformats.org/officeDocument/2006/relationships/hyperlink" Target="https://39mag.thankyu.co.jp/article/living/storage/191718/" TargetMode="External" Id="rId234"/><Relationship Type="http://schemas.openxmlformats.org/officeDocument/2006/relationships/hyperlink" Target="https://39mag.thankyu.co.jp/article/living/storage/191718/" TargetMode="External" Id="rId235"/><Relationship Type="http://schemas.openxmlformats.org/officeDocument/2006/relationships/hyperlink" Target="https://39mag.thankyu.co.jp/article/living/storage/191718/" TargetMode="External" Id="rId236"/><Relationship Type="http://schemas.openxmlformats.org/officeDocument/2006/relationships/hyperlink" Target="https://39mag.thankyu.co.jp/article/living/storage/191718/" TargetMode="External" Id="rId237"/><Relationship Type="http://schemas.openxmlformats.org/officeDocument/2006/relationships/hyperlink" Target="https://39mag.thankyu.co.jp/article/living/storage/191718/" TargetMode="External" Id="rId238"/><Relationship Type="http://schemas.openxmlformats.org/officeDocument/2006/relationships/hyperlink" Target="https://39mag.thankyu.co.jp/article/living/storage/191718/" TargetMode="External" Id="rId239"/><Relationship Type="http://schemas.openxmlformats.org/officeDocument/2006/relationships/hyperlink" Target="https://39mag.thankyu.co.jp/article/living/storage/191718/" TargetMode="External" Id="rId240"/><Relationship Type="http://schemas.openxmlformats.org/officeDocument/2006/relationships/hyperlink" Target="https://39mag.thankyu.co.jp/article/living/storage/191718/" TargetMode="External" Id="rId241"/><Relationship Type="http://schemas.openxmlformats.org/officeDocument/2006/relationships/hyperlink" Target="https://39mag.thankyu.co.jp/article/living/storage/191718/" TargetMode="External" Id="rId242"/><Relationship Type="http://schemas.openxmlformats.org/officeDocument/2006/relationships/hyperlink" Target="https://39mag.thankyu.co.jp/article/living/storage/191718/" TargetMode="External" Id="rId243"/><Relationship Type="http://schemas.openxmlformats.org/officeDocument/2006/relationships/hyperlink" Target="https://woman.nikkei.com/atcl/doors/cc/wom/100200003/122500070/" TargetMode="External" Id="rId244"/><Relationship Type="http://schemas.openxmlformats.org/officeDocument/2006/relationships/hyperlink" Target="https://www.searchome.net/article.aspx?id=82596" TargetMode="External" Id="rId245"/><Relationship Type="http://schemas.openxmlformats.org/officeDocument/2006/relationships/hyperlink" Target="https://esse-online.jp/articles/-/8125" TargetMode="External" Id="rId246"/><Relationship Type="http://schemas.openxmlformats.org/officeDocument/2006/relationships/hyperlink" Target="https://esse-online.jp/articles/-/8125" TargetMode="External" Id="rId247"/><Relationship Type="http://schemas.openxmlformats.org/officeDocument/2006/relationships/hyperlink" Target="https://www.searchome.net/article.aspx?id=78137" TargetMode="External" Id="rId248"/><Relationship Type="http://schemas.openxmlformats.org/officeDocument/2006/relationships/hyperlink" Target="https://39mag.thankyu.co.jp/benesse/215627" TargetMode="External" Id="rId249"/><Relationship Type="http://schemas.openxmlformats.org/officeDocument/2006/relationships/hyperlink" Target="https://esse-online.jp/articles/-/30027" TargetMode="External" Id="rId250"/><Relationship Type="http://schemas.openxmlformats.org/officeDocument/2006/relationships/hyperlink" Target="https://esse-online.jp/articles/-/30030" TargetMode="External" Id="rId251"/><Relationship Type="http://schemas.openxmlformats.org/officeDocument/2006/relationships/hyperlink" Target="https://www.searchome.net/article.aspx?id=69793" TargetMode="External" Id="rId252"/><Relationship Type="http://schemas.openxmlformats.org/officeDocument/2006/relationships/hyperlink" Target="https://www.searchome.net/article.aspx?id=69793" TargetMode="External" Id="rId253"/><Relationship Type="http://schemas.openxmlformats.org/officeDocument/2006/relationships/hyperlink" Target="https://www.searchome.net/article.aspx?id=73455" TargetMode="External" Id="rId254"/><Relationship Type="http://schemas.openxmlformats.org/officeDocument/2006/relationships/hyperlink" Target="https://news.housefun.com.tw/news/article/727904488849.html" TargetMode="External" Id="rId255"/><Relationship Type="http://schemas.openxmlformats.org/officeDocument/2006/relationships/hyperlink" Target="https://www.searchome.net/article.aspx?id=81334" TargetMode="External" Id="rId2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38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  <col width="16" customWidth="1" min="13" max="13"/>
    <col width="11" customWidth="1" min="14" max="14"/>
    <col width="11" customWidth="1" min="15" max="15"/>
    <col width="9" customWidth="1" min="16" max="16"/>
    <col width="11" customWidth="1" min="17" max="17"/>
    <col width="30" customWidth="1" min="18" max="18"/>
    <col width="11" customWidth="1" min="19" max="19"/>
    <col width="11" customWidth="1" min="20" max="20"/>
    <col width="50" customWidth="1" min="21" max="21"/>
    <col width="28" customWidth="1" min="22" max="22"/>
  </cols>
  <sheetData>
    <row r="1">
      <c r="A1" s="1" t="inlineStr">
        <is>
          <t>編號</t>
        </is>
      </c>
      <c r="B1" s="1" t="inlineStr">
        <is>
          <t>品牌</t>
        </is>
      </c>
      <c r="C1" s="1" t="inlineStr">
        <is>
          <t>系列</t>
        </is>
      </c>
      <c r="D1" s="1" t="inlineStr">
        <is>
          <t>品名</t>
        </is>
      </c>
      <c r="E1" s="1" t="inlineStr">
        <is>
          <t>商品編號</t>
        </is>
      </c>
      <c r="F1" s="1" t="inlineStr">
        <is>
          <t>外寬cm</t>
        </is>
      </c>
      <c r="G1" s="1" t="inlineStr">
        <is>
          <t>外深cm</t>
        </is>
      </c>
      <c r="H1" s="1" t="inlineStr">
        <is>
          <t>外高cm</t>
        </is>
      </c>
      <c r="I1" s="1" t="inlineStr">
        <is>
          <t>內寬cm</t>
        </is>
      </c>
      <c r="J1" s="1" t="inlineStr">
        <is>
          <t>內深cm</t>
        </is>
      </c>
      <c r="K1" s="1" t="inlineStr">
        <is>
          <t>內高cm</t>
        </is>
      </c>
      <c r="L1" s="1" t="inlineStr">
        <is>
          <t>材質</t>
        </is>
      </c>
      <c r="M1" s="1" t="inlineStr">
        <is>
          <t>顏色</t>
        </is>
      </c>
      <c r="N1" s="1" t="inlineStr">
        <is>
          <t>可堆疊</t>
        </is>
      </c>
      <c r="O1" s="1" t="inlineStr">
        <is>
          <t>附蓋</t>
        </is>
      </c>
      <c r="P1" s="1" t="inlineStr">
        <is>
          <t>售價NT$</t>
        </is>
      </c>
      <c r="Q1" s="1" t="inlineStr">
        <is>
          <t>查價日</t>
        </is>
      </c>
      <c r="R1" s="1" t="inlineStr">
        <is>
          <t>官網連結</t>
        </is>
      </c>
      <c r="S1" s="1" t="inlineStr">
        <is>
          <t>來源</t>
        </is>
      </c>
      <c r="T1" s="1" t="inlineStr">
        <is>
          <t>可信度</t>
        </is>
      </c>
      <c r="U1" s="1" t="inlineStr">
        <is>
          <t>備註</t>
        </is>
      </c>
      <c r="V1" s="1" t="inlineStr">
        <is>
          <t>套組／多件裝</t>
        </is>
      </c>
    </row>
    <row r="2">
      <c r="A2" s="2" t="inlineStr">
        <is>
          <t>MUJI-001</t>
        </is>
      </c>
      <c r="B2" s="2" t="inlineStr">
        <is>
          <t>MUJI</t>
        </is>
      </c>
      <c r="C2" s="2" t="inlineStr">
        <is>
          <t>PP整理盒</t>
        </is>
      </c>
      <c r="D2" s="2" t="inlineStr">
        <is>
          <t>PP整理盒1</t>
        </is>
      </c>
      <c r="E2" s="2" t="inlineStr">
        <is>
          <t>4548076037309</t>
        </is>
      </c>
      <c r="F2" s="2" t="n">
        <v>8.5</v>
      </c>
      <c r="G2" s="2" t="n">
        <v>8.5</v>
      </c>
      <c r="H2" s="2" t="n">
        <v>5</v>
      </c>
      <c r="I2" s="2" t="n"/>
      <c r="J2" s="2" t="n"/>
      <c r="K2" s="2" t="n"/>
      <c r="L2" s="2" t="inlineStr">
        <is>
          <t>聚丙烯</t>
        </is>
      </c>
      <c r="M2" s="2" t="inlineStr"/>
      <c r="N2" s="2" t="inlineStr"/>
      <c r="O2" s="2" t="inlineStr">
        <is>
          <t>N</t>
        </is>
      </c>
      <c r="P2" s="2" t="n">
        <v>29</v>
      </c>
      <c r="Q2" s="2" t="inlineStr">
        <is>
          <t>2026-10-26</t>
        </is>
      </c>
      <c r="R2" s="3" t="inlineStr">
        <is>
          <t>https://shop.muji.tw/SalePage/Index/11704064</t>
        </is>
      </c>
      <c r="S2" s="2" t="inlineStr">
        <is>
          <t>官網</t>
        </is>
      </c>
      <c r="T2" s="2" t="inlineStr">
        <is>
          <t>high</t>
        </is>
      </c>
      <c r="U2" s="2" t="inlineStr">
        <is>
          <t>可將4種尺寸任意搭配；同系列：整理盒1(8.5×8.5)、2(8.5×25.5)、3(17×25.5)、4(11.5×34)，皆高5cm；整理盒1寬×2≈整理盒3寬(17)，整理盒1深×3=整理盒2深(25.5)；容量約240ml；品號MCL10A5A</t>
        </is>
      </c>
      <c r="V2" s="2" t="inlineStr"/>
    </row>
    <row r="3">
      <c r="A3" s="2" t="inlineStr">
        <is>
          <t>MUJI-002</t>
        </is>
      </c>
      <c r="B3" s="2" t="inlineStr">
        <is>
          <t>MUJI</t>
        </is>
      </c>
      <c r="C3" s="2" t="inlineStr">
        <is>
          <t>PP整理盒</t>
        </is>
      </c>
      <c r="D3" s="2" t="inlineStr">
        <is>
          <t>PP整理盒2</t>
        </is>
      </c>
      <c r="E3" s="2" t="inlineStr">
        <is>
          <t>4548076037316</t>
        </is>
      </c>
      <c r="F3" s="2" t="n">
        <v>8.5</v>
      </c>
      <c r="G3" s="2" t="n">
        <v>25.5</v>
      </c>
      <c r="H3" s="2" t="n">
        <v>5</v>
      </c>
      <c r="I3" s="2" t="n"/>
      <c r="J3" s="2" t="n"/>
      <c r="K3" s="2" t="n"/>
      <c r="L3" s="2" t="inlineStr">
        <is>
          <t>聚丙烯</t>
        </is>
      </c>
      <c r="M3" s="2" t="inlineStr"/>
      <c r="N3" s="2" t="inlineStr"/>
      <c r="O3" s="2" t="inlineStr">
        <is>
          <t>N</t>
        </is>
      </c>
      <c r="P3" s="2" t="n">
        <v>49</v>
      </c>
      <c r="Q3" s="2" t="inlineStr">
        <is>
          <t>2026-10-26</t>
        </is>
      </c>
      <c r="R3" s="3" t="inlineStr">
        <is>
          <t>https://shop.muji.tw/SalePage/Index/11704065</t>
        </is>
      </c>
      <c r="S3" s="2" t="inlineStr">
        <is>
          <t>官網</t>
        </is>
      </c>
      <c r="T3" s="2" t="inlineStr">
        <is>
          <t>high</t>
        </is>
      </c>
      <c r="U3" s="2" t="inlineStr">
        <is>
          <t>可將4種尺寸任意搭配；同系列：整理盒1(8.5×8.5)、2(8.5×25.5)、3(17×25.5)、4(11.5×34)，皆高5cm；整理盒1寬×2≈整理盒3寬(17)，整理盒1深×3=整理盒2深(25.5)；容量約800ml；品號MCL11A5A；線上另有舊款「PP整理盒2」(無染色，JAN 4550512057109，同尺寸，網路商店顯示已售完，SalePage 8959675)</t>
        </is>
      </c>
      <c r="V3" s="2" t="inlineStr"/>
    </row>
    <row r="4">
      <c r="A4" s="2" t="inlineStr">
        <is>
          <t>MUJI-003</t>
        </is>
      </c>
      <c r="B4" s="2" t="inlineStr">
        <is>
          <t>MUJI</t>
        </is>
      </c>
      <c r="C4" s="2" t="inlineStr">
        <is>
          <t>PP整理盒</t>
        </is>
      </c>
      <c r="D4" s="2" t="inlineStr">
        <is>
          <t>PP整理盒3</t>
        </is>
      </c>
      <c r="E4" s="2" t="inlineStr">
        <is>
          <t>4548076037330</t>
        </is>
      </c>
      <c r="F4" s="2" t="n">
        <v>17</v>
      </c>
      <c r="G4" s="2" t="n">
        <v>25.5</v>
      </c>
      <c r="H4" s="2" t="n">
        <v>5</v>
      </c>
      <c r="I4" s="2" t="n"/>
      <c r="J4" s="2" t="n"/>
      <c r="K4" s="2" t="n"/>
      <c r="L4" s="2" t="inlineStr">
        <is>
          <t>聚丙烯</t>
        </is>
      </c>
      <c r="M4" s="2" t="inlineStr"/>
      <c r="N4" s="2" t="inlineStr"/>
      <c r="O4" s="2" t="inlineStr">
        <is>
          <t>N</t>
        </is>
      </c>
      <c r="P4" s="2" t="n">
        <v>59</v>
      </c>
      <c r="Q4" s="2" t="inlineStr">
        <is>
          <t>2026-10-26</t>
        </is>
      </c>
      <c r="R4" s="3" t="inlineStr">
        <is>
          <t>https://shop.muji.tw/SalePage/Index/11704066</t>
        </is>
      </c>
      <c r="S4" s="2" t="inlineStr">
        <is>
          <t>官網</t>
        </is>
      </c>
      <c r="T4" s="2" t="inlineStr">
        <is>
          <t>high</t>
        </is>
      </c>
      <c r="U4" s="2" t="inlineStr">
        <is>
          <t>可將4種尺寸任意搭配；同系列：整理盒1(8.5×8.5)、2(8.5×25.5)、3(17×25.5)、4(11.5×34)，皆高5cm；整理盒1寬×2≈整理盒3寬(17)，整理盒1深×3=整理盒2深(25.5)；容量約1,700ml；品號MCL12A5A</t>
        </is>
      </c>
      <c r="V4" s="2" t="inlineStr"/>
    </row>
    <row r="5">
      <c r="A5" s="2" t="inlineStr">
        <is>
          <t>MUJI-004</t>
        </is>
      </c>
      <c r="B5" s="2" t="inlineStr">
        <is>
          <t>MUJI</t>
        </is>
      </c>
      <c r="C5" s="2" t="inlineStr">
        <is>
          <t>PP整理盒</t>
        </is>
      </c>
      <c r="D5" s="2" t="inlineStr">
        <is>
          <t>PP整理盒4</t>
        </is>
      </c>
      <c r="E5" s="2" t="inlineStr">
        <is>
          <t>4548076037347</t>
        </is>
      </c>
      <c r="F5" s="2" t="n">
        <v>11.5</v>
      </c>
      <c r="G5" s="2" t="n">
        <v>34</v>
      </c>
      <c r="H5" s="2" t="n">
        <v>5</v>
      </c>
      <c r="I5" s="2" t="n"/>
      <c r="J5" s="2" t="n"/>
      <c r="K5" s="2" t="n"/>
      <c r="L5" s="2" t="inlineStr">
        <is>
          <t>聚丙烯</t>
        </is>
      </c>
      <c r="M5" s="2" t="inlineStr"/>
      <c r="N5" s="2" t="inlineStr"/>
      <c r="O5" s="2" t="inlineStr">
        <is>
          <t>N</t>
        </is>
      </c>
      <c r="P5" s="2" t="n">
        <v>49</v>
      </c>
      <c r="Q5" s="2" t="inlineStr">
        <is>
          <t>2026-10-26</t>
        </is>
      </c>
      <c r="R5" s="3" t="inlineStr">
        <is>
          <t>https://shop.muji.tw/SalePage/Index/11704067</t>
        </is>
      </c>
      <c r="S5" s="2" t="inlineStr">
        <is>
          <t>官網</t>
        </is>
      </c>
      <c r="T5" s="2" t="inlineStr">
        <is>
          <t>high</t>
        </is>
      </c>
      <c r="U5" s="2" t="inlineStr">
        <is>
          <t>可將4種尺寸任意搭配；同系列：整理盒1(8.5×8.5)、2(8.5×25.5)、3(17×25.5)、4(11.5×34)，皆高5cm；整理盒1寬×2≈整理盒3寬(17)，整理盒1深×3=整理盒2深(25.5)；容量約1,500ml；品號MCL13A5A；線上另有舊款「PP整理盒4」(無染色，JAN 4550512057123，同尺寸，SalePage 8959676)</t>
        </is>
      </c>
      <c r="V5" s="2" t="inlineStr"/>
    </row>
    <row r="6">
      <c r="A6" s="2" t="inlineStr">
        <is>
          <t>MUJI-005</t>
        </is>
      </c>
      <c r="B6" s="2" t="inlineStr">
        <is>
          <t>MUJI</t>
        </is>
      </c>
      <c r="C6" s="2" t="inlineStr">
        <is>
          <t>PP抽屜整理盒</t>
        </is>
      </c>
      <c r="D6" s="2" t="inlineStr">
        <is>
          <t>PP抽屜整理盒(1)/100×100×40mm</t>
        </is>
      </c>
      <c r="E6" s="2" t="inlineStr">
        <is>
          <t>4548718421541</t>
        </is>
      </c>
      <c r="F6" s="2" t="n">
        <v>10</v>
      </c>
      <c r="G6" s="2" t="n">
        <v>10</v>
      </c>
      <c r="H6" s="2" t="n">
        <v>4</v>
      </c>
      <c r="I6" s="2" t="n"/>
      <c r="J6" s="2" t="n"/>
      <c r="K6" s="2" t="n"/>
      <c r="L6" s="2" t="inlineStr">
        <is>
          <t>聚丙烯</t>
        </is>
      </c>
      <c r="M6" s="2" t="inlineStr"/>
      <c r="N6" s="2" t="inlineStr"/>
      <c r="O6" s="2" t="inlineStr">
        <is>
          <t>N</t>
        </is>
      </c>
      <c r="P6" s="2" t="n">
        <v>29</v>
      </c>
      <c r="Q6" s="2" t="inlineStr">
        <is>
          <t>2026-10-26</t>
        </is>
      </c>
      <c r="R6" s="3" t="inlineStr">
        <is>
          <t>https://shop.muji.tw/SalePage/Index/8917015</t>
        </is>
      </c>
      <c r="S6" s="2" t="inlineStr">
        <is>
          <t>官網</t>
        </is>
      </c>
      <c r="T6" s="2" t="inlineStr">
        <is>
          <t>high</t>
        </is>
      </c>
      <c r="U6" s="2" t="inlineStr">
        <is>
          <t>附隔間；共4種規格可組合用於不同尺寸抽屜；高4cm；產地日本；另售整理盒用隔板(型錄貨號18497997)</t>
        </is>
      </c>
      <c r="V6" s="2" t="inlineStr"/>
    </row>
    <row r="7">
      <c r="A7" s="2" t="inlineStr">
        <is>
          <t>MUJI-006</t>
        </is>
      </c>
      <c r="B7" s="2" t="inlineStr">
        <is>
          <t>MUJI</t>
        </is>
      </c>
      <c r="C7" s="2" t="inlineStr">
        <is>
          <t>PP抽屜整理盒</t>
        </is>
      </c>
      <c r="D7" s="2" t="inlineStr">
        <is>
          <t>PP抽屜整理盒(2)/100×200×40mm</t>
        </is>
      </c>
      <c r="E7" s="2" t="inlineStr">
        <is>
          <t>4548718421558</t>
        </is>
      </c>
      <c r="F7" s="2" t="n">
        <v>10</v>
      </c>
      <c r="G7" s="2" t="n">
        <v>20</v>
      </c>
      <c r="H7" s="2" t="n">
        <v>4</v>
      </c>
      <c r="I7" s="2" t="n"/>
      <c r="J7" s="2" t="n"/>
      <c r="K7" s="2" t="n"/>
      <c r="L7" s="2" t="inlineStr">
        <is>
          <t>聚丙烯</t>
        </is>
      </c>
      <c r="M7" s="2" t="inlineStr"/>
      <c r="N7" s="2" t="inlineStr"/>
      <c r="O7" s="2" t="inlineStr">
        <is>
          <t>N</t>
        </is>
      </c>
      <c r="P7" s="2" t="n">
        <v>59</v>
      </c>
      <c r="Q7" s="2" t="inlineStr">
        <is>
          <t>2026-10-26</t>
        </is>
      </c>
      <c r="R7" s="3" t="inlineStr">
        <is>
          <t>https://shop.muji.tw/SalePage/Index/8916946</t>
        </is>
      </c>
      <c r="S7" s="2" t="inlineStr">
        <is>
          <t>官網</t>
        </is>
      </c>
      <c r="T7" s="2" t="inlineStr">
        <is>
          <t>high</t>
        </is>
      </c>
      <c r="U7" s="2" t="inlineStr">
        <is>
          <t>附隔間；共4種規格可組合用於不同尺寸抽屜；高4cm；產地日本；另售整理盒用隔板(型錄貨號18497997)；(1)×2=(2)</t>
        </is>
      </c>
      <c r="V7" s="2" t="inlineStr"/>
    </row>
    <row r="8">
      <c r="A8" s="2" t="inlineStr">
        <is>
          <t>MUJI-007</t>
        </is>
      </c>
      <c r="B8" s="2" t="inlineStr">
        <is>
          <t>MUJI</t>
        </is>
      </c>
      <c r="C8" s="2" t="inlineStr">
        <is>
          <t>PP抽屜整理盒</t>
        </is>
      </c>
      <c r="D8" s="2" t="inlineStr">
        <is>
          <t>PP抽屜整理盒(3)/67×200×40mm</t>
        </is>
      </c>
      <c r="E8" s="2" t="inlineStr">
        <is>
          <t>4548718421565</t>
        </is>
      </c>
      <c r="F8" s="2" t="n">
        <v>6.7</v>
      </c>
      <c r="G8" s="2" t="n">
        <v>20</v>
      </c>
      <c r="H8" s="2" t="n">
        <v>4</v>
      </c>
      <c r="I8" s="2" t="n"/>
      <c r="J8" s="2" t="n"/>
      <c r="K8" s="2" t="n"/>
      <c r="L8" s="2" t="inlineStr">
        <is>
          <t>聚丙烯</t>
        </is>
      </c>
      <c r="M8" s="2" t="inlineStr"/>
      <c r="N8" s="2" t="inlineStr"/>
      <c r="O8" s="2" t="inlineStr">
        <is>
          <t>N</t>
        </is>
      </c>
      <c r="P8" s="2" t="n">
        <v>49</v>
      </c>
      <c r="Q8" s="2" t="inlineStr">
        <is>
          <t>2026-10-26</t>
        </is>
      </c>
      <c r="R8" s="3" t="inlineStr">
        <is>
          <t>https://shop.muji.tw/SalePage/Index/8916945</t>
        </is>
      </c>
      <c r="S8" s="2" t="inlineStr">
        <is>
          <t>官網</t>
        </is>
      </c>
      <c r="T8" s="2" t="inlineStr">
        <is>
          <t>high</t>
        </is>
      </c>
      <c r="U8" s="2" t="inlineStr">
        <is>
          <t>附隔間；共4種規格可組合用於不同尺寸抽屜；高4cm；產地日本；另售PP抽屜整理盒用隔板(3)(型錄貨號18498000)</t>
        </is>
      </c>
      <c r="V8" s="2" t="inlineStr"/>
    </row>
    <row r="9">
      <c r="A9" s="2" t="inlineStr">
        <is>
          <t>MUJI-008</t>
        </is>
      </c>
      <c r="B9" s="2" t="inlineStr">
        <is>
          <t>MUJI</t>
        </is>
      </c>
      <c r="C9" s="2" t="inlineStr">
        <is>
          <t>PP抽屜整理盒</t>
        </is>
      </c>
      <c r="D9" s="2" t="inlineStr">
        <is>
          <t>PP抽屜整理盒(4)/134×200×40mm</t>
        </is>
      </c>
      <c r="E9" s="2" t="inlineStr">
        <is>
          <t>4548718421572</t>
        </is>
      </c>
      <c r="F9" s="2" t="n">
        <v>13.4</v>
      </c>
      <c r="G9" s="2" t="n">
        <v>20</v>
      </c>
      <c r="H9" s="2" t="n">
        <v>4</v>
      </c>
      <c r="I9" s="2" t="n"/>
      <c r="J9" s="2" t="n"/>
      <c r="K9" s="2" t="n"/>
      <c r="L9" s="2" t="inlineStr">
        <is>
          <t>聚丙烯</t>
        </is>
      </c>
      <c r="M9" s="2" t="inlineStr"/>
      <c r="N9" s="2" t="inlineStr"/>
      <c r="O9" s="2" t="inlineStr">
        <is>
          <t>N</t>
        </is>
      </c>
      <c r="P9" s="2" t="n">
        <v>59</v>
      </c>
      <c r="Q9" s="2" t="inlineStr">
        <is>
          <t>2026-10-26</t>
        </is>
      </c>
      <c r="R9" s="3" t="inlineStr">
        <is>
          <t>https://shop.muji.tw/SalePage/Index/8916928</t>
        </is>
      </c>
      <c r="S9" s="2" t="inlineStr">
        <is>
          <t>官網</t>
        </is>
      </c>
      <c r="T9" s="2" t="inlineStr">
        <is>
          <t>high</t>
        </is>
      </c>
      <c r="U9" s="2" t="inlineStr">
        <is>
          <t>附隔間；共4種規格可組合用於不同尺寸抽屜；高4cm；產地日本；另售PP抽屜整理盒用隔板(4)(型錄貨號18498017)；(3)×2=(4)寬</t>
        </is>
      </c>
      <c r="V9" s="2" t="inlineStr"/>
    </row>
    <row r="10">
      <c r="A10" s="2" t="inlineStr">
        <is>
          <t>MUJI-009</t>
        </is>
      </c>
      <c r="B10" s="2" t="inlineStr">
        <is>
          <t>MUJI</t>
        </is>
      </c>
      <c r="C10" s="2" t="inlineStr">
        <is>
          <t>PP盒/抽屜式</t>
        </is>
      </c>
      <c r="D10" s="2" t="inlineStr">
        <is>
          <t>PP盒/深型(正反疊)</t>
        </is>
      </c>
      <c r="E10" s="2" t="inlineStr">
        <is>
          <t>4547315253586</t>
        </is>
      </c>
      <c r="F10" s="2" t="n">
        <v>26</v>
      </c>
      <c r="G10" s="2" t="n">
        <v>37</v>
      </c>
      <c r="H10" s="2" t="n">
        <v>17.5</v>
      </c>
      <c r="I10" s="2" t="n">
        <v>22</v>
      </c>
      <c r="J10" s="2" t="n">
        <v>33.5</v>
      </c>
      <c r="K10" s="2" t="n">
        <v>14</v>
      </c>
      <c r="L10" s="2" t="inlineStr">
        <is>
          <t>聚丙烯</t>
        </is>
      </c>
      <c r="M10" s="2" t="inlineStr">
        <is>
          <t>白灰/半透明</t>
        </is>
      </c>
      <c r="N10" s="2" t="inlineStr">
        <is>
          <t>Y</t>
        </is>
      </c>
      <c r="O10" s="2" t="inlineStr">
        <is>
          <t>N</t>
        </is>
      </c>
      <c r="P10" s="2" t="n">
        <v>439</v>
      </c>
      <c r="Q10" s="2" t="inlineStr">
        <is>
          <t>2026-10-26</t>
        </is>
      </c>
      <c r="R10" s="3" t="inlineStr">
        <is>
          <t>https://shop.muji.tw/SalePage/Index/8920882</t>
        </is>
      </c>
      <c r="S10" s="2" t="inlineStr">
        <is>
          <t>官網</t>
        </is>
      </c>
      <c r="T10" s="2" t="inlineStr">
        <is>
          <t>high</t>
        </is>
      </c>
      <c r="U10" s="2" t="inlineStr">
        <is>
          <t>寬26×深37系列，可正反疊、互相堆疊；可加裝輪子(另售，加裝後高度約增3.8~4.2cm)；可放入SUS層架、自由組合層架；最高堆疊6層；耐重約4kg、抽屜上方約2kg；可收納約22片DVD；半透明款型錄貨號37192447(JAN 4549337192447)，官網特集頁 https://www.muji.com/tw/feature/polypropylene-storage/標示半透明款售價380元，與網路商店白灰款439元不同</t>
        </is>
      </c>
      <c r="V10" s="2" t="inlineStr"/>
    </row>
    <row r="11">
      <c r="A11" s="2" t="inlineStr">
        <is>
          <t>MUJI-010</t>
        </is>
      </c>
      <c r="B11" s="2" t="inlineStr">
        <is>
          <t>MUJI</t>
        </is>
      </c>
      <c r="C11" s="2" t="inlineStr">
        <is>
          <t>PP盒/抽屜式</t>
        </is>
      </c>
      <c r="D11" s="2" t="inlineStr">
        <is>
          <t>PP盒/深型/2格/附隔板(正反疊)</t>
        </is>
      </c>
      <c r="E11" s="2" t="inlineStr">
        <is>
          <t>4550002108274</t>
        </is>
      </c>
      <c r="F11" s="2" t="n">
        <v>26</v>
      </c>
      <c r="G11" s="2" t="n">
        <v>37</v>
      </c>
      <c r="H11" s="2" t="n">
        <v>17.5</v>
      </c>
      <c r="I11" s="2" t="n">
        <v>10.5</v>
      </c>
      <c r="J11" s="2" t="n">
        <v>33.5</v>
      </c>
      <c r="K11" s="2" t="n">
        <v>14</v>
      </c>
      <c r="L11" s="2" t="inlineStr">
        <is>
          <t>聚丙烯</t>
        </is>
      </c>
      <c r="M11" s="2" t="inlineStr">
        <is>
          <t>白灰/半透明</t>
        </is>
      </c>
      <c r="N11" s="2" t="inlineStr">
        <is>
          <t>Y</t>
        </is>
      </c>
      <c r="O11" s="2" t="inlineStr">
        <is>
          <t>N</t>
        </is>
      </c>
      <c r="P11" s="2" t="n">
        <v>669</v>
      </c>
      <c r="Q11" s="2" t="inlineStr">
        <is>
          <t>2026-10-26</t>
        </is>
      </c>
      <c r="R11" s="3" t="inlineStr">
        <is>
          <t>https://shop.muji.tw/SalePage/Index/8920941</t>
        </is>
      </c>
      <c r="S11" s="2" t="inlineStr">
        <is>
          <t>官網</t>
        </is>
      </c>
      <c r="T11" s="2" t="inlineStr">
        <is>
          <t>high</t>
        </is>
      </c>
      <c r="U11" s="2" t="inlineStr">
        <is>
          <t>寬26×深37系列，可正反疊、互相堆疊；可加裝輪子(另售，加裝後高度約增3.8~4.2cm)；可放入SUS層架、自由組合層架；2抽屜並排，內寸為單一抽屜；附4片分隔板(一抽屜可分4格)；最高堆疊6層；可收納約40片CD；半透明款型錄貨號76749028，特集頁標示半透明款640元</t>
        </is>
      </c>
      <c r="V11" s="2" t="inlineStr"/>
    </row>
    <row r="12">
      <c r="A12" s="2" t="inlineStr">
        <is>
          <t>MUJI-011</t>
        </is>
      </c>
      <c r="B12" s="2" t="inlineStr">
        <is>
          <t>MUJI</t>
        </is>
      </c>
      <c r="C12" s="2" t="inlineStr">
        <is>
          <t>PP盒/抽屜式</t>
        </is>
      </c>
      <c r="D12" s="2" t="inlineStr">
        <is>
          <t>PP盒/深型/窄/附隔板(正反疊)</t>
        </is>
      </c>
      <c r="E12" s="2" t="inlineStr">
        <is>
          <t>4548076749035</t>
        </is>
      </c>
      <c r="F12" s="2" t="n">
        <v>14</v>
      </c>
      <c r="G12" s="2" t="n">
        <v>37</v>
      </c>
      <c r="H12" s="2" t="n">
        <v>17.5</v>
      </c>
      <c r="I12" s="2" t="n">
        <v>10.5</v>
      </c>
      <c r="J12" s="2" t="n">
        <v>33.5</v>
      </c>
      <c r="K12" s="2" t="n">
        <v>14</v>
      </c>
      <c r="L12" s="2" t="inlineStr">
        <is>
          <t>聚丙烯</t>
        </is>
      </c>
      <c r="M12" s="2" t="inlineStr">
        <is>
          <t>半透明</t>
        </is>
      </c>
      <c r="N12" s="2" t="inlineStr">
        <is>
          <t>Y</t>
        </is>
      </c>
      <c r="O12" s="2" t="inlineStr">
        <is>
          <t>N</t>
        </is>
      </c>
      <c r="P12" s="2" t="n">
        <v>379</v>
      </c>
      <c r="Q12" s="2" t="inlineStr">
        <is>
          <t>2026-10-26</t>
        </is>
      </c>
      <c r="R12" s="3" t="inlineStr">
        <is>
          <t>https://shop.muji.tw/SalePage/Index/8920948</t>
        </is>
      </c>
      <c r="S12" s="2" t="inlineStr">
        <is>
          <t>官網</t>
        </is>
      </c>
      <c r="T12" s="2" t="inlineStr">
        <is>
          <t>high</t>
        </is>
      </c>
      <c r="U12" s="2" t="inlineStr">
        <is>
          <t>寬26×深37系列，可正反疊、互相堆疊；可加裝輪子(另售，加裝後高度約增3.8~4.2cm)；可放入SUS層架、自由組合層架；1/2寬單抽屜，適合縫隙；附2片分隔板；最高堆疊4層；約可收納20片CD；特集頁標示350元</t>
        </is>
      </c>
      <c r="V12" s="2" t="inlineStr"/>
    </row>
    <row r="13">
      <c r="A13" s="2" t="inlineStr">
        <is>
          <t>MUJI-012</t>
        </is>
      </c>
      <c r="B13" s="2" t="inlineStr">
        <is>
          <t>MUJI</t>
        </is>
      </c>
      <c r="C13" s="2" t="inlineStr">
        <is>
          <t>PP盒/抽屜式</t>
        </is>
      </c>
      <c r="D13" s="2" t="inlineStr">
        <is>
          <t>PP盒/淺型(正反疊)</t>
        </is>
      </c>
      <c r="E13" s="2" t="inlineStr">
        <is>
          <t>4547315253579</t>
        </is>
      </c>
      <c r="F13" s="2" t="n">
        <v>26</v>
      </c>
      <c r="G13" s="2" t="n">
        <v>37</v>
      </c>
      <c r="H13" s="2" t="n">
        <v>12</v>
      </c>
      <c r="I13" s="2" t="n">
        <v>22.5</v>
      </c>
      <c r="J13" s="2" t="n">
        <v>34</v>
      </c>
      <c r="K13" s="2" t="n">
        <v>8.5</v>
      </c>
      <c r="L13" s="2" t="inlineStr">
        <is>
          <t>聚丙烯</t>
        </is>
      </c>
      <c r="M13" s="2" t="inlineStr">
        <is>
          <t>白灰/半透明</t>
        </is>
      </c>
      <c r="N13" s="2" t="inlineStr">
        <is>
          <t>Y</t>
        </is>
      </c>
      <c r="O13" s="2" t="inlineStr">
        <is>
          <t>N</t>
        </is>
      </c>
      <c r="P13" s="2" t="n">
        <v>379</v>
      </c>
      <c r="Q13" s="2" t="inlineStr">
        <is>
          <t>2026-10-26</t>
        </is>
      </c>
      <c r="R13" s="3" t="inlineStr">
        <is>
          <t>https://shop.muji.tw/SalePage/Index/8920918</t>
        </is>
      </c>
      <c r="S13" s="2" t="inlineStr">
        <is>
          <t>官網</t>
        </is>
      </c>
      <c r="T13" s="2" t="inlineStr">
        <is>
          <t>high</t>
        </is>
      </c>
      <c r="U13" s="2" t="inlineStr">
        <is>
          <t>寬26×深37系列，可正反疊、互相堆疊；可加裝輪子(另售，加裝後高度約增3.8~4.2cm)；可放入SUS層架、自由組合層架；適合A4；最高堆疊10層；耐重約3kg；半透明款型錄貨號37192423，特集頁標示半透明款350元</t>
        </is>
      </c>
      <c r="V13" s="2" t="inlineStr"/>
    </row>
    <row r="14">
      <c r="A14" s="2" t="inlineStr">
        <is>
          <t>MUJI-013</t>
        </is>
      </c>
      <c r="B14" s="2" t="inlineStr">
        <is>
          <t>MUJI</t>
        </is>
      </c>
      <c r="C14" s="2" t="inlineStr">
        <is>
          <t>PP盒/抽屜式</t>
        </is>
      </c>
      <c r="D14" s="2" t="inlineStr">
        <is>
          <t>PP盒/淺型/2格/附隔板(正反疊)</t>
        </is>
      </c>
      <c r="E14" s="2" t="inlineStr">
        <is>
          <t>4550002108304</t>
        </is>
      </c>
      <c r="F14" s="2" t="n">
        <v>26</v>
      </c>
      <c r="G14" s="2" t="n">
        <v>37</v>
      </c>
      <c r="H14" s="2" t="n">
        <v>12</v>
      </c>
      <c r="I14" s="2" t="n">
        <v>10.5</v>
      </c>
      <c r="J14" s="2" t="n">
        <v>34</v>
      </c>
      <c r="K14" s="2" t="n">
        <v>8.5</v>
      </c>
      <c r="L14" s="2" t="inlineStr">
        <is>
          <t>聚丙烯</t>
        </is>
      </c>
      <c r="M14" s="2" t="inlineStr">
        <is>
          <t>白灰/半透明</t>
        </is>
      </c>
      <c r="N14" s="2" t="inlineStr">
        <is>
          <t>Y</t>
        </is>
      </c>
      <c r="O14" s="2" t="inlineStr">
        <is>
          <t>N</t>
        </is>
      </c>
      <c r="P14" s="2" t="n">
        <v>499</v>
      </c>
      <c r="Q14" s="2" t="inlineStr">
        <is>
          <t>2026-10-26</t>
        </is>
      </c>
      <c r="R14" s="3" t="inlineStr">
        <is>
          <t>https://shop.muji.tw/SalePage/Index/8920903</t>
        </is>
      </c>
      <c r="S14" s="2" t="inlineStr">
        <is>
          <t>官網</t>
        </is>
      </c>
      <c r="T14" s="2" t="inlineStr">
        <is>
          <t>high</t>
        </is>
      </c>
      <c r="U14" s="2" t="inlineStr">
        <is>
          <t>寬26×深37系列，可正反疊、互相堆疊；可加裝輪子(另售，加裝後高度約增3.8~4.2cm)；可放入SUS層架、自由組合層架；2抽屜並排，內寸為單一抽屜；附6片分隔板(一抽屜可分7格)；最高堆疊10層；半透明款型錄貨號76748984，特集頁標示460元</t>
        </is>
      </c>
      <c r="V14" s="2" t="inlineStr"/>
    </row>
    <row r="15">
      <c r="A15" s="2" t="inlineStr">
        <is>
          <t>MUJI-014</t>
        </is>
      </c>
      <c r="B15" s="2" t="inlineStr">
        <is>
          <t>MUJI</t>
        </is>
      </c>
      <c r="C15" s="2" t="inlineStr">
        <is>
          <t>PP盒/抽屜式</t>
        </is>
      </c>
      <c r="D15" s="2" t="inlineStr">
        <is>
          <t>PP盒/淺型/窄/附隔板(正反疊)</t>
        </is>
      </c>
      <c r="E15" s="2" t="inlineStr">
        <is>
          <t>4548076749042</t>
        </is>
      </c>
      <c r="F15" s="2" t="n">
        <v>14</v>
      </c>
      <c r="G15" s="2" t="n">
        <v>37</v>
      </c>
      <c r="H15" s="2" t="n">
        <v>12</v>
      </c>
      <c r="I15" s="2" t="n">
        <v>10.5</v>
      </c>
      <c r="J15" s="2" t="n">
        <v>34</v>
      </c>
      <c r="K15" s="2" t="n">
        <v>8.5</v>
      </c>
      <c r="L15" s="2" t="inlineStr">
        <is>
          <t>聚丙烯</t>
        </is>
      </c>
      <c r="M15" s="2" t="inlineStr">
        <is>
          <t>半透明</t>
        </is>
      </c>
      <c r="N15" s="2" t="inlineStr">
        <is>
          <t>Y</t>
        </is>
      </c>
      <c r="O15" s="2" t="inlineStr">
        <is>
          <t>N</t>
        </is>
      </c>
      <c r="P15" s="2" t="n">
        <v>349</v>
      </c>
      <c r="Q15" s="2" t="inlineStr">
        <is>
          <t>2026-10-26</t>
        </is>
      </c>
      <c r="R15" s="3" t="inlineStr">
        <is>
          <t>https://shop.muji.tw/SalePage/Index/8920967</t>
        </is>
      </c>
      <c r="S15" s="2" t="inlineStr">
        <is>
          <t>官網</t>
        </is>
      </c>
      <c r="T15" s="2" t="inlineStr">
        <is>
          <t>high</t>
        </is>
      </c>
      <c r="U15" s="2" t="inlineStr">
        <is>
          <t>寬26×深37系列，可正反疊、互相堆疊；可加裝輪子(另售，加裝後高度約增3.8~4.2cm)；可放入SUS層架、自由組合層架；1/2寬；附3片分隔板；最高堆疊6層；特集頁標示320元</t>
        </is>
      </c>
      <c r="V15" s="2" t="inlineStr"/>
    </row>
    <row r="16">
      <c r="A16" s="2" t="inlineStr">
        <is>
          <t>MUJI-015</t>
        </is>
      </c>
      <c r="B16" s="2" t="inlineStr">
        <is>
          <t>MUJI</t>
        </is>
      </c>
      <c r="C16" s="2" t="inlineStr">
        <is>
          <t>PP盒/抽屜式</t>
        </is>
      </c>
      <c r="D16" s="2" t="inlineStr">
        <is>
          <t>PP盒/淺型/3段(正反疊)</t>
        </is>
      </c>
      <c r="E16" s="2" t="inlineStr">
        <is>
          <t>4549337192430</t>
        </is>
      </c>
      <c r="F16" s="2" t="n">
        <v>26</v>
      </c>
      <c r="G16" s="2" t="n">
        <v>37</v>
      </c>
      <c r="H16" s="2" t="n">
        <v>32.5</v>
      </c>
      <c r="I16" s="2" t="n">
        <v>22.5</v>
      </c>
      <c r="J16" s="2" t="n">
        <v>34</v>
      </c>
      <c r="K16" s="2" t="n">
        <v>8.5</v>
      </c>
      <c r="L16" s="2" t="inlineStr">
        <is>
          <t>聚丙烯</t>
        </is>
      </c>
      <c r="M16" s="2" t="inlineStr">
        <is>
          <t>半透明</t>
        </is>
      </c>
      <c r="N16" s="2" t="inlineStr">
        <is>
          <t>Y</t>
        </is>
      </c>
      <c r="O16" s="2" t="inlineStr">
        <is>
          <t>N</t>
        </is>
      </c>
      <c r="P16" s="2" t="n">
        <v>799</v>
      </c>
      <c r="Q16" s="2" t="inlineStr">
        <is>
          <t>2026-10-26</t>
        </is>
      </c>
      <c r="R16" s="3" t="inlineStr">
        <is>
          <t>https://shop.muji.tw/SalePage/Index/8920920</t>
        </is>
      </c>
      <c r="S16" s="2" t="inlineStr">
        <is>
          <t>官網</t>
        </is>
      </c>
      <c r="T16" s="2" t="inlineStr">
        <is>
          <t>high</t>
        </is>
      </c>
      <c r="U16" s="2" t="inlineStr">
        <is>
          <t>寬26×深37系列，可正反疊、互相堆疊；可加裝輪子(另售，加裝後高度約增3.8~4.2cm)；可放入SUS層架、自由組合層架；3段抽屜一體，內寸為單一抽屜；最高堆疊3層；適合A4</t>
        </is>
      </c>
      <c r="V16" s="2" t="inlineStr"/>
    </row>
    <row r="17">
      <c r="A17" s="2" t="inlineStr">
        <is>
          <t>MUJI-016</t>
        </is>
      </c>
      <c r="B17" s="2" t="inlineStr">
        <is>
          <t>MUJI</t>
        </is>
      </c>
      <c r="C17" s="2" t="inlineStr">
        <is>
          <t>PP盒/抽屜式</t>
        </is>
      </c>
      <c r="D17" s="2" t="inlineStr">
        <is>
          <t>PP盒/淺型/6格/附隔板(正反疊)</t>
        </is>
      </c>
      <c r="E17" s="2" t="inlineStr">
        <is>
          <t>4548076749004</t>
        </is>
      </c>
      <c r="F17" s="2" t="n">
        <v>26</v>
      </c>
      <c r="G17" s="2" t="n">
        <v>37</v>
      </c>
      <c r="H17" s="2" t="n">
        <v>32.5</v>
      </c>
      <c r="I17" s="2" t="n">
        <v>10.5</v>
      </c>
      <c r="J17" s="2" t="n">
        <v>34</v>
      </c>
      <c r="K17" s="2" t="n">
        <v>8.5</v>
      </c>
      <c r="L17" s="2" t="inlineStr">
        <is>
          <t>聚丙烯</t>
        </is>
      </c>
      <c r="M17" s="2" t="inlineStr">
        <is>
          <t>半透明</t>
        </is>
      </c>
      <c r="N17" s="2" t="inlineStr">
        <is>
          <t>Y</t>
        </is>
      </c>
      <c r="O17" s="2" t="inlineStr">
        <is>
          <t>N</t>
        </is>
      </c>
      <c r="P17" s="2" t="n">
        <v>999</v>
      </c>
      <c r="Q17" s="2" t="inlineStr">
        <is>
          <t>2026-10-26</t>
        </is>
      </c>
      <c r="R17" s="3" t="inlineStr">
        <is>
          <t>https://shop.muji.tw/SalePage/Index/8920949</t>
        </is>
      </c>
      <c r="S17" s="2" t="inlineStr">
        <is>
          <t>官網</t>
        </is>
      </c>
      <c r="T17" s="2" t="inlineStr">
        <is>
          <t>high</t>
        </is>
      </c>
      <c r="U17" s="2" t="inlineStr">
        <is>
          <t>寬26×深37系列，可正反疊、互相堆疊；可加裝輪子(另售，加裝後高度約增3.8~4.2cm)；可放入SUS層架、自由組合層架；3段×2列共6抽屜，內寸為單一抽屜；附18片分隔板；最高堆疊3層</t>
        </is>
      </c>
      <c r="V17" s="2" t="inlineStr"/>
    </row>
    <row r="18">
      <c r="A18" s="2" t="inlineStr">
        <is>
          <t>MUJI-017</t>
        </is>
      </c>
      <c r="B18" s="2" t="inlineStr">
        <is>
          <t>MUJI</t>
        </is>
      </c>
      <c r="C18" s="2" t="inlineStr">
        <is>
          <t>PP盒/抽屜式</t>
        </is>
      </c>
      <c r="D18" s="2" t="inlineStr">
        <is>
          <t>PP盒/薄型(正反疊)</t>
        </is>
      </c>
      <c r="E18" s="2" t="inlineStr">
        <is>
          <t>4550002108281</t>
        </is>
      </c>
      <c r="F18" s="2" t="n">
        <v>26</v>
      </c>
      <c r="G18" s="2" t="n">
        <v>37</v>
      </c>
      <c r="H18" s="2" t="n">
        <v>9</v>
      </c>
      <c r="I18" s="2" t="n">
        <v>22.5</v>
      </c>
      <c r="J18" s="2" t="n">
        <v>34</v>
      </c>
      <c r="K18" s="2" t="n">
        <v>5.5</v>
      </c>
      <c r="L18" s="2" t="inlineStr">
        <is>
          <t>聚丙烯</t>
        </is>
      </c>
      <c r="M18" s="2" t="inlineStr">
        <is>
          <t>白灰/半透明</t>
        </is>
      </c>
      <c r="N18" s="2" t="inlineStr">
        <is>
          <t>Y</t>
        </is>
      </c>
      <c r="O18" s="2" t="inlineStr">
        <is>
          <t>N</t>
        </is>
      </c>
      <c r="P18" s="2" t="n">
        <v>349</v>
      </c>
      <c r="Q18" s="2" t="inlineStr">
        <is>
          <t>2026-10-26</t>
        </is>
      </c>
      <c r="R18" s="3" t="inlineStr">
        <is>
          <t>https://shop.muji.tw/SalePage/Index/8920959</t>
        </is>
      </c>
      <c r="S18" s="2" t="inlineStr">
        <is>
          <t>官網</t>
        </is>
      </c>
      <c r="T18" s="2" t="inlineStr">
        <is>
          <t>high</t>
        </is>
      </c>
      <c r="U18" s="2" t="inlineStr">
        <is>
          <t>寬26×深37系列，可正反疊、互相堆疊；可加裝輪子(另售，加裝後高度約增3.8~4.2cm)；可放入SUS層架、自由組合層架；最高堆疊13層；耐重約2kg；半透明款型錄貨號76749066，特集頁標示320元</t>
        </is>
      </c>
      <c r="V18" s="2" t="inlineStr"/>
    </row>
    <row r="19">
      <c r="A19" s="2" t="inlineStr">
        <is>
          <t>MUJI-018</t>
        </is>
      </c>
      <c r="B19" s="2" t="inlineStr">
        <is>
          <t>MUJI</t>
        </is>
      </c>
      <c r="C19" s="2" t="inlineStr">
        <is>
          <t>PP盒/抽屜式</t>
        </is>
      </c>
      <c r="D19" s="2" t="inlineStr">
        <is>
          <t>PP盒/薄型/2段(正反疊)</t>
        </is>
      </c>
      <c r="E19" s="2" t="inlineStr">
        <is>
          <t>4548076749073</t>
        </is>
      </c>
      <c r="F19" s="2" t="n">
        <v>26</v>
      </c>
      <c r="G19" s="2" t="n">
        <v>37</v>
      </c>
      <c r="H19" s="2" t="n">
        <v>16.5</v>
      </c>
      <c r="I19" s="2" t="n">
        <v>22.5</v>
      </c>
      <c r="J19" s="2" t="n">
        <v>34</v>
      </c>
      <c r="K19" s="2" t="n">
        <v>5.5</v>
      </c>
      <c r="L19" s="2" t="inlineStr">
        <is>
          <t>聚丙烯</t>
        </is>
      </c>
      <c r="M19" s="2" t="inlineStr">
        <is>
          <t>半透明</t>
        </is>
      </c>
      <c r="N19" s="2" t="inlineStr">
        <is>
          <t>Y</t>
        </is>
      </c>
      <c r="O19" s="2" t="inlineStr">
        <is>
          <t>N</t>
        </is>
      </c>
      <c r="P19" s="2" t="n">
        <v>499</v>
      </c>
      <c r="Q19" s="2" t="inlineStr">
        <is>
          <t>2026-10-26</t>
        </is>
      </c>
      <c r="R19" s="3" t="inlineStr">
        <is>
          <t>https://shop.muji.tw/SalePage/Index/8920954</t>
        </is>
      </c>
      <c r="S19" s="2" t="inlineStr">
        <is>
          <t>官網</t>
        </is>
      </c>
      <c r="T19" s="2" t="inlineStr">
        <is>
          <t>high</t>
        </is>
      </c>
      <c r="U19" s="2" t="inlineStr">
        <is>
          <t>寬26×深37系列，可正反疊、互相堆疊；可加裝輪子(另售，加裝後高度約增3.8~4.2cm)；可放入SUS層架、自由組合層架；2段抽屜一體，內寸為單一抽屜；最高堆疊7層；適合A4；特集頁標示560元，與網路商店/型錄499元不同</t>
        </is>
      </c>
      <c r="V19" s="2" t="inlineStr"/>
    </row>
    <row r="20">
      <c r="A20" s="2" t="inlineStr">
        <is>
          <t>MUJI-019</t>
        </is>
      </c>
      <c r="B20" s="2" t="inlineStr">
        <is>
          <t>MUJI</t>
        </is>
      </c>
      <c r="C20" s="2" t="inlineStr">
        <is>
          <t>PP資料盒/橫式</t>
        </is>
      </c>
      <c r="D20" s="2" t="inlineStr">
        <is>
          <t>PP資料盒/橫式/深型</t>
        </is>
      </c>
      <c r="E20" s="2" t="inlineStr">
        <is>
          <t>4550002108311</t>
        </is>
      </c>
      <c r="F20" s="2" t="n">
        <v>37</v>
      </c>
      <c r="G20" s="2" t="n">
        <v>26</v>
      </c>
      <c r="H20" s="2" t="n">
        <v>17.5</v>
      </c>
      <c r="I20" s="2" t="n">
        <v>33.5</v>
      </c>
      <c r="J20" s="2" t="n">
        <v>22.5</v>
      </c>
      <c r="K20" s="2" t="n">
        <v>14</v>
      </c>
      <c r="L20" s="2" t="inlineStr">
        <is>
          <t>聚丙烯</t>
        </is>
      </c>
      <c r="M20" s="2" t="inlineStr">
        <is>
          <t>白灰/半透明</t>
        </is>
      </c>
      <c r="N20" s="2" t="inlineStr">
        <is>
          <t>Y</t>
        </is>
      </c>
      <c r="O20" s="2" t="inlineStr">
        <is>
          <t>N</t>
        </is>
      </c>
      <c r="P20" s="2" t="n">
        <v>439</v>
      </c>
      <c r="Q20" s="2" t="inlineStr">
        <is>
          <t>2026-10-26</t>
        </is>
      </c>
      <c r="R20" s="3" t="inlineStr">
        <is>
          <t>https://shop.muji.tw/SalePage/Index/8920896</t>
        </is>
      </c>
      <c r="S20" s="2" t="inlineStr">
        <is>
          <t>官網</t>
        </is>
      </c>
      <c r="T20" s="2" t="inlineStr">
        <is>
          <t>high</t>
        </is>
      </c>
      <c r="U20" s="2" t="inlineStr">
        <is>
          <t>寬37×深26橫式系列，可加裝輪子(另售)；可與PP收納架互相堆疊；適合A4；最高堆疊6層；抽屜1層約2kg、天板約5kg；半透明款型錄貨號15253791，特集頁標示410元</t>
        </is>
      </c>
      <c r="V20" s="2" t="inlineStr"/>
    </row>
    <row r="21">
      <c r="A21" s="2" t="inlineStr">
        <is>
          <t>MUJI-020</t>
        </is>
      </c>
      <c r="B21" s="2" t="inlineStr">
        <is>
          <t>MUJI</t>
        </is>
      </c>
      <c r="C21" s="2" t="inlineStr">
        <is>
          <t>PP資料盒/橫式</t>
        </is>
      </c>
      <c r="D21" s="2" t="inlineStr">
        <is>
          <t>PP資料盒/橫式/淺型</t>
        </is>
      </c>
      <c r="E21" s="2" t="inlineStr">
        <is>
          <t>4550002108328</t>
        </is>
      </c>
      <c r="F21" s="2" t="n">
        <v>37</v>
      </c>
      <c r="G21" s="2" t="n">
        <v>26</v>
      </c>
      <c r="H21" s="2" t="n">
        <v>12</v>
      </c>
      <c r="I21" s="2" t="n">
        <v>33.5</v>
      </c>
      <c r="J21" s="2" t="n">
        <v>22.5</v>
      </c>
      <c r="K21" s="2" t="n">
        <v>8.5</v>
      </c>
      <c r="L21" s="2" t="inlineStr">
        <is>
          <t>聚丙烯</t>
        </is>
      </c>
      <c r="M21" s="2" t="inlineStr">
        <is>
          <t>白灰/半透明</t>
        </is>
      </c>
      <c r="N21" s="2" t="inlineStr">
        <is>
          <t>Y</t>
        </is>
      </c>
      <c r="O21" s="2" t="inlineStr">
        <is>
          <t>N</t>
        </is>
      </c>
      <c r="P21" s="2" t="n">
        <v>379</v>
      </c>
      <c r="Q21" s="2" t="inlineStr">
        <is>
          <t>2026-10-26</t>
        </is>
      </c>
      <c r="R21" s="3" t="inlineStr">
        <is>
          <t>https://shop.muji.tw/SalePage/Index/8920919</t>
        </is>
      </c>
      <c r="S21" s="2" t="inlineStr">
        <is>
          <t>官網</t>
        </is>
      </c>
      <c r="T21" s="2" t="inlineStr">
        <is>
          <t>high</t>
        </is>
      </c>
      <c r="U21" s="2" t="inlineStr">
        <is>
          <t>寬37×深26橫式系列，可加裝輪子(另售)；可與PP收納架互相堆疊；適合A4；最高堆疊10層；抽屜1層約1.5kg；半透明款型錄貨號15253784，特集頁標示380元</t>
        </is>
      </c>
      <c r="V21" s="2" t="inlineStr"/>
    </row>
    <row r="22">
      <c r="A22" s="2" t="inlineStr">
        <is>
          <t>MUJI-021</t>
        </is>
      </c>
      <c r="B22" s="2" t="inlineStr">
        <is>
          <t>MUJI</t>
        </is>
      </c>
      <c r="C22" s="2" t="inlineStr">
        <is>
          <t>PP資料盒/橫式</t>
        </is>
      </c>
      <c r="D22" s="2" t="inlineStr">
        <is>
          <t>PP資料盒/橫式/薄型</t>
        </is>
      </c>
      <c r="E22" s="2" t="inlineStr">
        <is>
          <t>4550002108335</t>
        </is>
      </c>
      <c r="F22" s="2" t="n">
        <v>37</v>
      </c>
      <c r="G22" s="2" t="n">
        <v>26</v>
      </c>
      <c r="H22" s="2" t="n">
        <v>9</v>
      </c>
      <c r="I22" s="2" t="n">
        <v>34</v>
      </c>
      <c r="J22" s="2" t="n">
        <v>22.5</v>
      </c>
      <c r="K22" s="2" t="n">
        <v>5.5</v>
      </c>
      <c r="L22" s="2" t="inlineStr">
        <is>
          <t>聚丙烯</t>
        </is>
      </c>
      <c r="M22" s="2" t="inlineStr">
        <is>
          <t>白灰/半透明</t>
        </is>
      </c>
      <c r="N22" s="2" t="inlineStr">
        <is>
          <t>Y</t>
        </is>
      </c>
      <c r="O22" s="2" t="inlineStr">
        <is>
          <t>N</t>
        </is>
      </c>
      <c r="P22" s="2" t="n">
        <v>349</v>
      </c>
      <c r="Q22" s="2" t="inlineStr">
        <is>
          <t>2026-10-26</t>
        </is>
      </c>
      <c r="R22" s="3" t="inlineStr">
        <is>
          <t>https://shop.muji.tw/SalePage/Index/8920953</t>
        </is>
      </c>
      <c r="S22" s="2" t="inlineStr">
        <is>
          <t>官網</t>
        </is>
      </c>
      <c r="T22" s="2" t="inlineStr">
        <is>
          <t>high</t>
        </is>
      </c>
      <c r="U22" s="2" t="inlineStr">
        <is>
          <t>寬37×深26橫式系列，可加裝輪子(另售)；可與PP收納架互相堆疊；適合A4；最高堆疊13層；半透明款型錄貨號15253753，特集頁標示350元</t>
        </is>
      </c>
      <c r="V22" s="2" t="inlineStr"/>
    </row>
    <row r="23">
      <c r="A23" s="2" t="inlineStr">
        <is>
          <t>MUJI-022</t>
        </is>
      </c>
      <c r="B23" s="2" t="inlineStr">
        <is>
          <t>MUJI</t>
        </is>
      </c>
      <c r="C23" s="2" t="inlineStr">
        <is>
          <t>PP資料盒/橫式</t>
        </is>
      </c>
      <c r="D23" s="2" t="inlineStr">
        <is>
          <t>PP資料盒/橫式/薄型/2格</t>
        </is>
      </c>
      <c r="E23" s="2" t="inlineStr">
        <is>
          <t>4550002118990</t>
        </is>
      </c>
      <c r="F23" s="2" t="n">
        <v>37</v>
      </c>
      <c r="G23" s="2" t="n">
        <v>26</v>
      </c>
      <c r="H23" s="2" t="n">
        <v>9</v>
      </c>
      <c r="I23" s="2" t="n">
        <v>16</v>
      </c>
      <c r="J23" s="2" t="n">
        <v>22.5</v>
      </c>
      <c r="K23" s="2" t="n">
        <v>5.5</v>
      </c>
      <c r="L23" s="2" t="inlineStr">
        <is>
          <t>聚丙烯</t>
        </is>
      </c>
      <c r="M23" s="2" t="inlineStr">
        <is>
          <t>白灰/半透明</t>
        </is>
      </c>
      <c r="N23" s="2" t="inlineStr">
        <is>
          <t>Y</t>
        </is>
      </c>
      <c r="O23" s="2" t="inlineStr">
        <is>
          <t>N</t>
        </is>
      </c>
      <c r="P23" s="2" t="n">
        <v>469</v>
      </c>
      <c r="Q23" s="2" t="inlineStr">
        <is>
          <t>2026-10-26</t>
        </is>
      </c>
      <c r="R23" s="3" t="inlineStr">
        <is>
          <t>https://shop.muji.tw/SalePage/Index/8920937</t>
        </is>
      </c>
      <c r="S23" s="2" t="inlineStr">
        <is>
          <t>官網</t>
        </is>
      </c>
      <c r="T23" s="2" t="inlineStr">
        <is>
          <t>high</t>
        </is>
      </c>
      <c r="U23" s="2" t="inlineStr">
        <is>
          <t>寬37×深26橫式系列，可加裝輪子(另售)；可與PP收納架互相堆疊；適合A4；2抽屜並排，內寸為單一抽屜；最高堆疊13層；半透明款型錄貨號15253777，特集頁標示560元，與網路商店/型錄469元不同</t>
        </is>
      </c>
      <c r="V23" s="2" t="inlineStr"/>
    </row>
    <row r="24">
      <c r="A24" s="2" t="inlineStr">
        <is>
          <t>MUJI-023</t>
        </is>
      </c>
      <c r="B24" s="2" t="inlineStr">
        <is>
          <t>MUJI</t>
        </is>
      </c>
      <c r="C24" s="2" t="inlineStr">
        <is>
          <t>PP收納箱</t>
        </is>
      </c>
      <c r="D24" s="2" t="inlineStr">
        <is>
          <t>PP收納箱/中型</t>
        </is>
      </c>
      <c r="E24" s="2" t="inlineStr">
        <is>
          <t>4550182219418</t>
        </is>
      </c>
      <c r="F24" s="2" t="n">
        <v>37</v>
      </c>
      <c r="G24" s="2" t="n">
        <v>25</v>
      </c>
      <c r="H24" s="2" t="n">
        <v>16</v>
      </c>
      <c r="I24" s="2" t="n"/>
      <c r="J24" s="2" t="n"/>
      <c r="K24" s="2" t="n"/>
      <c r="L24" s="2" t="inlineStr">
        <is>
          <t>聚丙烯</t>
        </is>
      </c>
      <c r="M24" s="2" t="inlineStr"/>
      <c r="N24" s="2" t="inlineStr">
        <is>
          <t>Y</t>
        </is>
      </c>
      <c r="O24" s="2" t="inlineStr">
        <is>
          <t>N</t>
        </is>
      </c>
      <c r="P24" s="2" t="n">
        <v>199</v>
      </c>
      <c r="Q24" s="2" t="inlineStr">
        <is>
          <t>2026-10-26</t>
        </is>
      </c>
      <c r="R24" s="3" t="inlineStr">
        <is>
          <t>https://shop.muji.tw/SalePage/Index/8920914</t>
        </is>
      </c>
      <c r="S24" s="2" t="inlineStr">
        <is>
          <t>官網</t>
        </is>
      </c>
      <c r="T24" s="2" t="inlineStr">
        <is>
          <t>high</t>
        </is>
      </c>
      <c r="U24" s="2" t="inlineStr">
        <is>
          <t>尺寸可放入無印良品檔案盒；另售專用蓋(約37.5×25.5×2.5cm，129元)與內托盤；最高堆疊8層；耐重約5kg；內寸官方未標示</t>
        </is>
      </c>
      <c r="V24" s="2" t="inlineStr"/>
    </row>
    <row r="25">
      <c r="A25" s="2" t="inlineStr">
        <is>
          <t>MUJI-024</t>
        </is>
      </c>
      <c r="B25" s="2" t="inlineStr">
        <is>
          <t>MUJI</t>
        </is>
      </c>
      <c r="C25" s="2" t="inlineStr">
        <is>
          <t>PP收納箱</t>
        </is>
      </c>
      <c r="D25" s="2" t="inlineStr">
        <is>
          <t>PP收納箱/深型</t>
        </is>
      </c>
      <c r="E25" s="2" t="inlineStr">
        <is>
          <t>4550182219401</t>
        </is>
      </c>
      <c r="F25" s="2" t="n">
        <v>37</v>
      </c>
      <c r="G25" s="2" t="n">
        <v>25</v>
      </c>
      <c r="H25" s="2" t="n">
        <v>31.5</v>
      </c>
      <c r="I25" s="2" t="n">
        <v>32</v>
      </c>
      <c r="J25" s="2" t="n">
        <v>20.5</v>
      </c>
      <c r="K25" s="2" t="n">
        <v>30</v>
      </c>
      <c r="L25" s="2" t="inlineStr">
        <is>
          <t>聚丙烯</t>
        </is>
      </c>
      <c r="M25" s="2" t="inlineStr"/>
      <c r="N25" s="2" t="inlineStr">
        <is>
          <t>Y</t>
        </is>
      </c>
      <c r="O25" s="2" t="inlineStr">
        <is>
          <t>N</t>
        </is>
      </c>
      <c r="P25" s="2" t="n">
        <v>299</v>
      </c>
      <c r="Q25" s="2" t="inlineStr">
        <is>
          <t>2026-10-26</t>
        </is>
      </c>
      <c r="R25" s="3" t="inlineStr">
        <is>
          <t>https://shop.muji.tw/SalePage/Index/8920930</t>
        </is>
      </c>
      <c r="S25" s="2" t="inlineStr">
        <is>
          <t>官網</t>
        </is>
      </c>
      <c r="T25" s="2" t="inlineStr">
        <is>
          <t>high</t>
        </is>
      </c>
      <c r="U25" s="2" t="inlineStr">
        <is>
          <t>尺寸可放入無印良品檔案盒(檔案盒高24~31.8cm)；另售專用蓋(129元)與內托盤；最高堆疊4層；耐重約8kg</t>
        </is>
      </c>
      <c r="V25" s="2" t="inlineStr"/>
    </row>
    <row r="26">
      <c r="A26" s="2" t="inlineStr">
        <is>
          <t>MUJI-025</t>
        </is>
      </c>
      <c r="B26" s="2" t="inlineStr">
        <is>
          <t>MUJI</t>
        </is>
      </c>
      <c r="C26" s="2" t="inlineStr">
        <is>
          <t>PP收納箱</t>
        </is>
      </c>
      <c r="D26" s="2" t="inlineStr">
        <is>
          <t>PP收納箱內托盤</t>
        </is>
      </c>
      <c r="E26" s="2" t="inlineStr">
        <is>
          <t>4550182219449</t>
        </is>
      </c>
      <c r="F26" s="2" t="n">
        <v>35</v>
      </c>
      <c r="G26" s="2" t="n">
        <v>23</v>
      </c>
      <c r="H26" s="2" t="n">
        <v>5.5</v>
      </c>
      <c r="I26" s="2" t="n"/>
      <c r="J26" s="2" t="n"/>
      <c r="K26" s="2" t="n"/>
      <c r="L26" s="2" t="inlineStr">
        <is>
          <t>聚丙烯</t>
        </is>
      </c>
      <c r="M26" s="2" t="inlineStr"/>
      <c r="N26" s="2" t="inlineStr"/>
      <c r="O26" s="2" t="inlineStr">
        <is>
          <t>N</t>
        </is>
      </c>
      <c r="P26" s="2" t="n">
        <v>169</v>
      </c>
      <c r="Q26" s="2" t="inlineStr">
        <is>
          <t>2026-10-26</t>
        </is>
      </c>
      <c r="R26" s="3" t="inlineStr">
        <is>
          <t>https://shop.muji.tw/SalePage/Index/8920973</t>
        </is>
      </c>
      <c r="S26" s="2" t="inlineStr">
        <is>
          <t>官網</t>
        </is>
      </c>
      <c r="T26" s="2" t="inlineStr">
        <is>
          <t>high</t>
        </is>
      </c>
      <c r="U26" s="2" t="inlineStr">
        <is>
          <t>PP收納箱(寬37×深25)系列專用內托盤，置於箱子上部；不可與舊款聚丙烯搬運箱一同使用；尺寸取自型錄P.25(貨號82219449)</t>
        </is>
      </c>
      <c r="V26" s="2" t="inlineStr"/>
    </row>
    <row r="27">
      <c r="A27" s="2" t="inlineStr">
        <is>
          <t>MUJI-026</t>
        </is>
      </c>
      <c r="B27" s="2" t="inlineStr">
        <is>
          <t>MUJI</t>
        </is>
      </c>
      <c r="C27" s="2" t="inlineStr">
        <is>
          <t>PP附輪收納箱/追加用</t>
        </is>
      </c>
      <c r="D27" s="2" t="inlineStr">
        <is>
          <t>PP追加用收納盒/高11cm</t>
        </is>
      </c>
      <c r="E27" s="2" t="inlineStr">
        <is>
          <t>4547315880171</t>
        </is>
      </c>
      <c r="F27" s="2" t="n">
        <v>18</v>
      </c>
      <c r="G27" s="2" t="n">
        <v>40</v>
      </c>
      <c r="H27" s="2" t="n">
        <v>11</v>
      </c>
      <c r="I27" s="2" t="n">
        <v>13</v>
      </c>
      <c r="J27" s="2" t="n">
        <v>36</v>
      </c>
      <c r="K27" s="2" t="n">
        <v>7</v>
      </c>
      <c r="L27" s="2" t="inlineStr">
        <is>
          <t>聚丙烯</t>
        </is>
      </c>
      <c r="M27" s="2" t="inlineStr"/>
      <c r="N27" s="2" t="inlineStr">
        <is>
          <t>Y</t>
        </is>
      </c>
      <c r="O27" s="2" t="inlineStr">
        <is>
          <t>N</t>
        </is>
      </c>
      <c r="P27" s="2" t="n">
        <v>299</v>
      </c>
      <c r="Q27" s="2" t="inlineStr">
        <is>
          <t>2026-10-26</t>
        </is>
      </c>
      <c r="R27" s="3" t="inlineStr">
        <is>
          <t>https://shop.muji.tw/SalePage/Index/8920957</t>
        </is>
      </c>
      <c r="S27" s="2" t="inlineStr">
        <is>
          <t>官網</t>
        </is>
      </c>
      <c r="T27" s="2" t="inlineStr">
        <is>
          <t>high</t>
        </is>
      </c>
      <c r="U27" s="2" t="inlineStr">
        <is>
          <t>寬18×深40系列；可與附輪收納箱、專用輪(另售)組合；追加高度上限122cm(含輪)；最高堆疊10層；型錄稱「淺型」</t>
        </is>
      </c>
      <c r="V27" s="2" t="inlineStr"/>
    </row>
    <row r="28">
      <c r="A28" s="2" t="inlineStr">
        <is>
          <t>MUJI-027</t>
        </is>
      </c>
      <c r="B28" s="2" t="inlineStr">
        <is>
          <t>MUJI</t>
        </is>
      </c>
      <c r="C28" s="2" t="inlineStr">
        <is>
          <t>PP附輪收納箱/追加用</t>
        </is>
      </c>
      <c r="D28" s="2" t="inlineStr">
        <is>
          <t>PP追加用收納盒/高21cm</t>
        </is>
      </c>
      <c r="E28" s="2" t="inlineStr">
        <is>
          <t>4945247721584</t>
        </is>
      </c>
      <c r="F28" s="2" t="n">
        <v>18</v>
      </c>
      <c r="G28" s="2" t="n">
        <v>40</v>
      </c>
      <c r="H28" s="2" t="n">
        <v>21</v>
      </c>
      <c r="I28" s="2" t="n">
        <v>13</v>
      </c>
      <c r="J28" s="2" t="n">
        <v>35.5</v>
      </c>
      <c r="K28" s="2" t="n">
        <v>17</v>
      </c>
      <c r="L28" s="2" t="inlineStr">
        <is>
          <t>聚丙烯</t>
        </is>
      </c>
      <c r="M28" s="2" t="inlineStr"/>
      <c r="N28" s="2" t="inlineStr">
        <is>
          <t>Y</t>
        </is>
      </c>
      <c r="O28" s="2" t="inlineStr">
        <is>
          <t>N</t>
        </is>
      </c>
      <c r="P28" s="2" t="n">
        <v>349</v>
      </c>
      <c r="Q28" s="2" t="inlineStr">
        <is>
          <t>2026-10-26</t>
        </is>
      </c>
      <c r="R28" s="3" t="inlineStr">
        <is>
          <t>https://shop.muji.tw/SalePage/Index/8920932</t>
        </is>
      </c>
      <c r="S28" s="2" t="inlineStr">
        <is>
          <t>官網</t>
        </is>
      </c>
      <c r="T28" s="2" t="inlineStr">
        <is>
          <t>high</t>
        </is>
      </c>
      <c r="U28" s="2" t="inlineStr">
        <is>
          <t>寬18×深40系列；可與附輪收納箱、專用輪(另售)組合；追加高度上限122cm(含輪)；最高堆疊5層；型錄稱「抽屜式」</t>
        </is>
      </c>
      <c r="V28" s="2" t="inlineStr"/>
    </row>
    <row r="29">
      <c r="A29" s="2" t="inlineStr">
        <is>
          <t>MUJI-028</t>
        </is>
      </c>
      <c r="B29" s="2" t="inlineStr">
        <is>
          <t>MUJI</t>
        </is>
      </c>
      <c r="C29" s="2" t="inlineStr">
        <is>
          <t>PP附輪收納箱/追加用</t>
        </is>
      </c>
      <c r="D29" s="2" t="inlineStr">
        <is>
          <t>PP追加用收納盒/高30.5cm</t>
        </is>
      </c>
      <c r="E29" s="2" t="inlineStr">
        <is>
          <t>4547315880164</t>
        </is>
      </c>
      <c r="F29" s="2" t="n">
        <v>18</v>
      </c>
      <c r="G29" s="2" t="n">
        <v>40</v>
      </c>
      <c r="H29" s="2" t="n">
        <v>30.5</v>
      </c>
      <c r="I29" s="2" t="n">
        <v>12.5</v>
      </c>
      <c r="J29" s="2" t="n">
        <v>35</v>
      </c>
      <c r="K29" s="2" t="n">
        <v>26.5</v>
      </c>
      <c r="L29" s="2" t="inlineStr">
        <is>
          <t>聚丙烯</t>
        </is>
      </c>
      <c r="M29" s="2" t="inlineStr"/>
      <c r="N29" s="2" t="inlineStr">
        <is>
          <t>Y</t>
        </is>
      </c>
      <c r="O29" s="2" t="inlineStr">
        <is>
          <t>N</t>
        </is>
      </c>
      <c r="P29" s="2" t="n">
        <v>449</v>
      </c>
      <c r="Q29" s="2" t="inlineStr">
        <is>
          <t>2026-10-26</t>
        </is>
      </c>
      <c r="R29" s="3" t="inlineStr">
        <is>
          <t>https://shop.muji.tw/SalePage/Index/8920956</t>
        </is>
      </c>
      <c r="S29" s="2" t="inlineStr">
        <is>
          <t>官網</t>
        </is>
      </c>
      <c r="T29" s="2" t="inlineStr">
        <is>
          <t>high</t>
        </is>
      </c>
      <c r="U29" s="2" t="inlineStr">
        <is>
          <t>寬18×深40系列；可與附輪收納箱、專用輪(另售)組合；追加高度上限122cm(含輪)；最高堆疊4層；型錄稱「深型」</t>
        </is>
      </c>
      <c r="V29" s="2" t="inlineStr"/>
    </row>
    <row r="30">
      <c r="A30" s="2" t="inlineStr">
        <is>
          <t>MUJI-029</t>
        </is>
      </c>
      <c r="B30" s="2" t="inlineStr">
        <is>
          <t>MUJI</t>
        </is>
      </c>
      <c r="C30" s="2" t="inlineStr">
        <is>
          <t>PP檔案盒</t>
        </is>
      </c>
      <c r="D30" s="2" t="inlineStr">
        <is>
          <t>聚丙烯檔案盒.標準型.A4用</t>
        </is>
      </c>
      <c r="E30" s="2" t="inlineStr">
        <is>
          <t>4550344902776</t>
        </is>
      </c>
      <c r="F30" s="2" t="n">
        <v>10</v>
      </c>
      <c r="G30" s="2" t="n">
        <v>32</v>
      </c>
      <c r="H30" s="2" t="n">
        <v>24</v>
      </c>
      <c r="I30" s="2" t="n"/>
      <c r="J30" s="2" t="n"/>
      <c r="K30" s="2" t="n"/>
      <c r="L30" s="2" t="inlineStr">
        <is>
          <t>聚丙烯</t>
        </is>
      </c>
      <c r="M30" s="2" t="inlineStr">
        <is>
          <t>白灰</t>
        </is>
      </c>
      <c r="N30" s="2" t="inlineStr"/>
      <c r="O30" s="2" t="inlineStr">
        <is>
          <t>N</t>
        </is>
      </c>
      <c r="P30" s="2" t="n">
        <v>199</v>
      </c>
      <c r="Q30" s="2" t="inlineStr">
        <is>
          <t>2026-10-26</t>
        </is>
      </c>
      <c r="R30" s="3" t="inlineStr">
        <is>
          <t>https://shop.muji.tw/SalePage/Index/8919740</t>
        </is>
      </c>
      <c r="S30" s="2" t="inlineStr">
        <is>
          <t>官網</t>
        </is>
      </c>
      <c r="T30" s="2" t="inlineStr">
        <is>
          <t>high</t>
        </is>
      </c>
      <c r="U30" s="2" t="inlineStr">
        <is>
          <t>深32cm立式檔案盒系列；可直放或橫放；耐重約5kg；可放入PP收納箱深型；另售檔案盒用蓋/寬10cm用(79元，可裝輪子)；型錄另列未標色款貨號44902769</t>
        </is>
      </c>
      <c r="V30" s="2" t="inlineStr"/>
    </row>
    <row r="31">
      <c r="A31" s="2" t="inlineStr">
        <is>
          <t>MUJI-030</t>
        </is>
      </c>
      <c r="B31" s="2" t="inlineStr">
        <is>
          <t>MUJI</t>
        </is>
      </c>
      <c r="C31" s="2" t="inlineStr">
        <is>
          <t>PP檔案盒</t>
        </is>
      </c>
      <c r="D31" s="2" t="inlineStr">
        <is>
          <t>聚丙烯檔案盒.標準型.寬.A4</t>
        </is>
      </c>
      <c r="E31" s="2" t="inlineStr">
        <is>
          <t>4550344902813</t>
        </is>
      </c>
      <c r="F31" s="2" t="n">
        <v>15</v>
      </c>
      <c r="G31" s="2" t="n">
        <v>32</v>
      </c>
      <c r="H31" s="2" t="n">
        <v>24</v>
      </c>
      <c r="I31" s="2" t="n"/>
      <c r="J31" s="2" t="n"/>
      <c r="K31" s="2" t="n"/>
      <c r="L31" s="2" t="inlineStr">
        <is>
          <t>聚丙烯</t>
        </is>
      </c>
      <c r="M31" s="2" t="inlineStr">
        <is>
          <t>白灰</t>
        </is>
      </c>
      <c r="N31" s="2" t="inlineStr"/>
      <c r="O31" s="2" t="inlineStr">
        <is>
          <t>N</t>
        </is>
      </c>
      <c r="P31" s="2" t="n">
        <v>299</v>
      </c>
      <c r="Q31" s="2" t="inlineStr">
        <is>
          <t>2026-10-26</t>
        </is>
      </c>
      <c r="R31" s="3" t="inlineStr">
        <is>
          <t>https://shop.muji.tw/SalePage/Index/8919420</t>
        </is>
      </c>
      <c r="S31" s="2" t="inlineStr">
        <is>
          <t>官網</t>
        </is>
      </c>
      <c r="T31" s="2" t="inlineStr">
        <is>
          <t>high</t>
        </is>
      </c>
      <c r="U31" s="2" t="inlineStr">
        <is>
          <t>深32cm立式檔案盒系列；可直放或橫放；耐重約5kg；可放入兩本厚50mm的2孔檔案夾；網路商店規格寫「約長15x寬32x高24cm」，依型錄「約寬15×深32×高24cm」判讀；另售檔案盒用蓋/寬15cm用(99元)；型錄另列未標色款貨號44902806</t>
        </is>
      </c>
      <c r="V31" s="2" t="inlineStr"/>
    </row>
    <row r="32">
      <c r="A32" s="2" t="inlineStr">
        <is>
          <t>MUJI-031</t>
        </is>
      </c>
      <c r="B32" s="2" t="inlineStr">
        <is>
          <t>MUJI</t>
        </is>
      </c>
      <c r="C32" s="2" t="inlineStr">
        <is>
          <t>PP檔案盒</t>
        </is>
      </c>
      <c r="D32" s="2" t="inlineStr">
        <is>
          <t>聚丙烯檔案盒.標準型.1/2</t>
        </is>
      </c>
      <c r="E32" s="2" t="inlineStr"/>
      <c r="F32" s="2" t="n">
        <v>10</v>
      </c>
      <c r="G32" s="2" t="n">
        <v>32</v>
      </c>
      <c r="H32" s="2" t="n">
        <v>12</v>
      </c>
      <c r="I32" s="2" t="n"/>
      <c r="J32" s="2" t="n"/>
      <c r="K32" s="2" t="n"/>
      <c r="L32" s="2" t="inlineStr">
        <is>
          <t>聚丙烯</t>
        </is>
      </c>
      <c r="M32" s="2" t="inlineStr">
        <is>
          <t>白灰</t>
        </is>
      </c>
      <c r="N32" s="2" t="inlineStr">
        <is>
          <t>Y</t>
        </is>
      </c>
      <c r="O32" s="2" t="inlineStr">
        <is>
          <t>N</t>
        </is>
      </c>
      <c r="P32" s="2" t="n">
        <v>129</v>
      </c>
      <c r="Q32" s="2" t="inlineStr">
        <is>
          <t>2026-10-26</t>
        </is>
      </c>
      <c r="R32" s="3" t="inlineStr">
        <is>
          <t>https://shop.muji.tw/muji-journal/pdf/pdf/25AW-storage.pdf</t>
        </is>
      </c>
      <c r="S32" s="2" t="inlineStr">
        <is>
          <t>型錄PDF</t>
        </is>
      </c>
      <c r="T32" s="2" t="inlineStr">
        <is>
          <t>medium</t>
        </is>
      </c>
      <c r="U32" s="2" t="inlineStr">
        <is>
          <t>深32cm立式檔案盒系列；可直放或橫放；耐重約5kg；高度為標準型的1/2，最多可堆疊3層；網路商店查無此品項，僅見於型錄P.37(貨號44902752)，庫存請以門市為準</t>
        </is>
      </c>
      <c r="V32" s="2" t="inlineStr"/>
    </row>
    <row r="33">
      <c r="A33" s="2" t="inlineStr">
        <is>
          <t>MUJI-032</t>
        </is>
      </c>
      <c r="B33" s="2" t="inlineStr">
        <is>
          <t>MUJI</t>
        </is>
      </c>
      <c r="C33" s="2" t="inlineStr">
        <is>
          <t>PP檔案盒</t>
        </is>
      </c>
      <c r="D33" s="2" t="inlineStr">
        <is>
          <t>聚丙烯檔案盒.標準型.寬.1/2</t>
        </is>
      </c>
      <c r="E33" s="2" t="inlineStr">
        <is>
          <t>4550344902790</t>
        </is>
      </c>
      <c r="F33" s="2" t="n">
        <v>15</v>
      </c>
      <c r="G33" s="2" t="n">
        <v>32</v>
      </c>
      <c r="H33" s="2" t="n">
        <v>12</v>
      </c>
      <c r="I33" s="2" t="n"/>
      <c r="J33" s="2" t="n"/>
      <c r="K33" s="2" t="n"/>
      <c r="L33" s="2" t="inlineStr">
        <is>
          <t>聚丙烯</t>
        </is>
      </c>
      <c r="M33" s="2" t="inlineStr">
        <is>
          <t>白灰</t>
        </is>
      </c>
      <c r="N33" s="2" t="inlineStr">
        <is>
          <t>Y</t>
        </is>
      </c>
      <c r="O33" s="2" t="inlineStr">
        <is>
          <t>N</t>
        </is>
      </c>
      <c r="P33" s="2" t="n">
        <v>199</v>
      </c>
      <c r="Q33" s="2" t="inlineStr">
        <is>
          <t>2026-10-26</t>
        </is>
      </c>
      <c r="R33" s="3" t="inlineStr">
        <is>
          <t>https://shop.muji.tw/SalePage/Index/8919406</t>
        </is>
      </c>
      <c r="S33" s="2" t="inlineStr">
        <is>
          <t>官網</t>
        </is>
      </c>
      <c r="T33" s="2" t="inlineStr">
        <is>
          <t>high</t>
        </is>
      </c>
      <c r="U33" s="2" t="inlineStr">
        <is>
          <t>深32cm立式檔案盒系列；可直放或橫放；耐重約5kg；標準型.寬的1/2高度，最多可堆疊3層</t>
        </is>
      </c>
      <c r="V33" s="2" t="inlineStr"/>
    </row>
    <row r="34">
      <c r="A34" s="2" t="inlineStr">
        <is>
          <t>MUJI-033</t>
        </is>
      </c>
      <c r="B34" s="2" t="inlineStr">
        <is>
          <t>MUJI</t>
        </is>
      </c>
      <c r="C34" s="2" t="inlineStr">
        <is>
          <t>PP檔案盒</t>
        </is>
      </c>
      <c r="D34" s="2" t="inlineStr">
        <is>
          <t>聚丙烯檔案盒.標準型.1/2.25cm</t>
        </is>
      </c>
      <c r="E34" s="2" t="inlineStr">
        <is>
          <t>4550344902882</t>
        </is>
      </c>
      <c r="F34" s="2" t="n">
        <v>25</v>
      </c>
      <c r="G34" s="2" t="n">
        <v>32</v>
      </c>
      <c r="H34" s="2" t="n">
        <v>12</v>
      </c>
      <c r="I34" s="2" t="n"/>
      <c r="J34" s="2" t="n"/>
      <c r="K34" s="2" t="n"/>
      <c r="L34" s="2" t="inlineStr">
        <is>
          <t>聚丙烯</t>
        </is>
      </c>
      <c r="M34" s="2" t="inlineStr"/>
      <c r="N34" s="2" t="inlineStr">
        <is>
          <t>Y</t>
        </is>
      </c>
      <c r="O34" s="2" t="inlineStr">
        <is>
          <t>N</t>
        </is>
      </c>
      <c r="P34" s="2" t="n">
        <v>329</v>
      </c>
      <c r="Q34" s="2" t="inlineStr">
        <is>
          <t>2026-10-26</t>
        </is>
      </c>
      <c r="R34" s="3" t="inlineStr">
        <is>
          <t>https://shop.muji.tw/SalePage/Index/8919401</t>
        </is>
      </c>
      <c r="S34" s="2" t="inlineStr">
        <is>
          <t>官網</t>
        </is>
      </c>
      <c r="T34" s="2" t="inlineStr">
        <is>
          <t>high</t>
        </is>
      </c>
      <c r="U34" s="2" t="inlineStr">
        <is>
          <t>寬25cm、高度為系列1/2的立式檔案盒；搭配另售「聚丙烯立式檔案盒.標準型用蓋(可裝置輪子)」最多可堆疊3層</t>
        </is>
      </c>
      <c r="V34" s="2" t="inlineStr"/>
    </row>
    <row r="35">
      <c r="A35" s="2" t="inlineStr">
        <is>
          <t>MUJI-034</t>
        </is>
      </c>
      <c r="B35" s="2" t="inlineStr">
        <is>
          <t>MUJI</t>
        </is>
      </c>
      <c r="C35" s="2" t="inlineStr">
        <is>
          <t>PP檔案盒</t>
        </is>
      </c>
      <c r="D35" s="2" t="inlineStr">
        <is>
          <t>聚丙烯立式斜口檔案盒.A4</t>
        </is>
      </c>
      <c r="E35" s="2" t="inlineStr">
        <is>
          <t>4550344902899</t>
        </is>
      </c>
      <c r="F35" s="2" t="n">
        <v>10</v>
      </c>
      <c r="G35" s="2" t="n">
        <v>27.6</v>
      </c>
      <c r="H35" s="2" t="n">
        <v>31.8</v>
      </c>
      <c r="I35" s="2" t="n"/>
      <c r="J35" s="2" t="n"/>
      <c r="K35" s="2" t="n"/>
      <c r="L35" s="2" t="inlineStr">
        <is>
          <t>聚丙烯</t>
        </is>
      </c>
      <c r="M35" s="2" t="inlineStr">
        <is>
          <t>白灰</t>
        </is>
      </c>
      <c r="N35" s="2" t="inlineStr"/>
      <c r="O35" s="2" t="inlineStr">
        <is>
          <t>N</t>
        </is>
      </c>
      <c r="P35" s="2" t="n">
        <v>199</v>
      </c>
      <c r="Q35" s="2" t="inlineStr">
        <is>
          <t>2026-10-26</t>
        </is>
      </c>
      <c r="R35" s="3" t="inlineStr">
        <is>
          <t>https://shop.muji.tw/SalePage/Index/8919735</t>
        </is>
      </c>
      <c r="S35" s="2" t="inlineStr">
        <is>
          <t>官網</t>
        </is>
      </c>
      <c r="T35" s="2" t="inlineStr">
        <is>
          <t>high</t>
        </is>
      </c>
      <c r="U35" s="2" t="inlineStr">
        <is>
          <t>斜口設計，可收納A4加寬尺寸檔案夾；耐重約5kg；型錄另列未標色款貨號44902738</t>
        </is>
      </c>
      <c r="V35" s="2" t="inlineStr"/>
    </row>
    <row r="36">
      <c r="A36" s="2" t="inlineStr">
        <is>
          <t>MUJI-035</t>
        </is>
      </c>
      <c r="B36" s="2" t="inlineStr">
        <is>
          <t>MUJI</t>
        </is>
      </c>
      <c r="C36" s="2" t="inlineStr">
        <is>
          <t>PP檔案盒</t>
        </is>
      </c>
      <c r="D36" s="2" t="inlineStr">
        <is>
          <t>聚丙烯立式斜口檔案盒.寬.A4</t>
        </is>
      </c>
      <c r="E36" s="2" t="inlineStr">
        <is>
          <t>4550344902912</t>
        </is>
      </c>
      <c r="F36" s="2" t="n">
        <v>15</v>
      </c>
      <c r="G36" s="2" t="n">
        <v>27.6</v>
      </c>
      <c r="H36" s="2" t="n">
        <v>31.8</v>
      </c>
      <c r="I36" s="2" t="n"/>
      <c r="J36" s="2" t="n"/>
      <c r="K36" s="2" t="n"/>
      <c r="L36" s="2" t="inlineStr">
        <is>
          <t>聚丙烯</t>
        </is>
      </c>
      <c r="M36" s="2" t="inlineStr">
        <is>
          <t>白灰</t>
        </is>
      </c>
      <c r="N36" s="2" t="inlineStr"/>
      <c r="O36" s="2" t="inlineStr">
        <is>
          <t>N</t>
        </is>
      </c>
      <c r="P36" s="2" t="n">
        <v>299</v>
      </c>
      <c r="Q36" s="2" t="inlineStr">
        <is>
          <t>2026-10-26</t>
        </is>
      </c>
      <c r="R36" s="3" t="inlineStr">
        <is>
          <t>https://shop.muji.tw/SalePage/Index/8919737</t>
        </is>
      </c>
      <c r="S36" s="2" t="inlineStr">
        <is>
          <t>官網</t>
        </is>
      </c>
      <c r="T36" s="2" t="inlineStr">
        <is>
          <t>high</t>
        </is>
      </c>
      <c r="U36" s="2" t="inlineStr">
        <is>
          <t>可放入兩本厚50mm的2孔檔案夾；亦可收納A4加寬檔案夾；耐重約5kg；型錄另列未標色款貨號44902905</t>
        </is>
      </c>
      <c r="V36" s="2" t="inlineStr"/>
    </row>
    <row r="37">
      <c r="A37" s="2" t="inlineStr">
        <is>
          <t>MUJI-036</t>
        </is>
      </c>
      <c r="B37" s="2" t="inlineStr">
        <is>
          <t>MUJI</t>
        </is>
      </c>
      <c r="C37" s="2" t="inlineStr">
        <is>
          <t>PP化妝盒(含再生聚丙烯)</t>
        </is>
      </c>
      <c r="D37" s="2" t="inlineStr">
        <is>
          <t>含有再生聚丙烯化妝盒</t>
        </is>
      </c>
      <c r="E37" s="2" t="inlineStr">
        <is>
          <t>4550584465413</t>
        </is>
      </c>
      <c r="F37" s="2" t="n">
        <v>15</v>
      </c>
      <c r="G37" s="2" t="n">
        <v>22</v>
      </c>
      <c r="H37" s="2" t="n">
        <v>16.9</v>
      </c>
      <c r="I37" s="2" t="n"/>
      <c r="J37" s="2" t="n"/>
      <c r="K37" s="2" t="n"/>
      <c r="L37" s="2" t="inlineStr">
        <is>
          <t>聚丙烯(含20%再生聚丙烯)</t>
        </is>
      </c>
      <c r="M37" s="2" t="inlineStr"/>
      <c r="N37" s="2" t="inlineStr">
        <is>
          <t>Y</t>
        </is>
      </c>
      <c r="O37" s="2" t="inlineStr">
        <is>
          <t>N</t>
        </is>
      </c>
      <c r="P37" s="2" t="n">
        <v>119</v>
      </c>
      <c r="Q37" s="2" t="inlineStr">
        <is>
          <t>2026-10-26</t>
        </is>
      </c>
      <c r="R37" s="3" t="inlineStr">
        <is>
          <t>https://shop.muji.tw/SalePage/Index/11050118</t>
        </is>
      </c>
      <c r="S37" s="2" t="inlineStr">
        <is>
          <t>官網</t>
        </is>
      </c>
      <c r="T37" s="2" t="inlineStr">
        <is>
          <t>high</t>
        </is>
      </c>
      <c r="U37" s="2" t="inlineStr">
        <is>
          <t>同尺寸可堆疊；寬15cm系列，1/4、1/2、全高依序約4.5/8.6/16.9cm；品號OGB85A5S；另售含有再生聚丙烯化妝盒蓋/大(約15.7×23.2×2cm，59元)</t>
        </is>
      </c>
      <c r="V37" s="2" t="inlineStr"/>
    </row>
    <row r="38">
      <c r="A38" s="2" t="inlineStr">
        <is>
          <t>MUJI-037</t>
        </is>
      </c>
      <c r="B38" s="2" t="inlineStr">
        <is>
          <t>MUJI</t>
        </is>
      </c>
      <c r="C38" s="2" t="inlineStr">
        <is>
          <t>PP化妝盒(含再生聚丙烯)</t>
        </is>
      </c>
      <c r="D38" s="2" t="inlineStr">
        <is>
          <t>含有再生聚丙烯化妝盒1/2</t>
        </is>
      </c>
      <c r="E38" s="2" t="inlineStr">
        <is>
          <t>4550584465406</t>
        </is>
      </c>
      <c r="F38" s="2" t="n">
        <v>15</v>
      </c>
      <c r="G38" s="2" t="n">
        <v>22</v>
      </c>
      <c r="H38" s="2" t="n">
        <v>8.6</v>
      </c>
      <c r="I38" s="2" t="n"/>
      <c r="J38" s="2" t="n"/>
      <c r="K38" s="2" t="n"/>
      <c r="L38" s="2" t="inlineStr">
        <is>
          <t>聚丙烯(含20%再生聚丙烯)</t>
        </is>
      </c>
      <c r="M38" s="2" t="inlineStr"/>
      <c r="N38" s="2" t="inlineStr">
        <is>
          <t>Y</t>
        </is>
      </c>
      <c r="O38" s="2" t="inlineStr">
        <is>
          <t>N</t>
        </is>
      </c>
      <c r="P38" s="2" t="n">
        <v>109</v>
      </c>
      <c r="Q38" s="2" t="inlineStr">
        <is>
          <t>2026-10-26</t>
        </is>
      </c>
      <c r="R38" s="3" t="inlineStr">
        <is>
          <t>https://shop.muji.tw/SalePage/Index/11050116</t>
        </is>
      </c>
      <c r="S38" s="2" t="inlineStr">
        <is>
          <t>官網</t>
        </is>
      </c>
      <c r="T38" s="2" t="inlineStr">
        <is>
          <t>high</t>
        </is>
      </c>
      <c r="U38" s="2" t="inlineStr">
        <is>
          <t>同尺寸可堆疊；寬15cm系列，1/4、1/2、全高依序約4.5/8.6/16.9cm；品號OGB84A5S；另售化妝盒蓋/大(59元)</t>
        </is>
      </c>
      <c r="V38" s="2" t="inlineStr"/>
    </row>
    <row r="39">
      <c r="A39" s="2" t="inlineStr">
        <is>
          <t>MUJI-038</t>
        </is>
      </c>
      <c r="B39" s="2" t="inlineStr">
        <is>
          <t>MUJI</t>
        </is>
      </c>
      <c r="C39" s="2" t="inlineStr">
        <is>
          <t>PP化妝盒(含再生聚丙烯)</t>
        </is>
      </c>
      <c r="D39" s="2" t="inlineStr">
        <is>
          <t>含有再生聚丙烯化妝盒1/4</t>
        </is>
      </c>
      <c r="E39" s="2" t="inlineStr">
        <is>
          <t>4550584465390</t>
        </is>
      </c>
      <c r="F39" s="2" t="n">
        <v>15</v>
      </c>
      <c r="G39" s="2" t="n">
        <v>22</v>
      </c>
      <c r="H39" s="2" t="n">
        <v>4.5</v>
      </c>
      <c r="I39" s="2" t="n"/>
      <c r="J39" s="2" t="n"/>
      <c r="K39" s="2" t="n"/>
      <c r="L39" s="2" t="inlineStr">
        <is>
          <t>聚丙烯(含20%再生聚丙烯)</t>
        </is>
      </c>
      <c r="M39" s="2" t="inlineStr"/>
      <c r="N39" s="2" t="inlineStr">
        <is>
          <t>Y</t>
        </is>
      </c>
      <c r="O39" s="2" t="inlineStr">
        <is>
          <t>N</t>
        </is>
      </c>
      <c r="P39" s="2" t="n">
        <v>69</v>
      </c>
      <c r="Q39" s="2" t="inlineStr">
        <is>
          <t>2026-10-26</t>
        </is>
      </c>
      <c r="R39" s="3" t="inlineStr">
        <is>
          <t>https://shop.muji.tw/SalePage/Index/11050114</t>
        </is>
      </c>
      <c r="S39" s="2" t="inlineStr">
        <is>
          <t>官網</t>
        </is>
      </c>
      <c r="T39" s="2" t="inlineStr">
        <is>
          <t>high</t>
        </is>
      </c>
      <c r="U39" s="2" t="inlineStr">
        <is>
          <t>同尺寸可堆疊；寬15cm系列，1/4、1/2、全高依序約4.5/8.6/16.9cm；品號OGB83A5S；另售化妝盒蓋/大(59元)</t>
        </is>
      </c>
      <c r="V39" s="2" t="inlineStr"/>
    </row>
    <row r="40">
      <c r="A40" s="2" t="inlineStr">
        <is>
          <t>MUJI-039</t>
        </is>
      </c>
      <c r="B40" s="2" t="inlineStr">
        <is>
          <t>MUJI</t>
        </is>
      </c>
      <c r="C40" s="2" t="inlineStr">
        <is>
          <t>PP化妝盒(含再生聚丙烯)</t>
        </is>
      </c>
      <c r="D40" s="2" t="inlineStr">
        <is>
          <t>含有再生聚丙烯化妝盒1/2橫型</t>
        </is>
      </c>
      <c r="E40" s="2" t="inlineStr">
        <is>
          <t>4550584465383</t>
        </is>
      </c>
      <c r="F40" s="2" t="n">
        <v>15</v>
      </c>
      <c r="G40" s="2" t="n">
        <v>11</v>
      </c>
      <c r="H40" s="2" t="n">
        <v>8.6</v>
      </c>
      <c r="I40" s="2" t="n"/>
      <c r="J40" s="2" t="n"/>
      <c r="K40" s="2" t="n"/>
      <c r="L40" s="2" t="inlineStr">
        <is>
          <t>聚丙烯(含20%再生聚丙烯)</t>
        </is>
      </c>
      <c r="M40" s="2" t="inlineStr"/>
      <c r="N40" s="2" t="inlineStr">
        <is>
          <t>Y</t>
        </is>
      </c>
      <c r="O40" s="2" t="inlineStr">
        <is>
          <t>N</t>
        </is>
      </c>
      <c r="P40" s="2" t="n">
        <v>69</v>
      </c>
      <c r="Q40" s="2" t="inlineStr">
        <is>
          <t>2026-10-26</t>
        </is>
      </c>
      <c r="R40" s="3" t="inlineStr">
        <is>
          <t>https://shop.muji.tw/SalePage/Index/11050102</t>
        </is>
      </c>
      <c r="S40" s="2" t="inlineStr">
        <is>
          <t>官網</t>
        </is>
      </c>
      <c r="T40" s="2" t="inlineStr">
        <is>
          <t>high</t>
        </is>
      </c>
      <c r="U40" s="2" t="inlineStr">
        <is>
          <t>同尺寸可堆疊；寬15cm系列，1/4、1/2、全高依序約4.5/8.6/16.9cm；深度為化妝盒的1/2(11cm)，2個並排=化妝盒1/2；品號OGB82A5S；另售化妝盒蓋/小(約11.7×15.7×2cm，39元)</t>
        </is>
      </c>
      <c r="V40" s="2" t="inlineStr"/>
    </row>
    <row r="41">
      <c r="A41" s="2" t="inlineStr">
        <is>
          <t>MUJI-040</t>
        </is>
      </c>
      <c r="B41" s="2" t="inlineStr">
        <is>
          <t>MUJI</t>
        </is>
      </c>
      <c r="C41" s="2" t="inlineStr">
        <is>
          <t>PP化妝盒(含再生聚丙烯)</t>
        </is>
      </c>
      <c r="D41" s="2" t="inlineStr">
        <is>
          <t>含有再生聚丙烯化妝盒1/4橫型</t>
        </is>
      </c>
      <c r="E41" s="2" t="inlineStr">
        <is>
          <t>4550584465376</t>
        </is>
      </c>
      <c r="F41" s="2" t="n">
        <v>15</v>
      </c>
      <c r="G41" s="2" t="n">
        <v>11</v>
      </c>
      <c r="H41" s="2" t="n">
        <v>4.5</v>
      </c>
      <c r="I41" s="2" t="n"/>
      <c r="J41" s="2" t="n"/>
      <c r="K41" s="2" t="n"/>
      <c r="L41" s="2" t="inlineStr">
        <is>
          <t>聚丙烯(含20%再生聚丙烯)</t>
        </is>
      </c>
      <c r="M41" s="2" t="inlineStr"/>
      <c r="N41" s="2" t="inlineStr"/>
      <c r="O41" s="2" t="inlineStr">
        <is>
          <t>N</t>
        </is>
      </c>
      <c r="P41" s="2" t="n">
        <v>59</v>
      </c>
      <c r="Q41" s="2" t="inlineStr">
        <is>
          <t>2026-10-26</t>
        </is>
      </c>
      <c r="R41" s="3" t="inlineStr">
        <is>
          <t>https://shop.muji.tw/SalePage/Index/11050100</t>
        </is>
      </c>
      <c r="S41" s="2" t="inlineStr">
        <is>
          <t>官網</t>
        </is>
      </c>
      <c r="T41" s="2" t="inlineStr">
        <is>
          <t>high</t>
        </is>
      </c>
      <c r="U41" s="2" t="inlineStr">
        <is>
          <t>同尺寸可堆疊；寬15cm系列，1/4、1/2、全高依序約4.5/8.6/16.9cm；品號OGB81A5S；另售化妝盒蓋/小(39元)</t>
        </is>
      </c>
      <c r="V41" s="2" t="inlineStr"/>
    </row>
    <row r="42">
      <c r="A42" s="2" t="inlineStr">
        <is>
          <t>MUJI-041</t>
        </is>
      </c>
      <c r="B42" s="2" t="inlineStr">
        <is>
          <t>MUJI</t>
        </is>
      </c>
      <c r="C42" s="2" t="inlineStr">
        <is>
          <t>PP化妝盒(含再生聚丙烯)</t>
        </is>
      </c>
      <c r="D42" s="2" t="inlineStr">
        <is>
          <t>含有再生聚丙烯化妝盒1/4縱型</t>
        </is>
      </c>
      <c r="E42" s="2" t="inlineStr">
        <is>
          <t>4550584935107</t>
        </is>
      </c>
      <c r="F42" s="2" t="n">
        <v>7.5</v>
      </c>
      <c r="G42" s="2" t="n">
        <v>22</v>
      </c>
      <c r="H42" s="2" t="n">
        <v>4.5</v>
      </c>
      <c r="I42" s="2" t="n"/>
      <c r="J42" s="2" t="n"/>
      <c r="K42" s="2" t="n"/>
      <c r="L42" s="2" t="inlineStr">
        <is>
          <t>聚丙烯(含20%再生聚丙烯)</t>
        </is>
      </c>
      <c r="M42" s="2" t="inlineStr"/>
      <c r="N42" s="2" t="inlineStr"/>
      <c r="O42" s="2" t="inlineStr">
        <is>
          <t>N</t>
        </is>
      </c>
      <c r="P42" s="2" t="n">
        <v>69</v>
      </c>
      <c r="Q42" s="2" t="inlineStr">
        <is>
          <t>2026-10-26</t>
        </is>
      </c>
      <c r="R42" s="3" t="inlineStr">
        <is>
          <t>https://shop.muji.tw/SalePage/Index/11781929</t>
        </is>
      </c>
      <c r="S42" s="2" t="inlineStr">
        <is>
          <t>官網</t>
        </is>
      </c>
      <c r="T42" s="2" t="inlineStr">
        <is>
          <t>high</t>
        </is>
      </c>
      <c r="U42" s="2" t="inlineStr">
        <is>
          <t>縱型細長款，寬為化妝盒的1/2(7.5cm)，2個並排=化妝盒1/4；品號OGB90A5A</t>
        </is>
      </c>
      <c r="V42" s="2" t="inlineStr"/>
    </row>
    <row r="43">
      <c r="A43" s="2" t="inlineStr">
        <is>
          <t>MUJI-042</t>
        </is>
      </c>
      <c r="B43" s="2" t="inlineStr">
        <is>
          <t>MUJI</t>
        </is>
      </c>
      <c r="C43" s="2" t="inlineStr">
        <is>
          <t>PP化妝盒(含再生聚丙烯)</t>
        </is>
      </c>
      <c r="D43" s="2" t="inlineStr">
        <is>
          <t>含有再生聚丙烯棉花/棉棒盒</t>
        </is>
      </c>
      <c r="E43" s="2" t="inlineStr">
        <is>
          <t>4550584465352</t>
        </is>
      </c>
      <c r="F43" s="2" t="n">
        <v>10.7</v>
      </c>
      <c r="G43" s="2" t="n">
        <v>7.2</v>
      </c>
      <c r="H43" s="2" t="n">
        <v>7.7</v>
      </c>
      <c r="I43" s="2" t="n"/>
      <c r="J43" s="2" t="n"/>
      <c r="K43" s="2" t="n"/>
      <c r="L43" s="2" t="inlineStr">
        <is>
          <t>聚丙烯(含20%再生聚丙烯)</t>
        </is>
      </c>
      <c r="M43" s="2" t="inlineStr"/>
      <c r="N43" s="2" t="inlineStr"/>
      <c r="O43" s="2" t="inlineStr">
        <is>
          <t>N</t>
        </is>
      </c>
      <c r="P43" s="2" t="n">
        <v>59</v>
      </c>
      <c r="Q43" s="2" t="inlineStr">
        <is>
          <t>2026-10-26</t>
        </is>
      </c>
      <c r="R43" s="3" t="inlineStr">
        <is>
          <t>https://shop.muji.tw/SalePage/Index/11147558</t>
        </is>
      </c>
      <c r="S43" s="2" t="inlineStr">
        <is>
          <t>官網</t>
        </is>
      </c>
      <c r="T43" s="2" t="inlineStr">
        <is>
          <t>high</t>
        </is>
      </c>
      <c r="U43" s="2" t="inlineStr">
        <is>
          <t>可作為大尺寸化妝盒的隔間使用；品號OGB79A5S</t>
        </is>
      </c>
      <c r="V43" s="2" t="inlineStr"/>
    </row>
    <row r="44">
      <c r="A44" s="2" t="inlineStr">
        <is>
          <t>MUJI-043</t>
        </is>
      </c>
      <c r="B44" s="2" t="inlineStr">
        <is>
          <t>MUJI</t>
        </is>
      </c>
      <c r="C44" s="2" t="inlineStr">
        <is>
          <t>PP化妝盒(含再生聚丙烯)</t>
        </is>
      </c>
      <c r="D44" s="2" t="inlineStr">
        <is>
          <t>含有再生聚丙烯化妝盒/棉花.棉棒盒(附盒蓋)</t>
        </is>
      </c>
      <c r="E44" s="2" t="inlineStr">
        <is>
          <t>4550584465444</t>
        </is>
      </c>
      <c r="F44" s="2" t="n">
        <v>10.7</v>
      </c>
      <c r="G44" s="2" t="n">
        <v>7.2</v>
      </c>
      <c r="H44" s="2" t="n">
        <v>9.1</v>
      </c>
      <c r="I44" s="2" t="n"/>
      <c r="J44" s="2" t="n"/>
      <c r="K44" s="2" t="n"/>
      <c r="L44" s="2" t="inlineStr">
        <is>
          <t>聚丙烯(含20%再生聚丙烯)</t>
        </is>
      </c>
      <c r="M44" s="2" t="inlineStr"/>
      <c r="N44" s="2" t="inlineStr"/>
      <c r="O44" s="2" t="inlineStr">
        <is>
          <t>Y</t>
        </is>
      </c>
      <c r="P44" s="2" t="n">
        <v>69</v>
      </c>
      <c r="Q44" s="2" t="inlineStr">
        <is>
          <t>2026-10-26</t>
        </is>
      </c>
      <c r="R44" s="3" t="inlineStr">
        <is>
          <t>https://shop.muji.tw/SalePage/Index/11781928</t>
        </is>
      </c>
      <c r="S44" s="2" t="inlineStr">
        <is>
          <t>官網</t>
        </is>
      </c>
      <c r="T44" s="2" t="inlineStr">
        <is>
          <t>high</t>
        </is>
      </c>
      <c r="U44" s="2" t="inlineStr">
        <is>
          <t>附蓋，外寸高含蓋；品號OGB88A5S</t>
        </is>
      </c>
      <c r="V44" s="2" t="inlineStr"/>
    </row>
    <row r="45">
      <c r="A45" s="2" t="inlineStr">
        <is>
          <t>MUJI-044</t>
        </is>
      </c>
      <c r="B45" s="2" t="inlineStr">
        <is>
          <t>MUJI</t>
        </is>
      </c>
      <c r="C45" s="2" t="inlineStr">
        <is>
          <t>PP化妝盒</t>
        </is>
      </c>
      <c r="D45" s="2" t="inlineStr">
        <is>
          <t>PP化妝盒/附蓋.小</t>
        </is>
      </c>
      <c r="E45" s="2" t="inlineStr">
        <is>
          <t>4550583971793</t>
        </is>
      </c>
      <c r="F45" s="2" t="n">
        <v>15</v>
      </c>
      <c r="G45" s="2" t="n">
        <v>11</v>
      </c>
      <c r="H45" s="2" t="n">
        <v>10.3</v>
      </c>
      <c r="I45" s="2" t="n"/>
      <c r="J45" s="2" t="n"/>
      <c r="K45" s="2" t="n"/>
      <c r="L45" s="2" t="inlineStr">
        <is>
          <t>聚丙烯</t>
        </is>
      </c>
      <c r="M45" s="2" t="inlineStr"/>
      <c r="N45" s="2" t="inlineStr">
        <is>
          <t>Y</t>
        </is>
      </c>
      <c r="O45" s="2" t="inlineStr">
        <is>
          <t>Y</t>
        </is>
      </c>
      <c r="P45" s="2" t="n">
        <v>79</v>
      </c>
      <c r="Q45" s="2" t="inlineStr">
        <is>
          <t>2026-10-26</t>
        </is>
      </c>
      <c r="R45" s="3" t="inlineStr">
        <is>
          <t>https://shop.muji.tw/SalePage/Index/10190122</t>
        </is>
      </c>
      <c r="S45" s="2" t="inlineStr">
        <is>
          <t>官網</t>
        </is>
      </c>
      <c r="T45" s="2" t="inlineStr">
        <is>
          <t>high</t>
        </is>
      </c>
      <c r="U45" s="2" t="inlineStr">
        <is>
          <t>附蓋；同尺寸可堆疊</t>
        </is>
      </c>
      <c r="V45" s="2" t="inlineStr"/>
    </row>
    <row r="46">
      <c r="A46" s="2" t="inlineStr">
        <is>
          <t>MUJI-045</t>
        </is>
      </c>
      <c r="B46" s="2" t="inlineStr">
        <is>
          <t>MUJI</t>
        </is>
      </c>
      <c r="C46" s="2" t="inlineStr">
        <is>
          <t>PP化妝盒</t>
        </is>
      </c>
      <c r="D46" s="2" t="inlineStr">
        <is>
          <t>PP化妝盒/附蓋.大</t>
        </is>
      </c>
      <c r="E46" s="2" t="inlineStr">
        <is>
          <t>4550583971809</t>
        </is>
      </c>
      <c r="F46" s="2" t="n">
        <v>15</v>
      </c>
      <c r="G46" s="2" t="n">
        <v>22</v>
      </c>
      <c r="H46" s="2" t="n">
        <v>10.3</v>
      </c>
      <c r="I46" s="2" t="n"/>
      <c r="J46" s="2" t="n"/>
      <c r="K46" s="2" t="n"/>
      <c r="L46" s="2" t="inlineStr">
        <is>
          <t>聚丙烯</t>
        </is>
      </c>
      <c r="M46" s="2" t="inlineStr"/>
      <c r="N46" s="2" t="inlineStr">
        <is>
          <t>Y</t>
        </is>
      </c>
      <c r="O46" s="2" t="inlineStr">
        <is>
          <t>Y</t>
        </is>
      </c>
      <c r="P46" s="2" t="n">
        <v>129</v>
      </c>
      <c r="Q46" s="2" t="inlineStr">
        <is>
          <t>2026-10-26</t>
        </is>
      </c>
      <c r="R46" s="3" t="inlineStr">
        <is>
          <t>https://shop.muji.tw/SalePage/Index/10190123</t>
        </is>
      </c>
      <c r="S46" s="2" t="inlineStr">
        <is>
          <t>官網</t>
        </is>
      </c>
      <c r="T46" s="2" t="inlineStr">
        <is>
          <t>high</t>
        </is>
      </c>
      <c r="U46" s="2" t="inlineStr">
        <is>
          <t>附蓋；同尺寸可堆疊；大=小×2(深度)</t>
        </is>
      </c>
      <c r="V46" s="2" t="inlineStr"/>
    </row>
    <row r="47">
      <c r="A47" s="2" t="inlineStr">
        <is>
          <t>MUJI-046</t>
        </is>
      </c>
      <c r="B47" s="2" t="inlineStr">
        <is>
          <t>MUJI</t>
        </is>
      </c>
      <c r="C47" s="2" t="inlineStr">
        <is>
          <t>PP化妝盒</t>
        </is>
      </c>
      <c r="D47" s="2" t="inlineStr">
        <is>
          <t>PP化妝盒1/2橫型.附隔板</t>
        </is>
      </c>
      <c r="E47" s="2" t="inlineStr">
        <is>
          <t>4550583971779</t>
        </is>
      </c>
      <c r="F47" s="2" t="n">
        <v>15</v>
      </c>
      <c r="G47" s="2" t="n">
        <v>11</v>
      </c>
      <c r="H47" s="2" t="n">
        <v>8.6</v>
      </c>
      <c r="I47" s="2" t="n"/>
      <c r="J47" s="2" t="n"/>
      <c r="K47" s="2" t="n"/>
      <c r="L47" s="2" t="inlineStr">
        <is>
          <t>聚丙烯</t>
        </is>
      </c>
      <c r="M47" s="2" t="inlineStr"/>
      <c r="N47" s="2" t="inlineStr">
        <is>
          <t>Y</t>
        </is>
      </c>
      <c r="O47" s="2" t="inlineStr">
        <is>
          <t>N</t>
        </is>
      </c>
      <c r="P47" s="2" t="n">
        <v>69</v>
      </c>
      <c r="Q47" s="2" t="inlineStr">
        <is>
          <t>2026-10-26</t>
        </is>
      </c>
      <c r="R47" s="3" t="inlineStr">
        <is>
          <t>https://shop.muji.tw/SalePage/Index/10190120</t>
        </is>
      </c>
      <c r="S47" s="2" t="inlineStr">
        <is>
          <t>官網</t>
        </is>
      </c>
      <c r="T47" s="2" t="inlineStr">
        <is>
          <t>high</t>
        </is>
      </c>
      <c r="U47" s="2" t="inlineStr">
        <is>
          <t>附隔板；同尺寸可堆疊；與含有再生聚丙烯化妝盒1/2橫型同尺寸</t>
        </is>
      </c>
      <c r="V47" s="2" t="inlineStr"/>
    </row>
    <row r="48">
      <c r="A48" s="2" t="inlineStr">
        <is>
          <t>MUJI-047</t>
        </is>
      </c>
      <c r="B48" s="2" t="inlineStr">
        <is>
          <t>MUJI</t>
        </is>
      </c>
      <c r="C48" s="2" t="inlineStr">
        <is>
          <t>PP化妝盒</t>
        </is>
      </c>
      <c r="D48" s="2" t="inlineStr">
        <is>
          <t>PP化妝盒1/4橫型.附隔板</t>
        </is>
      </c>
      <c r="E48" s="2" t="inlineStr">
        <is>
          <t>4550583971786</t>
        </is>
      </c>
      <c r="F48" s="2" t="n">
        <v>15</v>
      </c>
      <c r="G48" s="2" t="n">
        <v>11</v>
      </c>
      <c r="H48" s="2" t="n">
        <v>4.5</v>
      </c>
      <c r="I48" s="2" t="n"/>
      <c r="J48" s="2" t="n"/>
      <c r="K48" s="2" t="n"/>
      <c r="L48" s="2" t="inlineStr">
        <is>
          <t>聚丙烯</t>
        </is>
      </c>
      <c r="M48" s="2" t="inlineStr"/>
      <c r="N48" s="2" t="inlineStr">
        <is>
          <t>Y</t>
        </is>
      </c>
      <c r="O48" s="2" t="inlineStr">
        <is>
          <t>N</t>
        </is>
      </c>
      <c r="P48" s="2" t="n">
        <v>59</v>
      </c>
      <c r="Q48" s="2" t="inlineStr">
        <is>
          <t>2026-10-26</t>
        </is>
      </c>
      <c r="R48" s="3" t="inlineStr">
        <is>
          <t>https://shop.muji.tw/SalePage/Index/10190121</t>
        </is>
      </c>
      <c r="S48" s="2" t="inlineStr">
        <is>
          <t>官網</t>
        </is>
      </c>
      <c r="T48" s="2" t="inlineStr">
        <is>
          <t>high</t>
        </is>
      </c>
      <c r="U48" s="2" t="inlineStr">
        <is>
          <t>附隔板；同尺寸可堆疊</t>
        </is>
      </c>
      <c r="V48" s="2" t="inlineStr"/>
    </row>
    <row r="49">
      <c r="A49" s="2" t="inlineStr">
        <is>
          <t>MUJI-048</t>
        </is>
      </c>
      <c r="B49" s="2" t="inlineStr">
        <is>
          <t>MUJI</t>
        </is>
      </c>
      <c r="C49" s="2" t="inlineStr">
        <is>
          <t>PP化妝盒</t>
        </is>
      </c>
      <c r="D49" s="2" t="inlineStr">
        <is>
          <t>PP化妝盒/棉棒用.附蓋</t>
        </is>
      </c>
      <c r="E49" s="2" t="inlineStr">
        <is>
          <t>4550583971816</t>
        </is>
      </c>
      <c r="F49" s="2" t="n">
        <v>10.7</v>
      </c>
      <c r="G49" s="2" t="n">
        <v>7.2</v>
      </c>
      <c r="H49" s="2" t="n">
        <v>9.1</v>
      </c>
      <c r="I49" s="2" t="n"/>
      <c r="J49" s="2" t="n"/>
      <c r="K49" s="2" t="n"/>
      <c r="L49" s="2" t="inlineStr">
        <is>
          <t>聚丙烯</t>
        </is>
      </c>
      <c r="M49" s="2" t="inlineStr"/>
      <c r="N49" s="2" t="inlineStr"/>
      <c r="O49" s="2" t="inlineStr">
        <is>
          <t>Y</t>
        </is>
      </c>
      <c r="P49" s="2" t="n">
        <v>69</v>
      </c>
      <c r="Q49" s="2" t="inlineStr">
        <is>
          <t>2026-10-26</t>
        </is>
      </c>
      <c r="R49" s="3" t="inlineStr">
        <is>
          <t>https://shop.muji.tw/SalePage/Index/10190124</t>
        </is>
      </c>
      <c r="S49" s="2" t="inlineStr">
        <is>
          <t>官網</t>
        </is>
      </c>
      <c r="T49" s="2" t="inlineStr">
        <is>
          <t>high</t>
        </is>
      </c>
      <c r="U49" s="2" t="inlineStr">
        <is>
          <t>附蓋；與含有再生聚丙烯棉花.棉棒盒(附盒蓋)同尺寸</t>
        </is>
      </c>
      <c r="V49" s="2" t="inlineStr"/>
    </row>
    <row r="50">
      <c r="A50" s="2" t="inlineStr">
        <is>
          <t>MUJI-049</t>
        </is>
      </c>
      <c r="B50" s="2" t="inlineStr">
        <is>
          <t>MUJI</t>
        </is>
      </c>
      <c r="C50" s="2" t="inlineStr">
        <is>
          <t>聚丙烯小物盒</t>
        </is>
      </c>
      <c r="D50" s="2" t="inlineStr">
        <is>
          <t>聚丙烯小物盒/SS</t>
        </is>
      </c>
      <c r="E50" s="2" t="inlineStr">
        <is>
          <t>4550182202922</t>
        </is>
      </c>
      <c r="F50" s="2" t="n">
        <v>3.7</v>
      </c>
      <c r="G50" s="2" t="n">
        <v>6.3</v>
      </c>
      <c r="H50" s="2" t="n">
        <v>1.2</v>
      </c>
      <c r="I50" s="2" t="n"/>
      <c r="J50" s="2" t="n"/>
      <c r="K50" s="2" t="n"/>
      <c r="L50" s="2" t="inlineStr">
        <is>
          <t>聚丙烯</t>
        </is>
      </c>
      <c r="M50" s="2" t="inlineStr"/>
      <c r="N50" s="2" t="inlineStr"/>
      <c r="O50" s="2" t="inlineStr"/>
      <c r="P50" s="2" t="n">
        <v>29</v>
      </c>
      <c r="Q50" s="2" t="inlineStr">
        <is>
          <t>2026-10-26</t>
        </is>
      </c>
      <c r="R50" s="3" t="inlineStr">
        <is>
          <t>https://shop.muji.tw/SalePage/Index/8920741</t>
        </is>
      </c>
      <c r="S50" s="2" t="inlineStr">
        <is>
          <t>官網</t>
        </is>
      </c>
      <c r="T50" s="2" t="inlineStr">
        <is>
          <t>high</t>
        </is>
      </c>
      <c r="U50" s="2" t="inlineStr">
        <is>
          <t>適合髮夾等</t>
        </is>
      </c>
      <c r="V50" s="2" t="inlineStr"/>
    </row>
    <row r="51">
      <c r="A51" s="2" t="inlineStr">
        <is>
          <t>MUJI-050</t>
        </is>
      </c>
      <c r="B51" s="2" t="inlineStr">
        <is>
          <t>MUJI</t>
        </is>
      </c>
      <c r="C51" s="2" t="inlineStr">
        <is>
          <t>聚丙烯小物盒</t>
        </is>
      </c>
      <c r="D51" s="2" t="inlineStr">
        <is>
          <t>聚丙烯小物盒/S</t>
        </is>
      </c>
      <c r="E51" s="2" t="inlineStr">
        <is>
          <t>4550182202939</t>
        </is>
      </c>
      <c r="F51" s="2" t="n">
        <v>3.7</v>
      </c>
      <c r="G51" s="2" t="n">
        <v>10</v>
      </c>
      <c r="H51" s="2" t="n">
        <v>1.2</v>
      </c>
      <c r="I51" s="2" t="n"/>
      <c r="J51" s="2" t="n"/>
      <c r="K51" s="2" t="n"/>
      <c r="L51" s="2" t="inlineStr">
        <is>
          <t>聚丙烯</t>
        </is>
      </c>
      <c r="M51" s="2" t="inlineStr"/>
      <c r="N51" s="2" t="inlineStr"/>
      <c r="O51" s="2" t="inlineStr"/>
      <c r="P51" s="2" t="n">
        <v>39</v>
      </c>
      <c r="Q51" s="2" t="inlineStr">
        <is>
          <t>2026-10-26</t>
        </is>
      </c>
      <c r="R51" s="3" t="inlineStr">
        <is>
          <t>https://shop.muji.tw/SalePage/Index/8920733</t>
        </is>
      </c>
      <c r="S51" s="2" t="inlineStr">
        <is>
          <t>官網</t>
        </is>
      </c>
      <c r="T51" s="2" t="inlineStr">
        <is>
          <t>high</t>
        </is>
      </c>
      <c r="U51" s="2" t="inlineStr">
        <is>
          <t>適合OK繃、棉花棒等</t>
        </is>
      </c>
      <c r="V51" s="2" t="inlineStr"/>
    </row>
    <row r="52">
      <c r="A52" s="2" t="inlineStr">
        <is>
          <t>MUJI-051</t>
        </is>
      </c>
      <c r="B52" s="2" t="inlineStr">
        <is>
          <t>MUJI</t>
        </is>
      </c>
      <c r="C52" s="2" t="inlineStr">
        <is>
          <t>聚丙烯小物盒</t>
        </is>
      </c>
      <c r="D52" s="2" t="inlineStr">
        <is>
          <t>聚丙烯小物盒/M</t>
        </is>
      </c>
      <c r="E52" s="2" t="inlineStr">
        <is>
          <t>4550002547691</t>
        </is>
      </c>
      <c r="F52" s="2" t="n">
        <v>6.4</v>
      </c>
      <c r="G52" s="2" t="n">
        <v>5.2</v>
      </c>
      <c r="H52" s="2" t="n">
        <v>2</v>
      </c>
      <c r="I52" s="2" t="n"/>
      <c r="J52" s="2" t="n"/>
      <c r="K52" s="2" t="n"/>
      <c r="L52" s="2" t="inlineStr">
        <is>
          <t>聚丙烯</t>
        </is>
      </c>
      <c r="M52" s="2" t="inlineStr"/>
      <c r="N52" s="2" t="inlineStr"/>
      <c r="O52" s="2" t="inlineStr"/>
      <c r="P52" s="2" t="n">
        <v>39</v>
      </c>
      <c r="Q52" s="2" t="inlineStr">
        <is>
          <t>2026-10-26</t>
        </is>
      </c>
      <c r="R52" s="3" t="inlineStr">
        <is>
          <t>https://shop.muji.tw/SalePage/Index/8920711</t>
        </is>
      </c>
      <c r="S52" s="2" t="inlineStr">
        <is>
          <t>官網</t>
        </is>
      </c>
      <c r="T52" s="2" t="inlineStr">
        <is>
          <t>high</t>
        </is>
      </c>
      <c r="U52" s="2" t="inlineStr">
        <is>
          <t>適合各式小物</t>
        </is>
      </c>
      <c r="V52" s="2" t="inlineStr"/>
    </row>
    <row r="53">
      <c r="A53" s="2" t="inlineStr">
        <is>
          <t>MUJI-052</t>
        </is>
      </c>
      <c r="B53" s="2" t="inlineStr">
        <is>
          <t>MUJI</t>
        </is>
      </c>
      <c r="C53" s="2" t="inlineStr">
        <is>
          <t>聚丙烯小物盒</t>
        </is>
      </c>
      <c r="D53" s="2" t="inlineStr">
        <is>
          <t>聚丙烯小物盒/L</t>
        </is>
      </c>
      <c r="E53" s="2" t="inlineStr">
        <is>
          <t>4550182202946</t>
        </is>
      </c>
      <c r="F53" s="2" t="n">
        <v>7.5</v>
      </c>
      <c r="G53" s="2" t="n">
        <v>11</v>
      </c>
      <c r="H53" s="2" t="n">
        <v>4.6</v>
      </c>
      <c r="I53" s="2" t="n"/>
      <c r="J53" s="2" t="n"/>
      <c r="K53" s="2" t="n"/>
      <c r="L53" s="2" t="inlineStr">
        <is>
          <t>聚丙烯</t>
        </is>
      </c>
      <c r="M53" s="2" t="inlineStr"/>
      <c r="N53" s="2" t="inlineStr"/>
      <c r="O53" s="2" t="inlineStr"/>
      <c r="P53" s="2" t="n">
        <v>69</v>
      </c>
      <c r="Q53" s="2" t="inlineStr">
        <is>
          <t>2026-10-26</t>
        </is>
      </c>
      <c r="R53" s="3" t="inlineStr">
        <is>
          <t>https://shop.muji.tw/SalePage/Index/8920677</t>
        </is>
      </c>
      <c r="S53" s="2" t="inlineStr">
        <is>
          <t>官網</t>
        </is>
      </c>
      <c r="T53" s="2" t="inlineStr">
        <is>
          <t>high</t>
        </is>
      </c>
      <c r="U53" s="2" t="inlineStr">
        <is>
          <t>適合急救用品等</t>
        </is>
      </c>
      <c r="V53" s="2" t="inlineStr"/>
    </row>
    <row r="54">
      <c r="A54" s="2" t="inlineStr">
        <is>
          <t>MUJI-053</t>
        </is>
      </c>
      <c r="B54" s="2" t="inlineStr">
        <is>
          <t>MUJI</t>
        </is>
      </c>
      <c r="C54" s="2" t="inlineStr">
        <is>
          <t>聚丙烯小物盒</t>
        </is>
      </c>
      <c r="D54" s="2" t="inlineStr">
        <is>
          <t>聚丙烯藥盒/S</t>
        </is>
      </c>
      <c r="E54" s="2" t="inlineStr">
        <is>
          <t>4550002547653</t>
        </is>
      </c>
      <c r="F54" s="2" t="n">
        <v>8.5</v>
      </c>
      <c r="G54" s="2" t="n">
        <v>6.6</v>
      </c>
      <c r="H54" s="2" t="n">
        <v>2</v>
      </c>
      <c r="I54" s="2" t="n"/>
      <c r="J54" s="2" t="n"/>
      <c r="K54" s="2" t="n"/>
      <c r="L54" s="2" t="inlineStr">
        <is>
          <t>聚丙烯</t>
        </is>
      </c>
      <c r="M54" s="2" t="inlineStr"/>
      <c r="N54" s="2" t="inlineStr"/>
      <c r="O54" s="2" t="inlineStr"/>
      <c r="P54" s="2" t="n">
        <v>59</v>
      </c>
      <c r="Q54" s="2" t="inlineStr">
        <is>
          <t>2026-10-26</t>
        </is>
      </c>
      <c r="R54" s="3" t="inlineStr">
        <is>
          <t>https://shop.muji.tw/SalePage/Index/8920668</t>
        </is>
      </c>
      <c r="S54" s="2" t="inlineStr">
        <is>
          <t>官網</t>
        </is>
      </c>
      <c r="T54" s="2" t="inlineStr">
        <is>
          <t>high</t>
        </is>
      </c>
      <c r="U54" s="2" t="inlineStr">
        <is>
          <t>藥品、耳環等小物；分格</t>
        </is>
      </c>
      <c r="V54" s="2" t="inlineStr"/>
    </row>
    <row r="55">
      <c r="A55" s="2" t="inlineStr">
        <is>
          <t>MUJI-054</t>
        </is>
      </c>
      <c r="B55" s="2" t="inlineStr">
        <is>
          <t>MUJI</t>
        </is>
      </c>
      <c r="C55" s="2" t="inlineStr">
        <is>
          <t>聚丙烯小物盒</t>
        </is>
      </c>
      <c r="D55" s="2" t="inlineStr">
        <is>
          <t>聚丙烯藥盒/L</t>
        </is>
      </c>
      <c r="E55" s="2" t="inlineStr">
        <is>
          <t>4550182202915</t>
        </is>
      </c>
      <c r="F55" s="2" t="n">
        <v>6.6</v>
      </c>
      <c r="G55" s="2" t="n">
        <v>17</v>
      </c>
      <c r="H55" s="2" t="n">
        <v>2</v>
      </c>
      <c r="I55" s="2" t="n"/>
      <c r="J55" s="2" t="n"/>
      <c r="K55" s="2" t="n"/>
      <c r="L55" s="2" t="inlineStr">
        <is>
          <t>聚丙烯</t>
        </is>
      </c>
      <c r="M55" s="2" t="inlineStr"/>
      <c r="N55" s="2" t="inlineStr"/>
      <c r="O55" s="2" t="inlineStr"/>
      <c r="P55" s="2" t="n">
        <v>99</v>
      </c>
      <c r="Q55" s="2" t="inlineStr">
        <is>
          <t>2026-10-26</t>
        </is>
      </c>
      <c r="R55" s="3" t="inlineStr">
        <is>
          <t>https://shop.muji.tw/SalePage/Index/8920727</t>
        </is>
      </c>
      <c r="S55" s="2" t="inlineStr">
        <is>
          <t>官網</t>
        </is>
      </c>
      <c r="T55" s="2" t="inlineStr">
        <is>
          <t>high</t>
        </is>
      </c>
      <c r="U55" s="2" t="inlineStr">
        <is>
          <t>藥丸、耳環等；耐熱80℃</t>
        </is>
      </c>
      <c r="V55" s="2" t="inlineStr"/>
    </row>
    <row r="56">
      <c r="A56" s="2" t="inlineStr">
        <is>
          <t>MUJI-055</t>
        </is>
      </c>
      <c r="B56" s="2" t="inlineStr">
        <is>
          <t>MUJI</t>
        </is>
      </c>
      <c r="C56" s="2" t="inlineStr">
        <is>
          <t>壓克力收納</t>
        </is>
      </c>
      <c r="D56" s="2" t="inlineStr">
        <is>
          <t>可堆疊壓克力抽屜盒/2層</t>
        </is>
      </c>
      <c r="E56" s="2" t="inlineStr">
        <is>
          <t>4945247380910</t>
        </is>
      </c>
      <c r="F56" s="2" t="n">
        <v>17.5</v>
      </c>
      <c r="G56" s="2" t="n">
        <v>13</v>
      </c>
      <c r="H56" s="2" t="n">
        <v>9.5</v>
      </c>
      <c r="I56" s="2" t="n"/>
      <c r="J56" s="2" t="n"/>
      <c r="K56" s="2" t="n"/>
      <c r="L56" s="2" t="inlineStr">
        <is>
          <t>丙烯系樹脂(壓克力)</t>
        </is>
      </c>
      <c r="M56" s="2" t="inlineStr">
        <is>
          <t>透明</t>
        </is>
      </c>
      <c r="N56" s="2" t="inlineStr">
        <is>
          <t>Y</t>
        </is>
      </c>
      <c r="O56" s="2" t="inlineStr">
        <is>
          <t>N</t>
        </is>
      </c>
      <c r="P56" s="2" t="n">
        <v>469</v>
      </c>
      <c r="Q56" s="2" t="inlineStr">
        <is>
          <t>2026-10-26</t>
        </is>
      </c>
      <c r="R56" s="3" t="inlineStr">
        <is>
          <t>https://shop.muji.tw/SalePage/Index/8916844</t>
        </is>
      </c>
      <c r="S56" s="2" t="inlineStr">
        <is>
          <t>官網</t>
        </is>
      </c>
      <c r="T56" s="2" t="inlineStr">
        <is>
          <t>high</t>
        </is>
      </c>
      <c r="U56" s="2" t="inlineStr">
        <is>
          <t>可堆疊；可放入灰絨內盒.可堆疊(15.5×12×2.5cm)</t>
        </is>
      </c>
      <c r="V56" s="2" t="inlineStr"/>
    </row>
    <row r="57">
      <c r="A57" s="2" t="inlineStr">
        <is>
          <t>MUJI-056</t>
        </is>
      </c>
      <c r="B57" s="2" t="inlineStr">
        <is>
          <t>MUJI</t>
        </is>
      </c>
      <c r="C57" s="2" t="inlineStr">
        <is>
          <t>壓克力收納</t>
        </is>
      </c>
      <c r="D57" s="2" t="inlineStr">
        <is>
          <t>可堆疊壓克力附蓋抽屜盒/2層</t>
        </is>
      </c>
      <c r="E57" s="2" t="inlineStr">
        <is>
          <t>4945247380965</t>
        </is>
      </c>
      <c r="F57" s="2" t="n">
        <v>17.5</v>
      </c>
      <c r="G57" s="2" t="n">
        <v>13</v>
      </c>
      <c r="H57" s="2" t="n">
        <v>9.5</v>
      </c>
      <c r="I57" s="2" t="n"/>
      <c r="J57" s="2" t="n"/>
      <c r="K57" s="2" t="n"/>
      <c r="L57" s="2" t="inlineStr">
        <is>
          <t>丙烯系樹脂(壓克力)</t>
        </is>
      </c>
      <c r="M57" s="2" t="inlineStr">
        <is>
          <t>透明</t>
        </is>
      </c>
      <c r="N57" s="2" t="inlineStr">
        <is>
          <t>Y</t>
        </is>
      </c>
      <c r="O57" s="2" t="inlineStr">
        <is>
          <t>Y</t>
        </is>
      </c>
      <c r="P57" s="2" t="n">
        <v>499</v>
      </c>
      <c r="Q57" s="2" t="inlineStr">
        <is>
          <t>2026-10-26</t>
        </is>
      </c>
      <c r="R57" s="3" t="inlineStr">
        <is>
          <t>https://shop.muji.tw/SalePage/Index/8916855</t>
        </is>
      </c>
      <c r="S57" s="2" t="inlineStr">
        <is>
          <t>官網</t>
        </is>
      </c>
      <c r="T57" s="2" t="inlineStr">
        <is>
          <t>high</t>
        </is>
      </c>
      <c r="U57" s="2" t="inlineStr">
        <is>
          <t>上層掀蓋+下層抽屜；可與同系列堆疊</t>
        </is>
      </c>
      <c r="V57" s="2" t="inlineStr"/>
    </row>
    <row r="58">
      <c r="A58" s="2" t="inlineStr">
        <is>
          <t>MUJI-057</t>
        </is>
      </c>
      <c r="B58" s="2" t="inlineStr">
        <is>
          <t>MUJI</t>
        </is>
      </c>
      <c r="C58" s="2" t="inlineStr">
        <is>
          <t>壓克力收納</t>
        </is>
      </c>
      <c r="D58" s="2" t="inlineStr">
        <is>
          <t>可堆疊壓克力抽屜盒.2層.大</t>
        </is>
      </c>
      <c r="E58" s="2" t="inlineStr">
        <is>
          <t>4550182998283</t>
        </is>
      </c>
      <c r="F58" s="2" t="n">
        <v>25.5</v>
      </c>
      <c r="G58" s="2" t="n">
        <v>17</v>
      </c>
      <c r="H58" s="2" t="n">
        <v>9.5</v>
      </c>
      <c r="I58" s="2" t="n"/>
      <c r="J58" s="2" t="n"/>
      <c r="K58" s="2" t="n"/>
      <c r="L58" s="2" t="inlineStr">
        <is>
          <t>丙烯系樹脂(壓克力)</t>
        </is>
      </c>
      <c r="M58" s="2" t="inlineStr">
        <is>
          <t>透明</t>
        </is>
      </c>
      <c r="N58" s="2" t="inlineStr">
        <is>
          <t>Y</t>
        </is>
      </c>
      <c r="O58" s="2" t="inlineStr">
        <is>
          <t>N</t>
        </is>
      </c>
      <c r="P58" s="2" t="n">
        <v>669</v>
      </c>
      <c r="Q58" s="2" t="inlineStr">
        <is>
          <t>2026-10-26</t>
        </is>
      </c>
      <c r="R58" s="3" t="inlineStr">
        <is>
          <t>https://shop.muji.tw/SalePage/Index/8916856</t>
        </is>
      </c>
      <c r="S58" s="2" t="inlineStr">
        <is>
          <t>官網</t>
        </is>
      </c>
      <c r="T58" s="2" t="inlineStr">
        <is>
          <t>high</t>
        </is>
      </c>
      <c r="U58" s="2" t="inlineStr">
        <is>
          <t>同系列同尺寸最多堆疊2個；可放入灰絨內盒.可堆疊×2個或灰絨內盒.可堆疊.大×1個</t>
        </is>
      </c>
      <c r="V58" s="2" t="inlineStr"/>
    </row>
    <row r="59">
      <c r="A59" s="2" t="inlineStr">
        <is>
          <t>MUJI-058</t>
        </is>
      </c>
      <c r="B59" s="2" t="inlineStr">
        <is>
          <t>MUJI</t>
        </is>
      </c>
      <c r="C59" s="2" t="inlineStr">
        <is>
          <t>壓克力收納</t>
        </is>
      </c>
      <c r="D59" s="2" t="inlineStr">
        <is>
          <t>可堆疊壓克力附蓋抽屜盒.2層.大</t>
        </is>
      </c>
      <c r="E59" s="2" t="inlineStr">
        <is>
          <t>4550182998290</t>
        </is>
      </c>
      <c r="F59" s="2" t="n">
        <v>25.5</v>
      </c>
      <c r="G59" s="2" t="n">
        <v>17</v>
      </c>
      <c r="H59" s="2" t="n">
        <v>9.5</v>
      </c>
      <c r="I59" s="2" t="n"/>
      <c r="J59" s="2" t="n"/>
      <c r="K59" s="2" t="n"/>
      <c r="L59" s="2" t="inlineStr">
        <is>
          <t>丙烯系樹脂(壓克力)</t>
        </is>
      </c>
      <c r="M59" s="2" t="inlineStr">
        <is>
          <t>透明</t>
        </is>
      </c>
      <c r="N59" s="2" t="inlineStr">
        <is>
          <t>Y</t>
        </is>
      </c>
      <c r="O59" s="2" t="inlineStr">
        <is>
          <t>Y</t>
        </is>
      </c>
      <c r="P59" s="2" t="n">
        <v>699</v>
      </c>
      <c r="Q59" s="2" t="inlineStr">
        <is>
          <t>2026-10-26</t>
        </is>
      </c>
      <c r="R59" s="3" t="inlineStr">
        <is>
          <t>https://shop.muji.tw/SalePage/Index/8916862</t>
        </is>
      </c>
      <c r="S59" s="2" t="inlineStr">
        <is>
          <t>官網</t>
        </is>
      </c>
      <c r="T59" s="2" t="inlineStr">
        <is>
          <t>high</t>
        </is>
      </c>
      <c r="U59" s="2" t="inlineStr">
        <is>
          <t>上層可掀蓋；同系列同尺寸最多堆疊2個；可搭配灰絨內盒</t>
        </is>
      </c>
      <c r="V59" s="2" t="inlineStr"/>
    </row>
    <row r="60">
      <c r="A60" s="2" t="inlineStr">
        <is>
          <t>MUJI-059</t>
        </is>
      </c>
      <c r="B60" s="2" t="inlineStr">
        <is>
          <t>MUJI</t>
        </is>
      </c>
      <c r="C60" s="2" t="inlineStr">
        <is>
          <t>壓克力收納</t>
        </is>
      </c>
      <c r="D60" s="2" t="inlineStr">
        <is>
          <t>壓克力小物收納盒/3層</t>
        </is>
      </c>
      <c r="E60" s="2" t="inlineStr">
        <is>
          <t>4934761798202</t>
        </is>
      </c>
      <c r="F60" s="2" t="n">
        <v>8.699999999999999</v>
      </c>
      <c r="G60" s="2" t="n">
        <v>17</v>
      </c>
      <c r="H60" s="2" t="n">
        <v>25.2</v>
      </c>
      <c r="I60" s="2" t="n"/>
      <c r="J60" s="2" t="n"/>
      <c r="K60" s="2" t="n"/>
      <c r="L60" s="2" t="inlineStr">
        <is>
          <t>丙烯系樹脂(壓克力)</t>
        </is>
      </c>
      <c r="M60" s="2" t="inlineStr">
        <is>
          <t>透明</t>
        </is>
      </c>
      <c r="N60" s="2" t="inlineStr"/>
      <c r="O60" s="2" t="inlineStr">
        <is>
          <t>N</t>
        </is>
      </c>
      <c r="P60" s="2" t="n">
        <v>849</v>
      </c>
      <c r="Q60" s="2" t="inlineStr">
        <is>
          <t>2026-10-26</t>
        </is>
      </c>
      <c r="R60" s="3" t="inlineStr">
        <is>
          <t>https://shop.muji.tw/SalePage/Index/8916860</t>
        </is>
      </c>
      <c r="S60" s="2" t="inlineStr">
        <is>
          <t>官網</t>
        </is>
      </c>
      <c r="T60" s="2" t="inlineStr">
        <is>
          <t>high</t>
        </is>
      </c>
      <c r="U60" s="2" t="inlineStr">
        <is>
          <t>官方規格約87×170×252mm；可改變抽屜方向縱、橫放置；與壓克力小物收納盒/6層同高</t>
        </is>
      </c>
      <c r="V60" s="2" t="inlineStr"/>
    </row>
    <row r="61">
      <c r="A61" s="2" t="inlineStr">
        <is>
          <t>MUJI-060</t>
        </is>
      </c>
      <c r="B61" s="2" t="inlineStr">
        <is>
          <t>MUJI</t>
        </is>
      </c>
      <c r="C61" s="2" t="inlineStr">
        <is>
          <t>壓克力收納</t>
        </is>
      </c>
      <c r="D61" s="2" t="inlineStr">
        <is>
          <t>壓克力小物收納盒/6層</t>
        </is>
      </c>
      <c r="E61" s="2" t="inlineStr">
        <is>
          <t>4549337268142</t>
        </is>
      </c>
      <c r="F61" s="2" t="n">
        <v>8.699999999999999</v>
      </c>
      <c r="G61" s="2" t="n">
        <v>17</v>
      </c>
      <c r="H61" s="2" t="n">
        <v>25.2</v>
      </c>
      <c r="I61" s="2" t="n"/>
      <c r="J61" s="2" t="n"/>
      <c r="K61" s="2" t="n"/>
      <c r="L61" s="2" t="inlineStr">
        <is>
          <t>丙烯系樹脂(壓克力)</t>
        </is>
      </c>
      <c r="M61" s="2" t="inlineStr">
        <is>
          <t>透明</t>
        </is>
      </c>
      <c r="N61" s="2" t="inlineStr"/>
      <c r="O61" s="2" t="inlineStr">
        <is>
          <t>N</t>
        </is>
      </c>
      <c r="P61" s="2" t="n">
        <v>999</v>
      </c>
      <c r="Q61" s="2" t="inlineStr">
        <is>
          <t>2026-10-26</t>
        </is>
      </c>
      <c r="R61" s="3" t="inlineStr">
        <is>
          <t>https://shop.muji.tw/SalePage/Index/8916943</t>
        </is>
      </c>
      <c r="S61" s="2" t="inlineStr">
        <is>
          <t>官網</t>
        </is>
      </c>
      <c r="T61" s="2" t="inlineStr">
        <is>
          <t>high</t>
        </is>
      </c>
      <c r="U61" s="2" t="inlineStr">
        <is>
          <t>官方規格約87×170×252mm；設計成與MDF收納盒、小物收納盒/3層同高</t>
        </is>
      </c>
      <c r="V61" s="2" t="inlineStr"/>
    </row>
    <row r="62">
      <c r="A62" s="2" t="inlineStr">
        <is>
          <t>MUJI-061</t>
        </is>
      </c>
      <c r="B62" s="2" t="inlineStr">
        <is>
          <t>MUJI</t>
        </is>
      </c>
      <c r="C62" s="2" t="inlineStr">
        <is>
          <t>壓克力收納</t>
        </is>
      </c>
      <c r="D62" s="2" t="inlineStr">
        <is>
          <t>壓克力眼鏡小物收納架/4層</t>
        </is>
      </c>
      <c r="E62" s="2" t="inlineStr">
        <is>
          <t>4934761174280</t>
        </is>
      </c>
      <c r="F62" s="2" t="n">
        <v>6.7</v>
      </c>
      <c r="G62" s="2" t="n">
        <v>17.5</v>
      </c>
      <c r="H62" s="2" t="n">
        <v>25</v>
      </c>
      <c r="I62" s="2" t="n"/>
      <c r="J62" s="2" t="n"/>
      <c r="K62" s="2" t="n"/>
      <c r="L62" s="2" t="inlineStr">
        <is>
          <t>丙烯系樹脂(壓克力)</t>
        </is>
      </c>
      <c r="M62" s="2" t="inlineStr">
        <is>
          <t>透明</t>
        </is>
      </c>
      <c r="N62" s="2" t="inlineStr"/>
      <c r="O62" s="2" t="inlineStr">
        <is>
          <t>N</t>
        </is>
      </c>
      <c r="P62" s="2" t="n">
        <v>649</v>
      </c>
      <c r="Q62" s="2" t="inlineStr">
        <is>
          <t>2026-10-26</t>
        </is>
      </c>
      <c r="R62" s="3" t="inlineStr">
        <is>
          <t>https://shop.muji.tw/SalePage/Index/8916851</t>
        </is>
      </c>
      <c r="S62" s="2" t="inlineStr">
        <is>
          <t>官網</t>
        </is>
      </c>
      <c r="T62" s="2" t="inlineStr">
        <is>
          <t>high</t>
        </is>
      </c>
      <c r="U62" s="2" t="inlineStr">
        <is>
          <t>4層抽屜，可縱橫放置；專用灰絨內盒/小物用(約5×16.5×2cm)另售</t>
        </is>
      </c>
      <c r="V62" s="2" t="inlineStr"/>
    </row>
    <row r="63">
      <c r="A63" s="2" t="inlineStr">
        <is>
          <t>MUJI-062</t>
        </is>
      </c>
      <c r="B63" s="2" t="inlineStr">
        <is>
          <t>MUJI</t>
        </is>
      </c>
      <c r="C63" s="2" t="inlineStr">
        <is>
          <t>壓克力收納</t>
        </is>
      </c>
      <c r="D63" s="2" t="inlineStr">
        <is>
          <t>壓克力項鍊耳環收納架</t>
        </is>
      </c>
      <c r="E63" s="2" t="inlineStr">
        <is>
          <t>4548718958207</t>
        </is>
      </c>
      <c r="F63" s="2" t="n">
        <v>6.7</v>
      </c>
      <c r="G63" s="2" t="n">
        <v>13</v>
      </c>
      <c r="H63" s="2" t="n">
        <v>25</v>
      </c>
      <c r="I63" s="2" t="n"/>
      <c r="J63" s="2" t="n"/>
      <c r="K63" s="2" t="n"/>
      <c r="L63" s="2" t="inlineStr">
        <is>
          <t>丙烯系樹脂(壓克力)</t>
        </is>
      </c>
      <c r="M63" s="2" t="inlineStr">
        <is>
          <t>透明</t>
        </is>
      </c>
      <c r="N63" s="2" t="inlineStr"/>
      <c r="O63" s="2" t="inlineStr">
        <is>
          <t>N</t>
        </is>
      </c>
      <c r="P63" s="2" t="n">
        <v>499</v>
      </c>
      <c r="Q63" s="2" t="inlineStr">
        <is>
          <t>2026-10-26</t>
        </is>
      </c>
      <c r="R63" s="3" t="inlineStr">
        <is>
          <t>https://shop.muji.tw/SalePage/Index/8916847</t>
        </is>
      </c>
      <c r="S63" s="2" t="inlineStr">
        <is>
          <t>官網</t>
        </is>
      </c>
      <c r="T63" s="2" t="inlineStr">
        <is>
          <t>high</t>
        </is>
      </c>
      <c r="U63" s="2" t="inlineStr">
        <is>
          <t>可吊掛項鍊耳環；專用灰絨內盒/戒指用(約5×12×2cm)另售</t>
        </is>
      </c>
      <c r="V63" s="2" t="inlineStr"/>
    </row>
    <row r="64">
      <c r="A64" s="2" t="inlineStr">
        <is>
          <t>MUJI-063</t>
        </is>
      </c>
      <c r="B64" s="2" t="inlineStr">
        <is>
          <t>MUJI</t>
        </is>
      </c>
      <c r="C64" s="2" t="inlineStr">
        <is>
          <t>壓克力收納</t>
        </is>
      </c>
      <c r="D64" s="2" t="inlineStr">
        <is>
          <t>壓克力項鍊耳環收納/左右對開型</t>
        </is>
      </c>
      <c r="E64" s="2" t="inlineStr">
        <is>
          <t>4549738671480</t>
        </is>
      </c>
      <c r="F64" s="2" t="n">
        <v>17.5</v>
      </c>
      <c r="G64" s="2" t="n">
        <v>8.800000000000001</v>
      </c>
      <c r="H64" s="2" t="n">
        <v>25</v>
      </c>
      <c r="I64" s="2" t="n"/>
      <c r="J64" s="2" t="n"/>
      <c r="K64" s="2" t="n"/>
      <c r="L64" s="2" t="inlineStr">
        <is>
          <t>丙烯系樹脂(壓克力)</t>
        </is>
      </c>
      <c r="M64" s="2" t="inlineStr">
        <is>
          <t>透明</t>
        </is>
      </c>
      <c r="N64" s="2" t="inlineStr"/>
      <c r="O64" s="2" t="inlineStr">
        <is>
          <t>N</t>
        </is>
      </c>
      <c r="P64" s="2" t="n">
        <v>629</v>
      </c>
      <c r="Q64" s="2" t="inlineStr">
        <is>
          <t>2026-10-26</t>
        </is>
      </c>
      <c r="R64" s="3" t="inlineStr">
        <is>
          <t>https://shop.muji.tw/SalePage/Index/8916846</t>
        </is>
      </c>
      <c r="S64" s="2" t="inlineStr">
        <is>
          <t>官網</t>
        </is>
      </c>
      <c r="T64" s="2" t="inlineStr">
        <is>
          <t>high</t>
        </is>
      </c>
      <c r="U64" s="2" t="inlineStr">
        <is>
          <t>左右對開；專用灰絨內盒(戒指用/小物用，約16.7×3.7×2cm)另售</t>
        </is>
      </c>
      <c r="V64" s="2" t="inlineStr"/>
    </row>
    <row r="65">
      <c r="A65" s="2" t="inlineStr">
        <is>
          <t>MUJI-064</t>
        </is>
      </c>
      <c r="B65" s="2" t="inlineStr">
        <is>
          <t>MUJI</t>
        </is>
      </c>
      <c r="C65" s="2" t="inlineStr">
        <is>
          <t>壓克力收納</t>
        </is>
      </c>
      <c r="D65" s="2" t="inlineStr">
        <is>
          <t>壓克力展示盒(附門).小</t>
        </is>
      </c>
      <c r="E65" s="2" t="inlineStr">
        <is>
          <t>4550002856120</t>
        </is>
      </c>
      <c r="F65" s="2" t="n">
        <v>25.2</v>
      </c>
      <c r="G65" s="2" t="n">
        <v>8.4</v>
      </c>
      <c r="H65" s="2" t="n">
        <v>18.4</v>
      </c>
      <c r="I65" s="2" t="n"/>
      <c r="J65" s="2" t="n"/>
      <c r="K65" s="2" t="n"/>
      <c r="L65" s="2" t="inlineStr">
        <is>
          <t>丙烯樹脂(壓克力)</t>
        </is>
      </c>
      <c r="M65" s="2" t="inlineStr">
        <is>
          <t>透明</t>
        </is>
      </c>
      <c r="N65" s="2" t="inlineStr"/>
      <c r="O65" s="2" t="inlineStr">
        <is>
          <t>N</t>
        </is>
      </c>
      <c r="P65" s="2" t="n">
        <v>699</v>
      </c>
      <c r="Q65" s="2" t="inlineStr">
        <is>
          <t>2026-10-26</t>
        </is>
      </c>
      <c r="R65" s="3" t="inlineStr">
        <is>
          <t>https://shop.muji.tw/SalePage/Index/8916854</t>
        </is>
      </c>
      <c r="S65" s="2" t="inlineStr">
        <is>
          <t>官網</t>
        </is>
      </c>
      <c r="T65" s="2" t="inlineStr">
        <is>
          <t>high</t>
        </is>
      </c>
      <c r="U65" s="2" t="inlineStr">
        <is>
          <t>附門展示收納；可改變擺放方向</t>
        </is>
      </c>
      <c r="V65" s="2" t="inlineStr"/>
    </row>
    <row r="66">
      <c r="A66" s="2" t="inlineStr">
        <is>
          <t>MUJI-065</t>
        </is>
      </c>
      <c r="B66" s="2" t="inlineStr">
        <is>
          <t>MUJI</t>
        </is>
      </c>
      <c r="C66" s="2" t="inlineStr">
        <is>
          <t>壓克力收納</t>
        </is>
      </c>
      <c r="D66" s="2" t="inlineStr">
        <is>
          <t>壓克力展示盒(附門).大</t>
        </is>
      </c>
      <c r="E66" s="2" t="inlineStr">
        <is>
          <t>4550002856113</t>
        </is>
      </c>
      <c r="F66" s="2" t="n">
        <v>33.6</v>
      </c>
      <c r="G66" s="2" t="n">
        <v>8.4</v>
      </c>
      <c r="H66" s="2" t="n">
        <v>24.4</v>
      </c>
      <c r="I66" s="2" t="n"/>
      <c r="J66" s="2" t="n"/>
      <c r="K66" s="2" t="n"/>
      <c r="L66" s="2" t="inlineStr">
        <is>
          <t>丙烯樹脂(壓克力)</t>
        </is>
      </c>
      <c r="M66" s="2" t="inlineStr">
        <is>
          <t>透明</t>
        </is>
      </c>
      <c r="N66" s="2" t="inlineStr"/>
      <c r="O66" s="2" t="inlineStr">
        <is>
          <t>N</t>
        </is>
      </c>
      <c r="P66" s="2" t="n">
        <v>799</v>
      </c>
      <c r="Q66" s="2" t="inlineStr">
        <is>
          <t>2026-10-26</t>
        </is>
      </c>
      <c r="R66" s="3" t="inlineStr">
        <is>
          <t>https://shop.muji.tw/SalePage/Index/8916857</t>
        </is>
      </c>
      <c r="S66" s="2" t="inlineStr">
        <is>
          <t>官網</t>
        </is>
      </c>
      <c r="T66" s="2" t="inlineStr">
        <is>
          <t>high</t>
        </is>
      </c>
      <c r="U66" s="2" t="inlineStr">
        <is>
          <t>附門展示收納</t>
        </is>
      </c>
      <c r="V66" s="2" t="inlineStr"/>
    </row>
    <row r="67">
      <c r="A67" s="2" t="inlineStr">
        <is>
          <t>MUJI-066</t>
        </is>
      </c>
      <c r="B67" s="2" t="inlineStr">
        <is>
          <t>MUJI</t>
        </is>
      </c>
      <c r="C67" s="2" t="inlineStr">
        <is>
          <t>壓克力收納</t>
        </is>
      </c>
      <c r="D67" s="2" t="inlineStr">
        <is>
          <t>壓克力收納展示盒(4×4格)</t>
        </is>
      </c>
      <c r="E67" s="2" t="inlineStr">
        <is>
          <t>4945247381115</t>
        </is>
      </c>
      <c r="F67" s="2" t="n">
        <v>27.5</v>
      </c>
      <c r="G67" s="2" t="n">
        <v>7</v>
      </c>
      <c r="H67" s="2" t="n">
        <v>35</v>
      </c>
      <c r="I67" s="2" t="n"/>
      <c r="J67" s="2" t="n"/>
      <c r="K67" s="2" t="n"/>
      <c r="L67" s="2" t="inlineStr">
        <is>
          <t>丙烯系樹脂(壓克力)</t>
        </is>
      </c>
      <c r="M67" s="2" t="inlineStr">
        <is>
          <t>透明(背板不透明)</t>
        </is>
      </c>
      <c r="N67" s="2" t="inlineStr"/>
      <c r="O67" s="2" t="inlineStr">
        <is>
          <t>N</t>
        </is>
      </c>
      <c r="P67" s="2" t="n">
        <v>899</v>
      </c>
      <c r="Q67" s="2" t="inlineStr">
        <is>
          <t>2026-10-26</t>
        </is>
      </c>
      <c r="R67" s="3" t="inlineStr">
        <is>
          <t>https://shop.muji.tw/SalePage/Index/10258364</t>
        </is>
      </c>
      <c r="S67" s="2" t="inlineStr">
        <is>
          <t>官網</t>
        </is>
      </c>
      <c r="T67" s="2" t="inlineStr">
        <is>
          <t>high</t>
        </is>
      </c>
      <c r="U67" s="2" t="inlineStr">
        <is>
          <t>後側面板不透明，前後面板可拆</t>
        </is>
      </c>
      <c r="V67" s="2" t="inlineStr"/>
    </row>
    <row r="68">
      <c r="A68" s="2" t="inlineStr">
        <is>
          <t>MUJI-067</t>
        </is>
      </c>
      <c r="B68" s="2" t="inlineStr">
        <is>
          <t>MUJI</t>
        </is>
      </c>
      <c r="C68" s="2" t="inlineStr">
        <is>
          <t>壓克力收納</t>
        </is>
      </c>
      <c r="D68" s="2" t="inlineStr">
        <is>
          <t>壓克力小物容器</t>
        </is>
      </c>
      <c r="E68" s="2" t="inlineStr">
        <is>
          <t>4548076427438</t>
        </is>
      </c>
      <c r="F68" s="2" t="n">
        <v>9</v>
      </c>
      <c r="G68" s="2" t="n">
        <v>9</v>
      </c>
      <c r="H68" s="2" t="n">
        <v>9.699999999999999</v>
      </c>
      <c r="I68" s="2" t="n"/>
      <c r="J68" s="2" t="n"/>
      <c r="K68" s="2" t="n"/>
      <c r="L68" s="2" t="inlineStr">
        <is>
          <t>聚甲基丙烯酸甲酯(壓克力)</t>
        </is>
      </c>
      <c r="M68" s="2" t="inlineStr">
        <is>
          <t>透明</t>
        </is>
      </c>
      <c r="N68" s="2" t="inlineStr"/>
      <c r="O68" s="2" t="inlineStr">
        <is>
          <t>N</t>
        </is>
      </c>
      <c r="P68" s="2" t="n">
        <v>150</v>
      </c>
      <c r="Q68" s="2" t="inlineStr">
        <is>
          <t>2026-10-26</t>
        </is>
      </c>
      <c r="R68" s="3" t="inlineStr">
        <is>
          <t>https://shop.muji.tw/SalePage/Index/12006151</t>
        </is>
      </c>
      <c r="S68" s="2" t="inlineStr">
        <is>
          <t>官網</t>
        </is>
      </c>
      <c r="T68" s="2" t="inlineStr">
        <is>
          <t>high</t>
        </is>
      </c>
      <c r="U68" s="2" t="inlineStr">
        <is>
          <t>圓筒形，官方規格「直徑約90x97mm」，outer_w/d填直徑、outer_h填97mm(推定為高)；品號ODA59A6S</t>
        </is>
      </c>
      <c r="V68" s="2" t="inlineStr"/>
    </row>
    <row r="69">
      <c r="A69" s="2" t="inlineStr">
        <is>
          <t>MUJI-068</t>
        </is>
      </c>
      <c r="B69" s="2" t="inlineStr">
        <is>
          <t>MUJI</t>
        </is>
      </c>
      <c r="C69" s="2" t="inlineStr">
        <is>
          <t>壓克力收納</t>
        </is>
      </c>
      <c r="D69" s="2" t="inlineStr">
        <is>
          <t>壓克力小物容器/小</t>
        </is>
      </c>
      <c r="E69" s="2" t="inlineStr">
        <is>
          <t>4548076427445</t>
        </is>
      </c>
      <c r="F69" s="2" t="n">
        <v>7</v>
      </c>
      <c r="G69" s="2" t="n">
        <v>7</v>
      </c>
      <c r="H69" s="2" t="n">
        <v>9.699999999999999</v>
      </c>
      <c r="I69" s="2" t="n"/>
      <c r="J69" s="2" t="n"/>
      <c r="K69" s="2" t="n"/>
      <c r="L69" s="2" t="inlineStr">
        <is>
          <t>聚甲基丙烯酸甲酯(壓克力)</t>
        </is>
      </c>
      <c r="M69" s="2" t="inlineStr">
        <is>
          <t>透明</t>
        </is>
      </c>
      <c r="N69" s="2" t="inlineStr"/>
      <c r="O69" s="2" t="inlineStr">
        <is>
          <t>N</t>
        </is>
      </c>
      <c r="P69" s="2" t="n">
        <v>120</v>
      </c>
      <c r="Q69" s="2" t="inlineStr">
        <is>
          <t>2026-10-26</t>
        </is>
      </c>
      <c r="R69" s="3" t="inlineStr">
        <is>
          <t>https://shop.muji.tw/SalePage/Index/12006153</t>
        </is>
      </c>
      <c r="S69" s="2" t="inlineStr">
        <is>
          <t>官網</t>
        </is>
      </c>
      <c r="T69" s="2" t="inlineStr">
        <is>
          <t>high</t>
        </is>
      </c>
      <c r="U69" s="2" t="inlineStr">
        <is>
          <t>圓筒形，官方規格「直徑約70x97mm」，outer_w/d填直徑；品號ODA60A6S</t>
        </is>
      </c>
      <c r="V69" s="2" t="inlineStr"/>
    </row>
    <row r="70">
      <c r="A70" s="2" t="inlineStr">
        <is>
          <t>MUJI-069</t>
        </is>
      </c>
      <c r="B70" s="2" t="inlineStr">
        <is>
          <t>MUJI</t>
        </is>
      </c>
      <c r="C70" s="2" t="inlineStr">
        <is>
          <t>灰絨內盒</t>
        </is>
      </c>
      <c r="D70" s="2" t="inlineStr">
        <is>
          <t>灰絨內盒.可堆疊/格狀隔間</t>
        </is>
      </c>
      <c r="E70" s="2" t="inlineStr">
        <is>
          <t>4550344596517</t>
        </is>
      </c>
      <c r="F70" s="2" t="n">
        <v>15.5</v>
      </c>
      <c r="G70" s="2" t="n">
        <v>12</v>
      </c>
      <c r="H70" s="2" t="n">
        <v>2.5</v>
      </c>
      <c r="I70" s="2" t="n"/>
      <c r="J70" s="2" t="n"/>
      <c r="K70" s="2" t="n"/>
      <c r="L70" s="2" t="inlineStr">
        <is>
          <t>芯材聚苯乙烯、絨布表面</t>
        </is>
      </c>
      <c r="M70" s="2" t="inlineStr">
        <is>
          <t>灰</t>
        </is>
      </c>
      <c r="N70" s="2" t="inlineStr">
        <is>
          <t>Y</t>
        </is>
      </c>
      <c r="O70" s="2" t="inlineStr">
        <is>
          <t>N</t>
        </is>
      </c>
      <c r="P70" s="2" t="n">
        <v>269</v>
      </c>
      <c r="Q70" s="2" t="inlineStr">
        <is>
          <t>2026-10-26</t>
        </is>
      </c>
      <c r="R70" s="3" t="inlineStr">
        <is>
          <t>https://shop.muji.tw/SalePage/Index/8916850</t>
        </is>
      </c>
      <c r="S70" s="2" t="inlineStr">
        <is>
          <t>官網</t>
        </is>
      </c>
      <c r="T70" s="2" t="inlineStr">
        <is>
          <t>high</t>
        </is>
      </c>
      <c r="U70" s="2" t="inlineStr">
        <is>
          <t>可直接作抽屜隔間；可放入可堆疊壓克力抽屜盒.2層，大尺寸可放2個；可與縱型隔間款互疊，堆疊勿超過5個</t>
        </is>
      </c>
      <c r="V70" s="2" t="inlineStr"/>
    </row>
    <row r="71">
      <c r="A71" s="2" t="inlineStr">
        <is>
          <t>MUJI-070</t>
        </is>
      </c>
      <c r="B71" s="2" t="inlineStr">
        <is>
          <t>MUJI</t>
        </is>
      </c>
      <c r="C71" s="2" t="inlineStr">
        <is>
          <t>灰絨內盒</t>
        </is>
      </c>
      <c r="D71" s="2" t="inlineStr">
        <is>
          <t>灰絨內盒.可堆疊/縱型隔間</t>
        </is>
      </c>
      <c r="E71" s="2" t="inlineStr">
        <is>
          <t>4550344596524</t>
        </is>
      </c>
      <c r="F71" s="2" t="n">
        <v>15.5</v>
      </c>
      <c r="G71" s="2" t="n">
        <v>12</v>
      </c>
      <c r="H71" s="2" t="n">
        <v>2.5</v>
      </c>
      <c r="I71" s="2" t="n"/>
      <c r="J71" s="2" t="n"/>
      <c r="K71" s="2" t="n"/>
      <c r="L71" s="2" t="inlineStr">
        <is>
          <t>芯材聚苯乙烯、絨布表面</t>
        </is>
      </c>
      <c r="M71" s="2" t="inlineStr">
        <is>
          <t>灰</t>
        </is>
      </c>
      <c r="N71" s="2" t="inlineStr">
        <is>
          <t>Y</t>
        </is>
      </c>
      <c r="O71" s="2" t="inlineStr">
        <is>
          <t>N</t>
        </is>
      </c>
      <c r="P71" s="2" t="n">
        <v>139</v>
      </c>
      <c r="Q71" s="2" t="inlineStr">
        <is>
          <t>2026-10-26</t>
        </is>
      </c>
      <c r="R71" s="3" t="inlineStr">
        <is>
          <t>https://shop.muji.tw/SalePage/Index/8916872</t>
        </is>
      </c>
      <c r="S71" s="2" t="inlineStr">
        <is>
          <t>官網</t>
        </is>
      </c>
      <c r="T71" s="2" t="inlineStr">
        <is>
          <t>high</t>
        </is>
      </c>
      <c r="U71" s="2" t="inlineStr">
        <is>
          <t>可放入可堆疊壓克力抽屜盒.2層，大尺寸可放2個；堆疊勿超過5個</t>
        </is>
      </c>
      <c r="V71" s="2" t="inlineStr"/>
    </row>
    <row r="72">
      <c r="A72" s="2" t="inlineStr">
        <is>
          <t>MUJI-071</t>
        </is>
      </c>
      <c r="B72" s="2" t="inlineStr">
        <is>
          <t>MUJI</t>
        </is>
      </c>
      <c r="C72" s="2" t="inlineStr">
        <is>
          <t>灰絨內盒</t>
        </is>
      </c>
      <c r="D72" s="2" t="inlineStr">
        <is>
          <t>灰絨內盒.可堆疊.大/戒指小物用</t>
        </is>
      </c>
      <c r="E72" s="2" t="inlineStr">
        <is>
          <t>4550344596548</t>
        </is>
      </c>
      <c r="F72" s="2" t="n">
        <v>23.5</v>
      </c>
      <c r="G72" s="2" t="n">
        <v>15.5</v>
      </c>
      <c r="H72" s="2" t="n">
        <v>2.5</v>
      </c>
      <c r="I72" s="2" t="n"/>
      <c r="J72" s="2" t="n"/>
      <c r="K72" s="2" t="n"/>
      <c r="L72" s="2" t="inlineStr">
        <is>
          <t>芯材聚苯乙烯、絨布表面</t>
        </is>
      </c>
      <c r="M72" s="2" t="inlineStr">
        <is>
          <t>灰</t>
        </is>
      </c>
      <c r="N72" s="2" t="inlineStr">
        <is>
          <t>Y</t>
        </is>
      </c>
      <c r="O72" s="2" t="inlineStr">
        <is>
          <t>N</t>
        </is>
      </c>
      <c r="P72" s="2" t="n">
        <v>269</v>
      </c>
      <c r="Q72" s="2" t="inlineStr">
        <is>
          <t>2026-10-26</t>
        </is>
      </c>
      <c r="R72" s="3" t="inlineStr">
        <is>
          <t>https://shop.muji.tw/SalePage/Index/8916905</t>
        </is>
      </c>
      <c r="S72" s="2" t="inlineStr">
        <is>
          <t>官網</t>
        </is>
      </c>
      <c r="T72" s="2" t="inlineStr">
        <is>
          <t>high</t>
        </is>
      </c>
      <c r="U72" s="2" t="inlineStr">
        <is>
          <t>搭配可堆疊壓克力抽屜盒.2層.大可放1個；堆疊勿超過5個</t>
        </is>
      </c>
      <c r="V72" s="2" t="inlineStr"/>
    </row>
    <row r="73">
      <c r="A73" s="2" t="inlineStr">
        <is>
          <t>MUJI-072</t>
        </is>
      </c>
      <c r="B73" s="2" t="inlineStr">
        <is>
          <t>MUJI</t>
        </is>
      </c>
      <c r="C73" s="2" t="inlineStr">
        <is>
          <t>灰絨內盒</t>
        </is>
      </c>
      <c r="D73" s="2" t="inlineStr">
        <is>
          <t>灰絨內盒.可堆疊.大/項鍊收納用</t>
        </is>
      </c>
      <c r="E73" s="2" t="inlineStr">
        <is>
          <t>4550344596531</t>
        </is>
      </c>
      <c r="F73" s="2" t="n">
        <v>23.5</v>
      </c>
      <c r="G73" s="2" t="n">
        <v>15.5</v>
      </c>
      <c r="H73" s="2" t="n">
        <v>2.5</v>
      </c>
      <c r="I73" s="2" t="n"/>
      <c r="J73" s="2" t="n"/>
      <c r="K73" s="2" t="n"/>
      <c r="L73" s="2" t="inlineStr">
        <is>
          <t>芯材聚苯乙烯、絨布表面</t>
        </is>
      </c>
      <c r="M73" s="2" t="inlineStr">
        <is>
          <t>灰</t>
        </is>
      </c>
      <c r="N73" s="2" t="inlineStr">
        <is>
          <t>Y</t>
        </is>
      </c>
      <c r="O73" s="2" t="inlineStr">
        <is>
          <t>N</t>
        </is>
      </c>
      <c r="P73" s="2" t="n">
        <v>269</v>
      </c>
      <c r="Q73" s="2" t="inlineStr">
        <is>
          <t>2026-10-26</t>
        </is>
      </c>
      <c r="R73" s="3" t="inlineStr">
        <is>
          <t>https://shop.muji.tw/SalePage/Index/8916972</t>
        </is>
      </c>
      <c r="S73" s="2" t="inlineStr">
        <is>
          <t>官網</t>
        </is>
      </c>
      <c r="T73" s="2" t="inlineStr">
        <is>
          <t>high</t>
        </is>
      </c>
      <c r="U73" s="2" t="inlineStr">
        <is>
          <t>搭配可堆疊壓克力抽屜盒.2層.大可放1個；堆疊勿超過5個</t>
        </is>
      </c>
      <c r="V73" s="2" t="inlineStr"/>
    </row>
    <row r="74">
      <c r="A74" s="2" t="inlineStr">
        <is>
          <t>MUJI-073</t>
        </is>
      </c>
      <c r="B74" s="2" t="inlineStr">
        <is>
          <t>MUJI</t>
        </is>
      </c>
      <c r="C74" s="2" t="inlineStr">
        <is>
          <t>灰絨內盒</t>
        </is>
      </c>
      <c r="D74" s="2" t="inlineStr">
        <is>
          <t>灰絨內盒/戒指用(可對應壓克力項鍊耳環收納架)</t>
        </is>
      </c>
      <c r="E74" s="2" t="inlineStr">
        <is>
          <t>4550344596555</t>
        </is>
      </c>
      <c r="F74" s="2" t="n">
        <v>5</v>
      </c>
      <c r="G74" s="2" t="n">
        <v>12</v>
      </c>
      <c r="H74" s="2" t="n">
        <v>2</v>
      </c>
      <c r="I74" s="2" t="n"/>
      <c r="J74" s="2" t="n"/>
      <c r="K74" s="2" t="n"/>
      <c r="L74" s="2" t="inlineStr">
        <is>
          <t>芯材聚苯乙烯、絨布表面</t>
        </is>
      </c>
      <c r="M74" s="2" t="inlineStr">
        <is>
          <t>灰</t>
        </is>
      </c>
      <c r="N74" s="2" t="inlineStr"/>
      <c r="O74" s="2" t="inlineStr">
        <is>
          <t>N</t>
        </is>
      </c>
      <c r="P74" s="2" t="n">
        <v>139</v>
      </c>
      <c r="Q74" s="2" t="inlineStr">
        <is>
          <t>2026-10-26</t>
        </is>
      </c>
      <c r="R74" s="3" t="inlineStr">
        <is>
          <t>https://shop.muji.tw/SalePage/Index/8916884</t>
        </is>
      </c>
      <c r="S74" s="2" t="inlineStr">
        <is>
          <t>官網</t>
        </is>
      </c>
      <c r="T74" s="2" t="inlineStr">
        <is>
          <t>high</t>
        </is>
      </c>
      <c r="U74" s="2" t="inlineStr">
        <is>
          <t>壓克力項鍊耳環收納架專用</t>
        </is>
      </c>
      <c r="V74" s="2" t="inlineStr"/>
    </row>
    <row r="75">
      <c r="A75" s="2" t="inlineStr">
        <is>
          <t>MUJI-074</t>
        </is>
      </c>
      <c r="B75" s="2" t="inlineStr">
        <is>
          <t>MUJI</t>
        </is>
      </c>
      <c r="C75" s="2" t="inlineStr">
        <is>
          <t>灰絨內盒</t>
        </is>
      </c>
      <c r="D75" s="2" t="inlineStr">
        <is>
          <t>灰絨內盒/小物用(可對應壓克力眼鏡小物收納架)</t>
        </is>
      </c>
      <c r="E75" s="2" t="inlineStr">
        <is>
          <t>4550344596562</t>
        </is>
      </c>
      <c r="F75" s="2" t="n">
        <v>5</v>
      </c>
      <c r="G75" s="2" t="n">
        <v>16.5</v>
      </c>
      <c r="H75" s="2" t="n">
        <v>2</v>
      </c>
      <c r="I75" s="2" t="n"/>
      <c r="J75" s="2" t="n"/>
      <c r="K75" s="2" t="n"/>
      <c r="L75" s="2" t="inlineStr">
        <is>
          <t>芯材聚苯乙烯、絨布表面</t>
        </is>
      </c>
      <c r="M75" s="2" t="inlineStr">
        <is>
          <t>灰</t>
        </is>
      </c>
      <c r="N75" s="2" t="inlineStr"/>
      <c r="O75" s="2" t="inlineStr">
        <is>
          <t>N</t>
        </is>
      </c>
      <c r="P75" s="2" t="n">
        <v>139</v>
      </c>
      <c r="Q75" s="2" t="inlineStr">
        <is>
          <t>2026-10-26</t>
        </is>
      </c>
      <c r="R75" s="3" t="inlineStr">
        <is>
          <t>https://shop.muji.tw/SalePage/Index/8917043</t>
        </is>
      </c>
      <c r="S75" s="2" t="inlineStr">
        <is>
          <t>官網</t>
        </is>
      </c>
      <c r="T75" s="2" t="inlineStr">
        <is>
          <t>high</t>
        </is>
      </c>
      <c r="U75" s="2" t="inlineStr">
        <is>
          <t>壓克力眼鏡小物收納架/4層專用</t>
        </is>
      </c>
      <c r="V75" s="2" t="inlineStr"/>
    </row>
    <row r="76">
      <c r="A76" s="2" t="inlineStr">
        <is>
          <t>MUJI-075</t>
        </is>
      </c>
      <c r="B76" s="2" t="inlineStr">
        <is>
          <t>MUJI</t>
        </is>
      </c>
      <c r="C76" s="2" t="inlineStr">
        <is>
          <t>灰絨內盒</t>
        </is>
      </c>
      <c r="D76" s="2" t="inlineStr">
        <is>
          <t>灰絨內盒/戒指用(可對應壓克力項鍊耳環收納/左右對開型)</t>
        </is>
      </c>
      <c r="E76" s="2" t="inlineStr">
        <is>
          <t>4550344596579</t>
        </is>
      </c>
      <c r="F76" s="2" t="n">
        <v>16.7</v>
      </c>
      <c r="G76" s="2" t="n">
        <v>3.7</v>
      </c>
      <c r="H76" s="2" t="n">
        <v>2</v>
      </c>
      <c r="I76" s="2" t="n"/>
      <c r="J76" s="2" t="n"/>
      <c r="K76" s="2" t="n"/>
      <c r="L76" s="2" t="inlineStr">
        <is>
          <t>芯材聚苯乙烯、絨布表面</t>
        </is>
      </c>
      <c r="M76" s="2" t="inlineStr">
        <is>
          <t>灰</t>
        </is>
      </c>
      <c r="N76" s="2" t="inlineStr"/>
      <c r="O76" s="2" t="inlineStr">
        <is>
          <t>N</t>
        </is>
      </c>
      <c r="P76" s="2" t="n">
        <v>139</v>
      </c>
      <c r="Q76" s="2" t="inlineStr">
        <is>
          <t>2026-10-26</t>
        </is>
      </c>
      <c r="R76" s="3" t="inlineStr">
        <is>
          <t>https://shop.muji.tw/SalePage/Index/8916984</t>
        </is>
      </c>
      <c r="S76" s="2" t="inlineStr">
        <is>
          <t>官網</t>
        </is>
      </c>
      <c r="T76" s="2" t="inlineStr">
        <is>
          <t>high</t>
        </is>
      </c>
      <c r="U76" s="2" t="inlineStr">
        <is>
          <t>左右對開型專用</t>
        </is>
      </c>
      <c r="V76" s="2" t="inlineStr"/>
    </row>
    <row r="77">
      <c r="A77" s="2" t="inlineStr">
        <is>
          <t>MUJI-076</t>
        </is>
      </c>
      <c r="B77" s="2" t="inlineStr">
        <is>
          <t>MUJI</t>
        </is>
      </c>
      <c r="C77" s="2" t="inlineStr">
        <is>
          <t>灰絨內盒</t>
        </is>
      </c>
      <c r="D77" s="2" t="inlineStr">
        <is>
          <t>灰絨內盒/小物用(可對應壓克力項鍊耳環收納/左右對開型)</t>
        </is>
      </c>
      <c r="E77" s="2" t="inlineStr">
        <is>
          <t>4550344596586</t>
        </is>
      </c>
      <c r="F77" s="2" t="n">
        <v>16.7</v>
      </c>
      <c r="G77" s="2" t="n">
        <v>3.7</v>
      </c>
      <c r="H77" s="2" t="n">
        <v>2</v>
      </c>
      <c r="I77" s="2" t="n"/>
      <c r="J77" s="2" t="n"/>
      <c r="K77" s="2" t="n"/>
      <c r="L77" s="2" t="inlineStr">
        <is>
          <t>芯材聚苯乙烯、絨布表面</t>
        </is>
      </c>
      <c r="M77" s="2" t="inlineStr">
        <is>
          <t>灰</t>
        </is>
      </c>
      <c r="N77" s="2" t="inlineStr"/>
      <c r="O77" s="2" t="inlineStr">
        <is>
          <t>N</t>
        </is>
      </c>
      <c r="P77" s="2" t="n">
        <v>139</v>
      </c>
      <c r="Q77" s="2" t="inlineStr">
        <is>
          <t>2026-10-26</t>
        </is>
      </c>
      <c r="R77" s="3" t="inlineStr">
        <is>
          <t>https://shop.muji.tw/SalePage/Index/8917062</t>
        </is>
      </c>
      <c r="S77" s="2" t="inlineStr">
        <is>
          <t>官網</t>
        </is>
      </c>
      <c r="T77" s="2" t="inlineStr">
        <is>
          <t>high</t>
        </is>
      </c>
      <c r="U77" s="2" t="inlineStr">
        <is>
          <t>左右對開型專用</t>
        </is>
      </c>
      <c r="V77" s="2" t="inlineStr"/>
    </row>
    <row r="78">
      <c r="A78" s="2" t="inlineStr">
        <is>
          <t>MUJI-077</t>
        </is>
      </c>
      <c r="B78" s="2" t="inlineStr">
        <is>
          <t>MUJI</t>
        </is>
      </c>
      <c r="C78" s="2" t="inlineStr">
        <is>
          <t>軟質聚乙烯收納盒</t>
        </is>
      </c>
      <c r="D78" s="2" t="inlineStr">
        <is>
          <t>軟質聚乙烯收納盒/小</t>
        </is>
      </c>
      <c r="E78" s="2" t="inlineStr">
        <is>
          <t>4547315197835</t>
        </is>
      </c>
      <c r="F78" s="2" t="n">
        <v>25.5</v>
      </c>
      <c r="G78" s="2" t="n">
        <v>36</v>
      </c>
      <c r="H78" s="2" t="n">
        <v>8</v>
      </c>
      <c r="I78" s="2" t="n">
        <v>19</v>
      </c>
      <c r="J78" s="2" t="n">
        <v>30</v>
      </c>
      <c r="K78" s="2" t="n">
        <v>7</v>
      </c>
      <c r="L78" s="2" t="inlineStr">
        <is>
          <t>聚乙烯</t>
        </is>
      </c>
      <c r="M78" s="2" t="inlineStr"/>
      <c r="N78" s="2" t="inlineStr"/>
      <c r="O78" s="2" t="inlineStr">
        <is>
          <t>N</t>
        </is>
      </c>
      <c r="P78" s="2" t="n">
        <v>199</v>
      </c>
      <c r="Q78" s="2" t="inlineStr">
        <is>
          <t>2026-10-26</t>
        </is>
      </c>
      <c r="R78" s="3" t="inlineStr">
        <is>
          <t>https://shop.muji.tw/SalePage/Index/8920900</t>
        </is>
      </c>
      <c r="S78" s="2" t="inlineStr">
        <is>
          <t>官網</t>
        </is>
      </c>
      <c r="T78" s="2" t="inlineStr">
        <is>
          <t>high</t>
        </is>
      </c>
      <c r="U78" s="2" t="inlineStr">
        <is>
          <t>圓角軟質；耐水耐冷；可放入SUS層架、自由組合層架；另售軟質聚乙烯收納盒用蓋(約26×36.5×1.5cm，89元)</t>
        </is>
      </c>
      <c r="V78" s="2" t="inlineStr"/>
    </row>
    <row r="79">
      <c r="A79" s="2" t="inlineStr">
        <is>
          <t>MUJI-078</t>
        </is>
      </c>
      <c r="B79" s="2" t="inlineStr">
        <is>
          <t>MUJI</t>
        </is>
      </c>
      <c r="C79" s="2" t="inlineStr">
        <is>
          <t>軟質聚乙烯收納盒</t>
        </is>
      </c>
      <c r="D79" s="2" t="inlineStr">
        <is>
          <t>軟質聚乙烯收納盒/中</t>
        </is>
      </c>
      <c r="E79" s="2" t="inlineStr">
        <is>
          <t>4547315197842</t>
        </is>
      </c>
      <c r="F79" s="2" t="n">
        <v>25.5</v>
      </c>
      <c r="G79" s="2" t="n">
        <v>36</v>
      </c>
      <c r="H79" s="2" t="n">
        <v>16</v>
      </c>
      <c r="I79" s="2" t="n">
        <v>18.5</v>
      </c>
      <c r="J79" s="2" t="n">
        <v>29</v>
      </c>
      <c r="K79" s="2" t="n">
        <v>15</v>
      </c>
      <c r="L79" s="2" t="inlineStr">
        <is>
          <t>聚乙烯</t>
        </is>
      </c>
      <c r="M79" s="2" t="inlineStr"/>
      <c r="N79" s="2" t="inlineStr"/>
      <c r="O79" s="2" t="inlineStr">
        <is>
          <t>N</t>
        </is>
      </c>
      <c r="P79" s="2" t="n">
        <v>239</v>
      </c>
      <c r="Q79" s="2" t="inlineStr">
        <is>
          <t>2026-10-26</t>
        </is>
      </c>
      <c r="R79" s="3" t="inlineStr">
        <is>
          <t>https://shop.muji.tw/SalePage/Index/8920890</t>
        </is>
      </c>
      <c r="S79" s="2" t="inlineStr">
        <is>
          <t>官網</t>
        </is>
      </c>
      <c r="T79" s="2" t="inlineStr">
        <is>
          <t>high</t>
        </is>
      </c>
      <c r="U79" s="2" t="inlineStr">
        <is>
          <t>圓角軟質；耐水耐冷；可放入SUS層架、自由組合層架；另售用蓋(89元)</t>
        </is>
      </c>
      <c r="V79" s="2" t="inlineStr"/>
    </row>
    <row r="80">
      <c r="A80" s="2" t="inlineStr">
        <is>
          <t>MUJI-079</t>
        </is>
      </c>
      <c r="B80" s="2" t="inlineStr">
        <is>
          <t>MUJI</t>
        </is>
      </c>
      <c r="C80" s="2" t="inlineStr">
        <is>
          <t>軟質聚乙烯收納盒</t>
        </is>
      </c>
      <c r="D80" s="2" t="inlineStr">
        <is>
          <t>軟質聚乙烯收納盒/大</t>
        </is>
      </c>
      <c r="E80" s="2" t="inlineStr">
        <is>
          <t>4547315197859</t>
        </is>
      </c>
      <c r="F80" s="2" t="n">
        <v>25.5</v>
      </c>
      <c r="G80" s="2" t="n">
        <v>36</v>
      </c>
      <c r="H80" s="2" t="n">
        <v>24</v>
      </c>
      <c r="I80" s="2" t="n">
        <v>18</v>
      </c>
      <c r="J80" s="2" t="n">
        <v>30</v>
      </c>
      <c r="K80" s="2" t="n">
        <v>23</v>
      </c>
      <c r="L80" s="2" t="inlineStr">
        <is>
          <t>聚乙烯</t>
        </is>
      </c>
      <c r="M80" s="2" t="inlineStr"/>
      <c r="N80" s="2" t="inlineStr">
        <is>
          <t>Y</t>
        </is>
      </c>
      <c r="O80" s="2" t="inlineStr">
        <is>
          <t>N</t>
        </is>
      </c>
      <c r="P80" s="2" t="n">
        <v>299</v>
      </c>
      <c r="Q80" s="2" t="inlineStr">
        <is>
          <t>2026-10-26</t>
        </is>
      </c>
      <c r="R80" s="3" t="inlineStr">
        <is>
          <t>https://shop.muji.tw/SalePage/Index/8920870</t>
        </is>
      </c>
      <c r="S80" s="2" t="inlineStr">
        <is>
          <t>官網</t>
        </is>
      </c>
      <c r="T80" s="2" t="inlineStr">
        <is>
          <t>high</t>
        </is>
      </c>
      <c r="U80" s="2" t="inlineStr">
        <is>
          <t>圓角軟質；耐水耐冷；可放入SUS層架、自由組合層架；型錄標示可堆疊2層(需加購專用蓋)；另售用蓋(89元)</t>
        </is>
      </c>
      <c r="V80" s="2" t="inlineStr"/>
    </row>
    <row r="81">
      <c r="A81" s="2" t="inlineStr">
        <is>
          <t>MUJI-080</t>
        </is>
      </c>
      <c r="B81" s="2" t="inlineStr">
        <is>
          <t>MUJI</t>
        </is>
      </c>
      <c r="C81" s="2" t="inlineStr">
        <is>
          <t>軟質聚乙烯收納盒</t>
        </is>
      </c>
      <c r="D81" s="2" t="inlineStr">
        <is>
          <t>軟質聚乙烯收納盒/深</t>
        </is>
      </c>
      <c r="E81" s="2" t="inlineStr">
        <is>
          <t>4547315197804</t>
        </is>
      </c>
      <c r="F81" s="2" t="n">
        <v>25.5</v>
      </c>
      <c r="G81" s="2" t="n">
        <v>36</v>
      </c>
      <c r="H81" s="2" t="n">
        <v>32</v>
      </c>
      <c r="I81" s="2" t="n">
        <v>17</v>
      </c>
      <c r="J81" s="2" t="n">
        <v>27</v>
      </c>
      <c r="K81" s="2" t="n">
        <v>31</v>
      </c>
      <c r="L81" s="2" t="inlineStr">
        <is>
          <t>聚乙烯</t>
        </is>
      </c>
      <c r="M81" s="2" t="inlineStr"/>
      <c r="N81" s="2" t="inlineStr">
        <is>
          <t>Y</t>
        </is>
      </c>
      <c r="O81" s="2" t="inlineStr">
        <is>
          <t>N</t>
        </is>
      </c>
      <c r="P81" s="2" t="n">
        <v>399</v>
      </c>
      <c r="Q81" s="2" t="inlineStr">
        <is>
          <t>2026-10-26</t>
        </is>
      </c>
      <c r="R81" s="3" t="inlineStr">
        <is>
          <t>https://shop.muji.tw/SalePage/Index/8920892</t>
        </is>
      </c>
      <c r="S81" s="2" t="inlineStr">
        <is>
          <t>官網</t>
        </is>
      </c>
      <c r="T81" s="2" t="inlineStr">
        <is>
          <t>high</t>
        </is>
      </c>
      <c r="U81" s="2" t="inlineStr">
        <is>
          <t>圓角軟質；耐水耐冷；可放入SUS層架、自由組合層架；型錄標示可堆疊2層(需加購專用蓋)</t>
        </is>
      </c>
      <c r="V81" s="2" t="inlineStr"/>
    </row>
    <row r="82">
      <c r="A82" s="2" t="inlineStr">
        <is>
          <t>MUJI-081</t>
        </is>
      </c>
      <c r="B82" s="2" t="inlineStr">
        <is>
          <t>MUJI</t>
        </is>
      </c>
      <c r="C82" s="2" t="inlineStr">
        <is>
          <t>軟質聚乙烯收納盒</t>
        </is>
      </c>
      <c r="D82" s="2" t="inlineStr">
        <is>
          <t>軟質聚乙烯收納盒/半/小</t>
        </is>
      </c>
      <c r="E82" s="2" t="inlineStr">
        <is>
          <t>4547315197774</t>
        </is>
      </c>
      <c r="F82" s="2" t="n">
        <v>18</v>
      </c>
      <c r="G82" s="2" t="n">
        <v>25.5</v>
      </c>
      <c r="H82" s="2" t="n">
        <v>8</v>
      </c>
      <c r="I82" s="2" t="n">
        <v>11</v>
      </c>
      <c r="J82" s="2" t="n">
        <v>19</v>
      </c>
      <c r="K82" s="2" t="n">
        <v>7</v>
      </c>
      <c r="L82" s="2" t="inlineStr">
        <is>
          <t>聚乙烯</t>
        </is>
      </c>
      <c r="M82" s="2" t="inlineStr"/>
      <c r="N82" s="2" t="inlineStr"/>
      <c r="O82" s="2" t="inlineStr">
        <is>
          <t>N</t>
        </is>
      </c>
      <c r="P82" s="2" t="n">
        <v>139</v>
      </c>
      <c r="Q82" s="2" t="inlineStr">
        <is>
          <t>2026-10-26</t>
        </is>
      </c>
      <c r="R82" s="3" t="inlineStr">
        <is>
          <t>https://shop.muji.tw/SalePage/Index/8921121</t>
        </is>
      </c>
      <c r="S82" s="2" t="inlineStr">
        <is>
          <t>官網</t>
        </is>
      </c>
      <c r="T82" s="2" t="inlineStr">
        <is>
          <t>high</t>
        </is>
      </c>
      <c r="U82" s="2" t="inlineStr">
        <is>
          <t>圓角軟質；耐水耐冷；可放入SUS層架、自由組合層架；半=寬度約一半，2個並排≈標準款深36；另售用蓋/半(約18.5×26×1.5cm，69元)</t>
        </is>
      </c>
      <c r="V82" s="2" t="inlineStr"/>
    </row>
    <row r="83">
      <c r="A83" s="2" t="inlineStr">
        <is>
          <t>MUJI-082</t>
        </is>
      </c>
      <c r="B83" s="2" t="inlineStr">
        <is>
          <t>MUJI</t>
        </is>
      </c>
      <c r="C83" s="2" t="inlineStr">
        <is>
          <t>軟質聚乙烯收納盒</t>
        </is>
      </c>
      <c r="D83" s="2" t="inlineStr">
        <is>
          <t>軟質聚乙烯收納盒/半/中</t>
        </is>
      </c>
      <c r="E83" s="2" t="inlineStr">
        <is>
          <t>4547315197781</t>
        </is>
      </c>
      <c r="F83" s="2" t="n">
        <v>18</v>
      </c>
      <c r="G83" s="2" t="n">
        <v>25.5</v>
      </c>
      <c r="H83" s="2" t="n">
        <v>16</v>
      </c>
      <c r="I83" s="2" t="n">
        <v>10</v>
      </c>
      <c r="J83" s="2" t="n">
        <v>18</v>
      </c>
      <c r="K83" s="2" t="n">
        <v>15</v>
      </c>
      <c r="L83" s="2" t="inlineStr">
        <is>
          <t>聚乙烯</t>
        </is>
      </c>
      <c r="M83" s="2" t="inlineStr"/>
      <c r="N83" s="2" t="inlineStr">
        <is>
          <t>Y</t>
        </is>
      </c>
      <c r="O83" s="2" t="inlineStr">
        <is>
          <t>N</t>
        </is>
      </c>
      <c r="P83" s="2" t="n">
        <v>199</v>
      </c>
      <c r="Q83" s="2" t="inlineStr">
        <is>
          <t>2026-10-26</t>
        </is>
      </c>
      <c r="R83" s="3" t="inlineStr">
        <is>
          <t>https://shop.muji.tw/SalePage/Index/8920873</t>
        </is>
      </c>
      <c r="S83" s="2" t="inlineStr">
        <is>
          <t>官網</t>
        </is>
      </c>
      <c r="T83" s="2" t="inlineStr">
        <is>
          <t>high</t>
        </is>
      </c>
      <c r="U83" s="2" t="inlineStr">
        <is>
          <t>圓角軟質；耐水耐冷；可放入SUS層架、自由組合層架；型錄標示可堆疊2層；另售用蓋/半(69元)</t>
        </is>
      </c>
      <c r="V83" s="2" t="inlineStr"/>
    </row>
    <row r="84">
      <c r="A84" s="2" t="inlineStr">
        <is>
          <t>MUJI-083</t>
        </is>
      </c>
      <c r="B84" s="2" t="inlineStr">
        <is>
          <t>MUJI</t>
        </is>
      </c>
      <c r="C84" s="2" t="inlineStr">
        <is>
          <t>軟質聚乙烯收納盒</t>
        </is>
      </c>
      <c r="D84" s="2" t="inlineStr">
        <is>
          <t>軟質聚乙烯收納盒/半/大</t>
        </is>
      </c>
      <c r="E84" s="2" t="inlineStr">
        <is>
          <t>4547315197798</t>
        </is>
      </c>
      <c r="F84" s="2" t="n">
        <v>18</v>
      </c>
      <c r="G84" s="2" t="n">
        <v>25.5</v>
      </c>
      <c r="H84" s="2" t="n">
        <v>24</v>
      </c>
      <c r="I84" s="2" t="n">
        <v>17</v>
      </c>
      <c r="J84" s="2" t="n">
        <v>24.5</v>
      </c>
      <c r="K84" s="2" t="n">
        <v>23</v>
      </c>
      <c r="L84" s="2" t="inlineStr">
        <is>
          <t>聚乙烯</t>
        </is>
      </c>
      <c r="M84" s="2" t="inlineStr"/>
      <c r="N84" s="2" t="inlineStr">
        <is>
          <t>Y</t>
        </is>
      </c>
      <c r="O84" s="2" t="inlineStr">
        <is>
          <t>N</t>
        </is>
      </c>
      <c r="P84" s="2" t="n">
        <v>239</v>
      </c>
      <c r="Q84" s="2" t="inlineStr">
        <is>
          <t>2026-10-26</t>
        </is>
      </c>
      <c r="R84" s="3" t="inlineStr">
        <is>
          <t>https://shop.muji.tw/SalePage/Index/8920943</t>
        </is>
      </c>
      <c r="S84" s="2" t="inlineStr">
        <is>
          <t>官網</t>
        </is>
      </c>
      <c r="T84" s="2" t="inlineStr">
        <is>
          <t>high</t>
        </is>
      </c>
      <c r="U84" s="2" t="inlineStr">
        <is>
          <t>圓角軟質；耐水耐冷；可放入SUS層架、自由組合層架；型錄標示可堆疊2層；另售用蓋/半(69元)</t>
        </is>
      </c>
      <c r="V84" s="2" t="inlineStr"/>
    </row>
    <row r="85">
      <c r="A85" s="2" t="inlineStr">
        <is>
          <t>MUJI-084</t>
        </is>
      </c>
      <c r="B85" s="2" t="inlineStr">
        <is>
          <t>MUJI</t>
        </is>
      </c>
      <c r="C85" s="2" t="inlineStr">
        <is>
          <t>聚酯纖維麻收納箱</t>
        </is>
      </c>
      <c r="D85" s="2" t="inlineStr">
        <is>
          <t>聚酯纖維麻收納箱/長方形/小</t>
        </is>
      </c>
      <c r="E85" s="2" t="inlineStr">
        <is>
          <t>4550512403432</t>
        </is>
      </c>
      <c r="F85" s="2" t="n">
        <v>37</v>
      </c>
      <c r="G85" s="2" t="n">
        <v>26</v>
      </c>
      <c r="H85" s="2" t="n">
        <v>16</v>
      </c>
      <c r="I85" s="2" t="n"/>
      <c r="J85" s="2" t="n"/>
      <c r="K85" s="2" t="n"/>
      <c r="L85" s="2" t="inlineStr">
        <is>
          <t>聚酯纖維77%、亞麻23%</t>
        </is>
      </c>
      <c r="M85" s="2" t="inlineStr"/>
      <c r="N85" s="2" t="inlineStr"/>
      <c r="O85" s="2" t="inlineStr">
        <is>
          <t>N</t>
        </is>
      </c>
      <c r="P85" s="2" t="n">
        <v>229</v>
      </c>
      <c r="Q85" s="2" t="inlineStr">
        <is>
          <t>2026-10-26</t>
        </is>
      </c>
      <c r="R85" s="3" t="inlineStr">
        <is>
          <t>https://shop.muji.tw/SalePage/Index/8920880</t>
        </is>
      </c>
      <c r="S85" s="2" t="inlineStr">
        <is>
          <t>官網</t>
        </is>
      </c>
      <c r="T85" s="2" t="inlineStr">
        <is>
          <t>high</t>
        </is>
      </c>
      <c r="U85" s="2" t="inlineStr">
        <is>
          <t>布製可折疊；不可洗滌；採基準寸法可與層架組合；耐重10kg</t>
        </is>
      </c>
      <c r="V85" s="2" t="inlineStr"/>
    </row>
    <row r="86">
      <c r="A86" s="2" t="inlineStr">
        <is>
          <t>MUJI-085</t>
        </is>
      </c>
      <c r="B86" s="2" t="inlineStr">
        <is>
          <t>MUJI</t>
        </is>
      </c>
      <c r="C86" s="2" t="inlineStr">
        <is>
          <t>聚酯纖維麻收納箱</t>
        </is>
      </c>
      <c r="D86" s="2" t="inlineStr">
        <is>
          <t>聚酯纖維麻收納箱/長方形/中</t>
        </is>
      </c>
      <c r="E86" s="2" t="inlineStr">
        <is>
          <t>4550512403487</t>
        </is>
      </c>
      <c r="F86" s="2" t="n">
        <v>37</v>
      </c>
      <c r="G86" s="2" t="n">
        <v>26</v>
      </c>
      <c r="H86" s="2" t="n">
        <v>26</v>
      </c>
      <c r="I86" s="2" t="n"/>
      <c r="J86" s="2" t="n"/>
      <c r="K86" s="2" t="n"/>
      <c r="L86" s="2" t="inlineStr">
        <is>
          <t>聚酯纖維77%、亞麻23%</t>
        </is>
      </c>
      <c r="M86" s="2" t="inlineStr"/>
      <c r="N86" s="2" t="inlineStr"/>
      <c r="O86" s="2" t="inlineStr">
        <is>
          <t>N</t>
        </is>
      </c>
      <c r="P86" s="2" t="n">
        <v>229</v>
      </c>
      <c r="Q86" s="2" t="inlineStr">
        <is>
          <t>2026-10-26</t>
        </is>
      </c>
      <c r="R86" s="3" t="inlineStr">
        <is>
          <t>https://shop.muji.tw/SalePage/Index/8920884</t>
        </is>
      </c>
      <c r="S86" s="2" t="inlineStr">
        <is>
          <t>官網</t>
        </is>
      </c>
      <c r="T86" s="2" t="inlineStr">
        <is>
          <t>high</t>
        </is>
      </c>
      <c r="U86" s="2" t="inlineStr">
        <is>
          <t>布製可折疊；不可洗滌；採基準寸法可與層架組合；耐重10kg</t>
        </is>
      </c>
      <c r="V86" s="2" t="inlineStr"/>
    </row>
    <row r="87">
      <c r="A87" s="2" t="inlineStr">
        <is>
          <t>MUJI-086</t>
        </is>
      </c>
      <c r="B87" s="2" t="inlineStr">
        <is>
          <t>MUJI</t>
        </is>
      </c>
      <c r="C87" s="2" t="inlineStr">
        <is>
          <t>聚酯纖維麻收納箱</t>
        </is>
      </c>
      <c r="D87" s="2" t="inlineStr">
        <is>
          <t>聚酯纖維麻收納箱/長方形/中/附蓋</t>
        </is>
      </c>
      <c r="E87" s="2" t="inlineStr">
        <is>
          <t>4550512428909</t>
        </is>
      </c>
      <c r="F87" s="2" t="n">
        <v>37</v>
      </c>
      <c r="G87" s="2" t="n">
        <v>26</v>
      </c>
      <c r="H87" s="2" t="n">
        <v>26</v>
      </c>
      <c r="I87" s="2" t="n"/>
      <c r="J87" s="2" t="n"/>
      <c r="K87" s="2" t="n"/>
      <c r="L87" s="2" t="inlineStr">
        <is>
          <t>聚酯纖維77%、亞麻23%</t>
        </is>
      </c>
      <c r="M87" s="2" t="inlineStr"/>
      <c r="N87" s="2" t="inlineStr"/>
      <c r="O87" s="2" t="inlineStr">
        <is>
          <t>Y</t>
        </is>
      </c>
      <c r="P87" s="2" t="n">
        <v>329</v>
      </c>
      <c r="Q87" s="2" t="inlineStr">
        <is>
          <t>2026-10-26</t>
        </is>
      </c>
      <c r="R87" s="3" t="inlineStr">
        <is>
          <t>https://shop.muji.tw/SalePage/Index/8920893</t>
        </is>
      </c>
      <c r="S87" s="2" t="inlineStr">
        <is>
          <t>官網</t>
        </is>
      </c>
      <c r="T87" s="2" t="inlineStr">
        <is>
          <t>high</t>
        </is>
      </c>
      <c r="U87" s="2" t="inlineStr">
        <is>
          <t>布製可折疊；不可洗滌；採基準寸法可與層架組合；附蓋；耐重10kg</t>
        </is>
      </c>
      <c r="V87" s="2" t="inlineStr"/>
    </row>
    <row r="88">
      <c r="A88" s="2" t="inlineStr">
        <is>
          <t>MUJI-087</t>
        </is>
      </c>
      <c r="B88" s="2" t="inlineStr">
        <is>
          <t>MUJI</t>
        </is>
      </c>
      <c r="C88" s="2" t="inlineStr">
        <is>
          <t>聚酯纖維麻收納箱</t>
        </is>
      </c>
      <c r="D88" s="2" t="inlineStr">
        <is>
          <t>聚酯纖維麻收納箱/長方形/大</t>
        </is>
      </c>
      <c r="E88" s="2" t="inlineStr">
        <is>
          <t>4550512403449</t>
        </is>
      </c>
      <c r="F88" s="2" t="n">
        <v>37</v>
      </c>
      <c r="G88" s="2" t="n">
        <v>26</v>
      </c>
      <c r="H88" s="2" t="n">
        <v>34</v>
      </c>
      <c r="I88" s="2" t="n"/>
      <c r="J88" s="2" t="n"/>
      <c r="K88" s="2" t="n"/>
      <c r="L88" s="2" t="inlineStr">
        <is>
          <t>聚酯纖維77%、亞麻23%</t>
        </is>
      </c>
      <c r="M88" s="2" t="inlineStr"/>
      <c r="N88" s="2" t="inlineStr"/>
      <c r="O88" s="2" t="inlineStr">
        <is>
          <t>N</t>
        </is>
      </c>
      <c r="P88" s="2" t="n">
        <v>329</v>
      </c>
      <c r="Q88" s="2" t="inlineStr">
        <is>
          <t>2026-10-26</t>
        </is>
      </c>
      <c r="R88" s="3" t="inlineStr">
        <is>
          <t>https://shop.muji.tw/SalePage/Index/8920897</t>
        </is>
      </c>
      <c r="S88" s="2" t="inlineStr">
        <is>
          <t>官網</t>
        </is>
      </c>
      <c r="T88" s="2" t="inlineStr">
        <is>
          <t>high</t>
        </is>
      </c>
      <c r="U88" s="2" t="inlineStr">
        <is>
          <t>布製可折疊；不可洗滌；採基準寸法可與層架組合；耐重10kg</t>
        </is>
      </c>
      <c r="V88" s="2" t="inlineStr"/>
    </row>
    <row r="89">
      <c r="A89" s="2" t="inlineStr">
        <is>
          <t>MUJI-088</t>
        </is>
      </c>
      <c r="B89" s="2" t="inlineStr">
        <is>
          <t>MUJI</t>
        </is>
      </c>
      <c r="C89" s="2" t="inlineStr">
        <is>
          <t>聚酯纖維麻收納箱</t>
        </is>
      </c>
      <c r="D89" s="2" t="inlineStr">
        <is>
          <t>聚酯纖維麻收納箱/正方形/小</t>
        </is>
      </c>
      <c r="E89" s="2" t="inlineStr">
        <is>
          <t>4550512403470</t>
        </is>
      </c>
      <c r="F89" s="2" t="n">
        <v>35</v>
      </c>
      <c r="G89" s="2" t="n">
        <v>35</v>
      </c>
      <c r="H89" s="2" t="n">
        <v>16</v>
      </c>
      <c r="I89" s="2" t="n"/>
      <c r="J89" s="2" t="n"/>
      <c r="K89" s="2" t="n"/>
      <c r="L89" s="2" t="inlineStr">
        <is>
          <t>聚酯纖維77%、亞麻23%</t>
        </is>
      </c>
      <c r="M89" s="2" t="inlineStr"/>
      <c r="N89" s="2" t="inlineStr"/>
      <c r="O89" s="2" t="inlineStr">
        <is>
          <t>N</t>
        </is>
      </c>
      <c r="P89" s="2" t="n">
        <v>329</v>
      </c>
      <c r="Q89" s="2" t="inlineStr">
        <is>
          <t>2026-10-26</t>
        </is>
      </c>
      <c r="R89" s="3" t="inlineStr">
        <is>
          <t>https://shop.muji.tw/SalePage/Index/8920910</t>
        </is>
      </c>
      <c r="S89" s="2" t="inlineStr">
        <is>
          <t>官網</t>
        </is>
      </c>
      <c r="T89" s="2" t="inlineStr">
        <is>
          <t>high</t>
        </is>
      </c>
      <c r="U89" s="2" t="inlineStr">
        <is>
          <t>布製可折疊；不可洗滌；採基準寸法可與層架組合；耐重10kg</t>
        </is>
      </c>
      <c r="V89" s="2" t="inlineStr"/>
    </row>
    <row r="90">
      <c r="A90" s="2" t="inlineStr">
        <is>
          <t>MUJI-089</t>
        </is>
      </c>
      <c r="B90" s="2" t="inlineStr">
        <is>
          <t>MUJI</t>
        </is>
      </c>
      <c r="C90" s="2" t="inlineStr">
        <is>
          <t>聚酯纖維麻收納箱</t>
        </is>
      </c>
      <c r="D90" s="2" t="inlineStr">
        <is>
          <t>聚酯纖維麻收納箱/正方形/小/附蓋</t>
        </is>
      </c>
      <c r="E90" s="2" t="inlineStr">
        <is>
          <t>4550512403463</t>
        </is>
      </c>
      <c r="F90" s="2" t="n">
        <v>35</v>
      </c>
      <c r="G90" s="2" t="n">
        <v>35</v>
      </c>
      <c r="H90" s="2" t="n">
        <v>16</v>
      </c>
      <c r="I90" s="2" t="n"/>
      <c r="J90" s="2" t="n"/>
      <c r="K90" s="2" t="n"/>
      <c r="L90" s="2" t="inlineStr">
        <is>
          <t>聚酯纖維77%、亞麻23%</t>
        </is>
      </c>
      <c r="M90" s="2" t="inlineStr"/>
      <c r="N90" s="2" t="inlineStr"/>
      <c r="O90" s="2" t="inlineStr">
        <is>
          <t>Y</t>
        </is>
      </c>
      <c r="P90" s="2" t="n">
        <v>329</v>
      </c>
      <c r="Q90" s="2" t="inlineStr">
        <is>
          <t>2026-10-26</t>
        </is>
      </c>
      <c r="R90" s="3" t="inlineStr">
        <is>
          <t>https://shop.muji.tw/SalePage/Index/8920911</t>
        </is>
      </c>
      <c r="S90" s="2" t="inlineStr">
        <is>
          <t>官網</t>
        </is>
      </c>
      <c r="T90" s="2" t="inlineStr">
        <is>
          <t>high</t>
        </is>
      </c>
      <c r="U90" s="2" t="inlineStr">
        <is>
          <t>布製可折疊；不可洗滌；採基準寸法可與層架組合；附蓋；耐重10kg</t>
        </is>
      </c>
      <c r="V90" s="2" t="inlineStr"/>
    </row>
    <row r="91">
      <c r="A91" s="2" t="inlineStr">
        <is>
          <t>MUJI-090</t>
        </is>
      </c>
      <c r="B91" s="2" t="inlineStr">
        <is>
          <t>MUJI</t>
        </is>
      </c>
      <c r="C91" s="2" t="inlineStr">
        <is>
          <t>聚酯纖維麻收納箱</t>
        </is>
      </c>
      <c r="D91" s="2" t="inlineStr">
        <is>
          <t>聚酯纖維麻收納箱/L</t>
        </is>
      </c>
      <c r="E91" s="2" t="inlineStr">
        <is>
          <t>4550512403456</t>
        </is>
      </c>
      <c r="F91" s="2" t="n">
        <v>35</v>
      </c>
      <c r="G91" s="2" t="n">
        <v>35</v>
      </c>
      <c r="H91" s="2" t="n">
        <v>32</v>
      </c>
      <c r="I91" s="2" t="n"/>
      <c r="J91" s="2" t="n"/>
      <c r="K91" s="2" t="n"/>
      <c r="L91" s="2" t="inlineStr">
        <is>
          <t>聚酯纖維77%、亞麻23%</t>
        </is>
      </c>
      <c r="M91" s="2" t="inlineStr"/>
      <c r="N91" s="2" t="inlineStr"/>
      <c r="O91" s="2" t="inlineStr">
        <is>
          <t>N</t>
        </is>
      </c>
      <c r="P91" s="2" t="n">
        <v>329</v>
      </c>
      <c r="Q91" s="2" t="inlineStr">
        <is>
          <t>2026-10-26</t>
        </is>
      </c>
      <c r="R91" s="3" t="inlineStr">
        <is>
          <t>https://shop.muji.tw/SalePage/Index/8920898</t>
        </is>
      </c>
      <c r="S91" s="2" t="inlineStr">
        <is>
          <t>官網</t>
        </is>
      </c>
      <c r="T91" s="2" t="inlineStr">
        <is>
          <t>high</t>
        </is>
      </c>
      <c r="U91" s="2" t="inlineStr">
        <is>
          <t>布製可折疊；不可洗滌；採基準寸法可與層架組合；耐重10kg</t>
        </is>
      </c>
      <c r="V91" s="2" t="inlineStr"/>
    </row>
    <row r="92">
      <c r="A92" s="2" t="inlineStr">
        <is>
          <t>MUJI-091</t>
        </is>
      </c>
      <c r="B92" s="2" t="inlineStr">
        <is>
          <t>MUJI</t>
        </is>
      </c>
      <c r="C92" s="2" t="inlineStr">
        <is>
          <t>聚酯纖維麻收納箱</t>
        </is>
      </c>
      <c r="D92" s="2" t="inlineStr">
        <is>
          <t>聚酯纖維麻收納箱/L/附蓋</t>
        </is>
      </c>
      <c r="E92" s="2" t="inlineStr">
        <is>
          <t>4550512403494</t>
        </is>
      </c>
      <c r="F92" s="2" t="n">
        <v>35</v>
      </c>
      <c r="G92" s="2" t="n">
        <v>35</v>
      </c>
      <c r="H92" s="2" t="n">
        <v>32</v>
      </c>
      <c r="I92" s="2" t="n"/>
      <c r="J92" s="2" t="n"/>
      <c r="K92" s="2" t="n"/>
      <c r="L92" s="2" t="inlineStr">
        <is>
          <t>聚酯纖維77%、亞麻23%</t>
        </is>
      </c>
      <c r="M92" s="2" t="inlineStr"/>
      <c r="N92" s="2" t="inlineStr"/>
      <c r="O92" s="2" t="inlineStr">
        <is>
          <t>Y</t>
        </is>
      </c>
      <c r="P92" s="2" t="n">
        <v>479</v>
      </c>
      <c r="Q92" s="2" t="inlineStr">
        <is>
          <t>2026-10-26</t>
        </is>
      </c>
      <c r="R92" s="3" t="inlineStr">
        <is>
          <t>https://shop.muji.tw/SalePage/Index/8920883</t>
        </is>
      </c>
      <c r="S92" s="2" t="inlineStr">
        <is>
          <t>官網</t>
        </is>
      </c>
      <c r="T92" s="2" t="inlineStr">
        <is>
          <t>high</t>
        </is>
      </c>
      <c r="U92" s="2" t="inlineStr">
        <is>
          <t>布製可折疊；不可洗滌；採基準寸法可與層架組合；附蓋；耐重10kg</t>
        </is>
      </c>
      <c r="V92" s="2" t="inlineStr"/>
    </row>
    <row r="93">
      <c r="A93" s="2" t="inlineStr">
        <is>
          <t>MUJI-092</t>
        </is>
      </c>
      <c r="B93" s="2" t="inlineStr">
        <is>
          <t>MUJI</t>
        </is>
      </c>
      <c r="C93" s="2" t="inlineStr">
        <is>
          <t>聚酯纖維麻收納箱</t>
        </is>
      </c>
      <c r="D93" s="2" t="inlineStr">
        <is>
          <t>聚酯纖維麻收納箱/長方形/小/半</t>
        </is>
      </c>
      <c r="E93" s="2" t="inlineStr">
        <is>
          <t>4550512403517</t>
        </is>
      </c>
      <c r="F93" s="2" t="n">
        <v>18.5</v>
      </c>
      <c r="G93" s="2" t="n">
        <v>26</v>
      </c>
      <c r="H93" s="2" t="n">
        <v>16</v>
      </c>
      <c r="I93" s="2" t="n"/>
      <c r="J93" s="2" t="n"/>
      <c r="K93" s="2" t="n"/>
      <c r="L93" s="2" t="inlineStr">
        <is>
          <t>聚酯纖維77%、亞麻23%</t>
        </is>
      </c>
      <c r="M93" s="2" t="inlineStr"/>
      <c r="N93" s="2" t="inlineStr"/>
      <c r="O93" s="2" t="inlineStr">
        <is>
          <t>N</t>
        </is>
      </c>
      <c r="P93" s="2" t="n">
        <v>179</v>
      </c>
      <c r="Q93" s="2" t="inlineStr">
        <is>
          <t>2026-10-26</t>
        </is>
      </c>
      <c r="R93" s="3" t="inlineStr">
        <is>
          <t>https://shop.muji.tw/SalePage/Index/8920895</t>
        </is>
      </c>
      <c r="S93" s="2" t="inlineStr">
        <is>
          <t>官網</t>
        </is>
      </c>
      <c r="T93" s="2" t="inlineStr">
        <is>
          <t>high</t>
        </is>
      </c>
      <c r="U93" s="2" t="inlineStr">
        <is>
          <t>布製可折疊；不可洗滌；採基準寸法可與層架組合；半=長方形款寬約一半；耐重10kg</t>
        </is>
      </c>
      <c r="V93" s="2" t="inlineStr"/>
    </row>
    <row r="94">
      <c r="A94" s="2" t="inlineStr">
        <is>
          <t>MUJI-093</t>
        </is>
      </c>
      <c r="B94" s="2" t="inlineStr">
        <is>
          <t>MUJI</t>
        </is>
      </c>
      <c r="C94" s="2" t="inlineStr">
        <is>
          <t>聚酯纖維麻收納箱</t>
        </is>
      </c>
      <c r="D94" s="2" t="inlineStr">
        <is>
          <t>聚酯纖維麻收納箱/長方形/中/半</t>
        </is>
      </c>
      <c r="E94" s="2" t="inlineStr">
        <is>
          <t>4550512428893</t>
        </is>
      </c>
      <c r="F94" s="2" t="n">
        <v>18.5</v>
      </c>
      <c r="G94" s="2" t="n">
        <v>26</v>
      </c>
      <c r="H94" s="2" t="n">
        <v>26</v>
      </c>
      <c r="I94" s="2" t="n"/>
      <c r="J94" s="2" t="n"/>
      <c r="K94" s="2" t="n"/>
      <c r="L94" s="2" t="inlineStr">
        <is>
          <t>聚酯纖維77%、亞麻23%</t>
        </is>
      </c>
      <c r="M94" s="2" t="inlineStr"/>
      <c r="N94" s="2" t="inlineStr"/>
      <c r="O94" s="2" t="inlineStr">
        <is>
          <t>N</t>
        </is>
      </c>
      <c r="P94" s="2" t="n">
        <v>229</v>
      </c>
      <c r="Q94" s="2" t="inlineStr">
        <is>
          <t>2026-10-26</t>
        </is>
      </c>
      <c r="R94" s="3" t="inlineStr">
        <is>
          <t>https://shop.muji.tw/SalePage/Index/8920938</t>
        </is>
      </c>
      <c r="S94" s="2" t="inlineStr">
        <is>
          <t>官網</t>
        </is>
      </c>
      <c r="T94" s="2" t="inlineStr">
        <is>
          <t>high</t>
        </is>
      </c>
      <c r="U94" s="2" t="inlineStr">
        <is>
          <t>布製可折疊；不可洗滌；採基準寸法可與層架組合；耐重10kg</t>
        </is>
      </c>
      <c r="V94" s="2" t="inlineStr"/>
    </row>
    <row r="95">
      <c r="A95" s="2" t="inlineStr">
        <is>
          <t>MUJI-094</t>
        </is>
      </c>
      <c r="B95" s="2" t="inlineStr">
        <is>
          <t>MUJI</t>
        </is>
      </c>
      <c r="C95" s="2" t="inlineStr">
        <is>
          <t>聚酯纖維麻收納箱</t>
        </is>
      </c>
      <c r="D95" s="2" t="inlineStr">
        <is>
          <t>聚酯纖維麻收納箱/長方形/中/半/附蓋</t>
        </is>
      </c>
      <c r="E95" s="2" t="inlineStr">
        <is>
          <t>4550512403500</t>
        </is>
      </c>
      <c r="F95" s="2" t="n">
        <v>18.5</v>
      </c>
      <c r="G95" s="2" t="n">
        <v>26</v>
      </c>
      <c r="H95" s="2" t="n">
        <v>26</v>
      </c>
      <c r="I95" s="2" t="n"/>
      <c r="J95" s="2" t="n"/>
      <c r="K95" s="2" t="n"/>
      <c r="L95" s="2" t="inlineStr">
        <is>
          <t>聚酯纖維77%、亞麻23%</t>
        </is>
      </c>
      <c r="M95" s="2" t="inlineStr"/>
      <c r="N95" s="2" t="inlineStr"/>
      <c r="O95" s="2" t="inlineStr">
        <is>
          <t>Y</t>
        </is>
      </c>
      <c r="P95" s="2" t="n">
        <v>329</v>
      </c>
      <c r="Q95" s="2" t="inlineStr">
        <is>
          <t>2026-10-26</t>
        </is>
      </c>
      <c r="R95" s="3" t="inlineStr">
        <is>
          <t>https://shop.muji.tw/SalePage/Index/8920950</t>
        </is>
      </c>
      <c r="S95" s="2" t="inlineStr">
        <is>
          <t>官網</t>
        </is>
      </c>
      <c r="T95" s="2" t="inlineStr">
        <is>
          <t>high</t>
        </is>
      </c>
      <c r="U95" s="2" t="inlineStr">
        <is>
          <t>布製可折疊；不可洗滌；採基準寸法可與層架組合；附蓋；耐重10kg</t>
        </is>
      </c>
      <c r="V95" s="2" t="inlineStr"/>
    </row>
    <row r="96">
      <c r="A96" s="2" t="inlineStr">
        <is>
          <t>MUJI-095</t>
        </is>
      </c>
      <c r="B96" s="2" t="inlineStr">
        <is>
          <t>MUJI</t>
        </is>
      </c>
      <c r="C96" s="2" t="inlineStr">
        <is>
          <t>聚酯纖維麻收納箱</t>
        </is>
      </c>
      <c r="D96" s="2" t="inlineStr">
        <is>
          <t>聚酯纖維麻收納箱/淺型/半</t>
        </is>
      </c>
      <c r="E96" s="2" t="inlineStr">
        <is>
          <t>4550512403548</t>
        </is>
      </c>
      <c r="F96" s="2" t="n">
        <v>13</v>
      </c>
      <c r="G96" s="2" t="n">
        <v>37</v>
      </c>
      <c r="H96" s="2" t="n">
        <v>12</v>
      </c>
      <c r="I96" s="2" t="n"/>
      <c r="J96" s="2" t="n"/>
      <c r="K96" s="2" t="n"/>
      <c r="L96" s="2" t="inlineStr">
        <is>
          <t>聚酯纖維77%、亞麻23%</t>
        </is>
      </c>
      <c r="M96" s="2" t="inlineStr"/>
      <c r="N96" s="2" t="inlineStr"/>
      <c r="O96" s="2" t="inlineStr">
        <is>
          <t>N</t>
        </is>
      </c>
      <c r="P96" s="2" t="n">
        <v>179</v>
      </c>
      <c r="Q96" s="2" t="inlineStr">
        <is>
          <t>2026-10-26</t>
        </is>
      </c>
      <c r="R96" s="3" t="inlineStr">
        <is>
          <t>https://shop.muji.tw/SalePage/Index/8920906</t>
        </is>
      </c>
      <c r="S96" s="2" t="inlineStr">
        <is>
          <t>官網</t>
        </is>
      </c>
      <c r="T96" s="2" t="inlineStr">
        <is>
          <t>high</t>
        </is>
      </c>
      <c r="U96" s="2" t="inlineStr">
        <is>
          <t>布製可折疊；不可洗滌；採基準寸法可與層架組合；適合領帶、襪子、手帕；耐重3.5kg</t>
        </is>
      </c>
      <c r="V96" s="2" t="inlineStr"/>
    </row>
    <row r="97">
      <c r="A97" s="2" t="inlineStr">
        <is>
          <t>MUJI-096</t>
        </is>
      </c>
      <c r="B97" s="2" t="inlineStr">
        <is>
          <t>MUJI</t>
        </is>
      </c>
      <c r="C97" s="2" t="inlineStr">
        <is>
          <t>黃麻收納袋</t>
        </is>
      </c>
      <c r="D97" s="2" t="inlineStr">
        <is>
          <t>黃麻收納袋/長方形/小</t>
        </is>
      </c>
      <c r="E97" s="2" t="inlineStr"/>
      <c r="F97" s="2" t="n">
        <v>37</v>
      </c>
      <c r="G97" s="2" t="n">
        <v>26</v>
      </c>
      <c r="H97" s="2" t="n">
        <v>16</v>
      </c>
      <c r="I97" s="2" t="n"/>
      <c r="J97" s="2" t="n"/>
      <c r="K97" s="2" t="n"/>
      <c r="L97" s="2" t="inlineStr">
        <is>
          <t>黃麻</t>
        </is>
      </c>
      <c r="M97" s="2" t="inlineStr"/>
      <c r="N97" s="2" t="inlineStr"/>
      <c r="O97" s="2" t="inlineStr">
        <is>
          <t>N</t>
        </is>
      </c>
      <c r="P97" s="2" t="n">
        <v>119</v>
      </c>
      <c r="Q97" s="2" t="inlineStr">
        <is>
          <t>2026-10-26</t>
        </is>
      </c>
      <c r="R97" s="3" t="inlineStr">
        <is>
          <t>https://shop.muji.tw/muji-journal/pdf/pdf/25AW-storage.pdf</t>
        </is>
      </c>
      <c r="S97" s="2" t="inlineStr">
        <is>
          <t>型錄PDF</t>
        </is>
      </c>
      <c r="T97" s="2" t="inlineStr">
        <is>
          <t>medium</t>
        </is>
      </c>
      <c r="U97" s="2" t="inlineStr">
        <is>
          <t>可摺疊收納袋；採基準寸法可與層架組合；網路商店查無，僅見於型錄P.34(貨號12831112)</t>
        </is>
      </c>
      <c r="V97" s="2" t="inlineStr"/>
    </row>
    <row r="98">
      <c r="A98" s="2" t="inlineStr">
        <is>
          <t>MUJI-097</t>
        </is>
      </c>
      <c r="B98" s="2" t="inlineStr">
        <is>
          <t>MUJI</t>
        </is>
      </c>
      <c r="C98" s="2" t="inlineStr">
        <is>
          <t>黃麻收納袋</t>
        </is>
      </c>
      <c r="D98" s="2" t="inlineStr">
        <is>
          <t>黃麻收納袋/長方形/中</t>
        </is>
      </c>
      <c r="E98" s="2" t="inlineStr"/>
      <c r="F98" s="2" t="n">
        <v>37</v>
      </c>
      <c r="G98" s="2" t="n">
        <v>26</v>
      </c>
      <c r="H98" s="2" t="n">
        <v>24</v>
      </c>
      <c r="I98" s="2" t="n"/>
      <c r="J98" s="2" t="n"/>
      <c r="K98" s="2" t="n"/>
      <c r="L98" s="2" t="inlineStr">
        <is>
          <t>黃麻</t>
        </is>
      </c>
      <c r="M98" s="2" t="inlineStr"/>
      <c r="N98" s="2" t="inlineStr"/>
      <c r="O98" s="2" t="inlineStr">
        <is>
          <t>N</t>
        </is>
      </c>
      <c r="P98" s="2" t="n">
        <v>119</v>
      </c>
      <c r="Q98" s="2" t="inlineStr">
        <is>
          <t>2026-10-26</t>
        </is>
      </c>
      <c r="R98" s="3" t="inlineStr">
        <is>
          <t>https://shop.muji.tw/muji-journal/pdf/pdf/25AW-storage.pdf</t>
        </is>
      </c>
      <c r="S98" s="2" t="inlineStr">
        <is>
          <t>型錄PDF</t>
        </is>
      </c>
      <c r="T98" s="2" t="inlineStr">
        <is>
          <t>medium</t>
        </is>
      </c>
      <c r="U98" s="2" t="inlineStr">
        <is>
          <t>可摺疊；網路商店查無，僅見於型錄P.34(貨號12831082)</t>
        </is>
      </c>
      <c r="V98" s="2" t="inlineStr"/>
    </row>
    <row r="99">
      <c r="A99" s="2" t="inlineStr">
        <is>
          <t>MUJI-098</t>
        </is>
      </c>
      <c r="B99" s="2" t="inlineStr">
        <is>
          <t>MUJI</t>
        </is>
      </c>
      <c r="C99" s="2" t="inlineStr">
        <is>
          <t>黃麻收納袋</t>
        </is>
      </c>
      <c r="D99" s="2" t="inlineStr">
        <is>
          <t>黃麻收納袋/長方形/大</t>
        </is>
      </c>
      <c r="E99" s="2" t="inlineStr"/>
      <c r="F99" s="2" t="n">
        <v>37</v>
      </c>
      <c r="G99" s="2" t="n">
        <v>26</v>
      </c>
      <c r="H99" s="2" t="n">
        <v>35</v>
      </c>
      <c r="I99" s="2" t="n"/>
      <c r="J99" s="2" t="n"/>
      <c r="K99" s="2" t="n"/>
      <c r="L99" s="2" t="inlineStr">
        <is>
          <t>黃麻</t>
        </is>
      </c>
      <c r="M99" s="2" t="inlineStr"/>
      <c r="N99" s="2" t="inlineStr"/>
      <c r="O99" s="2" t="inlineStr">
        <is>
          <t>N</t>
        </is>
      </c>
      <c r="P99" s="2" t="n">
        <v>119</v>
      </c>
      <c r="Q99" s="2" t="inlineStr">
        <is>
          <t>2026-10-26</t>
        </is>
      </c>
      <c r="R99" s="3" t="inlineStr">
        <is>
          <t>https://shop.muji.tw/muji-journal/pdf/pdf/25AW-storage.pdf</t>
        </is>
      </c>
      <c r="S99" s="2" t="inlineStr">
        <is>
          <t>型錄PDF</t>
        </is>
      </c>
      <c r="T99" s="2" t="inlineStr">
        <is>
          <t>medium</t>
        </is>
      </c>
      <c r="U99" s="2" t="inlineStr">
        <is>
          <t>可摺疊；網路商店查無，僅見於型錄P.34(貨號12831051)</t>
        </is>
      </c>
      <c r="V99" s="2" t="inlineStr"/>
    </row>
    <row r="100">
      <c r="A100" s="2" t="inlineStr">
        <is>
          <t>MUJI-099</t>
        </is>
      </c>
      <c r="B100" s="2" t="inlineStr">
        <is>
          <t>MUJI</t>
        </is>
      </c>
      <c r="C100" s="2" t="inlineStr">
        <is>
          <t>可堆疊竹材收納盒</t>
        </is>
      </c>
      <c r="D100" s="2" t="inlineStr">
        <is>
          <t>可堆疊竹材收納盒/大</t>
        </is>
      </c>
      <c r="E100" s="2" t="inlineStr">
        <is>
          <t>4550512047292</t>
        </is>
      </c>
      <c r="F100" s="2" t="n">
        <v>37</v>
      </c>
      <c r="G100" s="2" t="n">
        <v>26</v>
      </c>
      <c r="H100" s="2" t="n">
        <v>24.5</v>
      </c>
      <c r="I100" s="2" t="n"/>
      <c r="J100" s="2" t="n"/>
      <c r="K100" s="2" t="n"/>
      <c r="L100" s="2" t="inlineStr">
        <is>
          <t>本體竹纖維、丙烯樹脂塗裝</t>
        </is>
      </c>
      <c r="M100" s="2" t="inlineStr"/>
      <c r="N100" s="2" t="inlineStr">
        <is>
          <t>Y</t>
        </is>
      </c>
      <c r="O100" s="2" t="inlineStr">
        <is>
          <t>N</t>
        </is>
      </c>
      <c r="P100" s="2" t="n">
        <v>890</v>
      </c>
      <c r="Q100" s="2" t="inlineStr">
        <is>
          <t>2026-10-26</t>
        </is>
      </c>
      <c r="R100" s="3" t="inlineStr">
        <is>
          <t>https://shop.muji.tw/SalePage/Index/11781913</t>
        </is>
      </c>
      <c r="S100" s="2" t="inlineStr">
        <is>
          <t>官網</t>
        </is>
      </c>
      <c r="T100" s="2" t="inlineStr">
        <is>
          <t>high</t>
        </is>
      </c>
      <c r="U100" s="2" t="inlineStr">
        <is>
          <t>天然素材，個體顏色形狀有差異；可堆疊2層；耐重15kg；另售可堆疊竹材收納盒用蓋(約37×26×2.5cm，390元)；品號KG0NJA2A</t>
        </is>
      </c>
      <c r="V100" s="2" t="inlineStr"/>
    </row>
    <row r="101">
      <c r="A101" s="2" t="inlineStr">
        <is>
          <t>MUJI-100</t>
        </is>
      </c>
      <c r="B101" s="2" t="inlineStr">
        <is>
          <t>MUJI</t>
        </is>
      </c>
      <c r="C101" s="2" t="inlineStr">
        <is>
          <t>可堆疊竹材收納盒</t>
        </is>
      </c>
      <c r="D101" s="2" t="inlineStr">
        <is>
          <t>可堆疊竹材收納盒/中</t>
        </is>
      </c>
      <c r="E101" s="2" t="inlineStr">
        <is>
          <t>4550512047308</t>
        </is>
      </c>
      <c r="F101" s="2" t="n">
        <v>37</v>
      </c>
      <c r="G101" s="2" t="n">
        <v>26</v>
      </c>
      <c r="H101" s="2" t="n">
        <v>16.5</v>
      </c>
      <c r="I101" s="2" t="n"/>
      <c r="J101" s="2" t="n"/>
      <c r="K101" s="2" t="n"/>
      <c r="L101" s="2" t="inlineStr">
        <is>
          <t>本體竹纖維、丙烯樹脂塗裝</t>
        </is>
      </c>
      <c r="M101" s="2" t="inlineStr"/>
      <c r="N101" s="2" t="inlineStr">
        <is>
          <t>Y</t>
        </is>
      </c>
      <c r="O101" s="2" t="inlineStr">
        <is>
          <t>N</t>
        </is>
      </c>
      <c r="P101" s="2" t="n">
        <v>790</v>
      </c>
      <c r="Q101" s="2" t="inlineStr">
        <is>
          <t>2026-10-26</t>
        </is>
      </c>
      <c r="R101" s="3" t="inlineStr">
        <is>
          <t>https://shop.muji.tw/SalePage/Index/11781914</t>
        </is>
      </c>
      <c r="S101" s="2" t="inlineStr">
        <is>
          <t>官網</t>
        </is>
      </c>
      <c r="T101" s="2" t="inlineStr">
        <is>
          <t>high</t>
        </is>
      </c>
      <c r="U101" s="2" t="inlineStr">
        <is>
          <t>天然素材，個體顏色形狀有差異；可堆疊2層；耐重10kg；另售用蓋(390元)；品號KG0NKA2A</t>
        </is>
      </c>
      <c r="V101" s="2" t="inlineStr"/>
    </row>
    <row r="102">
      <c r="A102" s="2" t="inlineStr">
        <is>
          <t>MUJI-101</t>
        </is>
      </c>
      <c r="B102" s="2" t="inlineStr">
        <is>
          <t>MUJI</t>
        </is>
      </c>
      <c r="C102" s="2" t="inlineStr">
        <is>
          <t>可堆疊竹材收納盒</t>
        </is>
      </c>
      <c r="D102" s="2" t="inlineStr">
        <is>
          <t>可堆疊竹材收納盒/小</t>
        </is>
      </c>
      <c r="E102" s="2" t="inlineStr">
        <is>
          <t>4550512047315</t>
        </is>
      </c>
      <c r="F102" s="2" t="n">
        <v>37</v>
      </c>
      <c r="G102" s="2" t="n">
        <v>26</v>
      </c>
      <c r="H102" s="2" t="n">
        <v>8.5</v>
      </c>
      <c r="I102" s="2" t="n"/>
      <c r="J102" s="2" t="n"/>
      <c r="K102" s="2" t="n"/>
      <c r="L102" s="2" t="inlineStr">
        <is>
          <t>本體竹纖維、丙烯樹脂塗裝</t>
        </is>
      </c>
      <c r="M102" s="2" t="inlineStr"/>
      <c r="N102" s="2" t="inlineStr">
        <is>
          <t>Y</t>
        </is>
      </c>
      <c r="O102" s="2" t="inlineStr">
        <is>
          <t>N</t>
        </is>
      </c>
      <c r="P102" s="2" t="n">
        <v>690</v>
      </c>
      <c r="Q102" s="2" t="inlineStr">
        <is>
          <t>2026-10-26</t>
        </is>
      </c>
      <c r="R102" s="3" t="inlineStr">
        <is>
          <t>https://shop.muji.tw/SalePage/Index/11781915</t>
        </is>
      </c>
      <c r="S102" s="2" t="inlineStr">
        <is>
          <t>官網</t>
        </is>
      </c>
      <c r="T102" s="2" t="inlineStr">
        <is>
          <t>high</t>
        </is>
      </c>
      <c r="U102" s="2" t="inlineStr">
        <is>
          <t>天然素材，個體顏色形狀有差異；可堆疊2層；耐重5kg；另售用蓋(390元)；品號KG0NLA2A</t>
        </is>
      </c>
      <c r="V102" s="2" t="inlineStr"/>
    </row>
    <row r="103">
      <c r="A103" s="2" t="inlineStr">
        <is>
          <t>MUJI-102</t>
        </is>
      </c>
      <c r="B103" s="2" t="inlineStr">
        <is>
          <t>MUJI</t>
        </is>
      </c>
      <c r="C103" s="2" t="inlineStr">
        <is>
          <t>可堆疊竹材收納盒</t>
        </is>
      </c>
      <c r="D103" s="2" t="inlineStr">
        <is>
          <t>可堆疊竹材收納盒/半形/中</t>
        </is>
      </c>
      <c r="E103" s="2" t="inlineStr">
        <is>
          <t>4550512047254</t>
        </is>
      </c>
      <c r="F103" s="2" t="n">
        <v>26</v>
      </c>
      <c r="G103" s="2" t="n">
        <v>18.5</v>
      </c>
      <c r="H103" s="2" t="n">
        <v>16.5</v>
      </c>
      <c r="I103" s="2" t="n"/>
      <c r="J103" s="2" t="n"/>
      <c r="K103" s="2" t="n"/>
      <c r="L103" s="2" t="inlineStr">
        <is>
          <t>本體竹纖維、丙烯樹脂塗裝</t>
        </is>
      </c>
      <c r="M103" s="2" t="inlineStr"/>
      <c r="N103" s="2" t="inlineStr">
        <is>
          <t>Y</t>
        </is>
      </c>
      <c r="O103" s="2" t="inlineStr">
        <is>
          <t>N</t>
        </is>
      </c>
      <c r="P103" s="2" t="n">
        <v>490</v>
      </c>
      <c r="Q103" s="2" t="inlineStr">
        <is>
          <t>2026-10-26</t>
        </is>
      </c>
      <c r="R103" s="3" t="inlineStr">
        <is>
          <t>https://shop.muji.tw/SalePage/Index/11781909</t>
        </is>
      </c>
      <c r="S103" s="2" t="inlineStr">
        <is>
          <t>官網</t>
        </is>
      </c>
      <c r="T103" s="2" t="inlineStr">
        <is>
          <t>high</t>
        </is>
      </c>
      <c r="U103" s="2" t="inlineStr">
        <is>
          <t>天然素材，個體顏色形狀有差異；可堆疊2層；半形2個並排≈標準款37×26；耐重5kg；另售半形用蓋(約26×18.5×2.5cm，290元)；品號KG0NFA2A</t>
        </is>
      </c>
      <c r="V103" s="2" t="inlineStr"/>
    </row>
    <row r="104">
      <c r="A104" s="2" t="inlineStr">
        <is>
          <t>MUJI-103</t>
        </is>
      </c>
      <c r="B104" s="2" t="inlineStr">
        <is>
          <t>MUJI</t>
        </is>
      </c>
      <c r="C104" s="2" t="inlineStr">
        <is>
          <t>可堆疊竹材收納盒</t>
        </is>
      </c>
      <c r="D104" s="2" t="inlineStr">
        <is>
          <t>可堆疊竹材收納盒/半形/小</t>
        </is>
      </c>
      <c r="E104" s="2" t="inlineStr">
        <is>
          <t>4550512047261</t>
        </is>
      </c>
      <c r="F104" s="2" t="n">
        <v>26</v>
      </c>
      <c r="G104" s="2" t="n">
        <v>18.5</v>
      </c>
      <c r="H104" s="2" t="n">
        <v>8.5</v>
      </c>
      <c r="I104" s="2" t="n"/>
      <c r="J104" s="2" t="n"/>
      <c r="K104" s="2" t="n"/>
      <c r="L104" s="2" t="inlineStr">
        <is>
          <t>本體竹纖維、丙烯樹脂塗裝</t>
        </is>
      </c>
      <c r="M104" s="2" t="inlineStr"/>
      <c r="N104" s="2" t="inlineStr">
        <is>
          <t>Y</t>
        </is>
      </c>
      <c r="O104" s="2" t="inlineStr">
        <is>
          <t>N</t>
        </is>
      </c>
      <c r="P104" s="2" t="n">
        <v>490</v>
      </c>
      <c r="Q104" s="2" t="inlineStr">
        <is>
          <t>2026-10-26</t>
        </is>
      </c>
      <c r="R104" s="3" t="inlineStr">
        <is>
          <t>https://shop.muji.tw/SalePage/Index/11781910</t>
        </is>
      </c>
      <c r="S104" s="2" t="inlineStr">
        <is>
          <t>官網</t>
        </is>
      </c>
      <c r="T104" s="2" t="inlineStr">
        <is>
          <t>high</t>
        </is>
      </c>
      <c r="U104" s="2" t="inlineStr">
        <is>
          <t>天然素材，個體顏色形狀有差異；可堆疊2層；耐重3kg；另售半形用蓋(290元)；品號KG0NGA2A</t>
        </is>
      </c>
      <c r="V104" s="2" t="inlineStr"/>
    </row>
    <row r="105">
      <c r="A105" s="2" t="inlineStr">
        <is>
          <t>MUJI-104</t>
        </is>
      </c>
      <c r="B105" s="2" t="inlineStr">
        <is>
          <t>MUJI</t>
        </is>
      </c>
      <c r="C105" s="2" t="inlineStr">
        <is>
          <t>可吊掛薄型收納盒</t>
        </is>
      </c>
      <c r="D105" s="2" t="inlineStr">
        <is>
          <t>可吊掛薄型收納盒/深11*高16cm</t>
        </is>
      </c>
      <c r="E105" s="2" t="inlineStr">
        <is>
          <t>4550723388177</t>
        </is>
      </c>
      <c r="F105" s="2" t="n">
        <v>26</v>
      </c>
      <c r="G105" s="2" t="n">
        <v>11</v>
      </c>
      <c r="H105" s="2" t="n">
        <v>16</v>
      </c>
      <c r="I105" s="2" t="n"/>
      <c r="J105" s="2" t="n"/>
      <c r="K105" s="2" t="n"/>
      <c r="L105" s="2" t="inlineStr">
        <is>
          <t>聚丙烯</t>
        </is>
      </c>
      <c r="M105" s="2" t="inlineStr"/>
      <c r="N105" s="2" t="inlineStr"/>
      <c r="O105" s="2" t="inlineStr">
        <is>
          <t>N</t>
        </is>
      </c>
      <c r="P105" s="2" t="n">
        <v>150</v>
      </c>
      <c r="Q105" s="2" t="inlineStr">
        <is>
          <t>2026-10-26</t>
        </is>
      </c>
      <c r="R105" s="3" t="inlineStr">
        <is>
          <t>https://shop.muji.tw/SalePage/Index/12052439</t>
        </is>
      </c>
      <c r="S105" s="2" t="inlineStr">
        <is>
          <t>官網</t>
        </is>
      </c>
      <c r="T105" s="2" t="inlineStr">
        <is>
          <t>high</t>
        </is>
      </c>
      <c r="U105" s="2" t="inlineStr">
        <is>
          <t>寬26cm薄型，可吊掛；平放承重5kg、吊掛2kg；另售用蓋/深11cm(約26×12.5×2cm，89元)；品號KG17XB5A</t>
        </is>
      </c>
      <c r="V105" s="2" t="inlineStr"/>
    </row>
    <row r="106">
      <c r="A106" s="2" t="inlineStr">
        <is>
          <t>MUJI-105</t>
        </is>
      </c>
      <c r="B106" s="2" t="inlineStr">
        <is>
          <t>MUJI</t>
        </is>
      </c>
      <c r="C106" s="2" t="inlineStr">
        <is>
          <t>可吊掛薄型收納盒</t>
        </is>
      </c>
      <c r="D106" s="2" t="inlineStr">
        <is>
          <t>可吊掛薄型收納盒/深11*高24cm</t>
        </is>
      </c>
      <c r="E106" s="2" t="inlineStr">
        <is>
          <t>4550723388214</t>
        </is>
      </c>
      <c r="F106" s="2" t="n">
        <v>26</v>
      </c>
      <c r="G106" s="2" t="n">
        <v>11</v>
      </c>
      <c r="H106" s="2" t="n">
        <v>24</v>
      </c>
      <c r="I106" s="2" t="n"/>
      <c r="J106" s="2" t="n"/>
      <c r="K106" s="2" t="n"/>
      <c r="L106" s="2" t="inlineStr">
        <is>
          <t>聚丙烯</t>
        </is>
      </c>
      <c r="M106" s="2" t="inlineStr"/>
      <c r="N106" s="2" t="inlineStr"/>
      <c r="O106" s="2" t="inlineStr">
        <is>
          <t>N</t>
        </is>
      </c>
      <c r="P106" s="2" t="n">
        <v>190</v>
      </c>
      <c r="Q106" s="2" t="inlineStr">
        <is>
          <t>2026-10-26</t>
        </is>
      </c>
      <c r="R106" s="3" t="inlineStr">
        <is>
          <t>https://shop.muji.tw/SalePage/Index/12052443</t>
        </is>
      </c>
      <c r="S106" s="2" t="inlineStr">
        <is>
          <t>官網</t>
        </is>
      </c>
      <c r="T106" s="2" t="inlineStr">
        <is>
          <t>high</t>
        </is>
      </c>
      <c r="U106" s="2" t="inlineStr">
        <is>
          <t>寬26cm薄型，可吊掛；平放承重5kg、吊掛2kg；另售用蓋/深11cm(89元)；品號KG182B5A</t>
        </is>
      </c>
      <c r="V106" s="2" t="inlineStr"/>
    </row>
    <row r="107">
      <c r="A107" s="2" t="inlineStr">
        <is>
          <t>MUJI-106</t>
        </is>
      </c>
      <c r="B107" s="2" t="inlineStr">
        <is>
          <t>MUJI</t>
        </is>
      </c>
      <c r="C107" s="2" t="inlineStr">
        <is>
          <t>可吊掛薄型收納盒</t>
        </is>
      </c>
      <c r="D107" s="2" t="inlineStr">
        <is>
          <t>可吊掛薄型收納盒/深15*高16cm</t>
        </is>
      </c>
      <c r="E107" s="2" t="inlineStr">
        <is>
          <t>4550723388160</t>
        </is>
      </c>
      <c r="F107" s="2" t="n">
        <v>26</v>
      </c>
      <c r="G107" s="2" t="n">
        <v>15</v>
      </c>
      <c r="H107" s="2" t="n">
        <v>16</v>
      </c>
      <c r="I107" s="2" t="n"/>
      <c r="J107" s="2" t="n"/>
      <c r="K107" s="2" t="n"/>
      <c r="L107" s="2" t="inlineStr">
        <is>
          <t>聚丙烯</t>
        </is>
      </c>
      <c r="M107" s="2" t="inlineStr"/>
      <c r="N107" s="2" t="inlineStr"/>
      <c r="O107" s="2" t="inlineStr">
        <is>
          <t>N</t>
        </is>
      </c>
      <c r="P107" s="2" t="n">
        <v>190</v>
      </c>
      <c r="Q107" s="2" t="inlineStr">
        <is>
          <t>2026-10-26</t>
        </is>
      </c>
      <c r="R107" s="3" t="inlineStr">
        <is>
          <t>https://shop.muji.tw/SalePage/Index/12052438</t>
        </is>
      </c>
      <c r="S107" s="2" t="inlineStr">
        <is>
          <t>官網</t>
        </is>
      </c>
      <c r="T107" s="2" t="inlineStr">
        <is>
          <t>high</t>
        </is>
      </c>
      <c r="U107" s="2" t="inlineStr">
        <is>
          <t>寬26cm薄型，可吊掛；平放承重5kg、吊掛2kg；另售用蓋/深15cm(約26×16.5×2cm，99元)；品號KG17WB5A</t>
        </is>
      </c>
      <c r="V107" s="2" t="inlineStr"/>
    </row>
    <row r="108">
      <c r="A108" s="2" t="inlineStr">
        <is>
          <t>MUJI-107</t>
        </is>
      </c>
      <c r="B108" s="2" t="inlineStr">
        <is>
          <t>MUJI</t>
        </is>
      </c>
      <c r="C108" s="2" t="inlineStr">
        <is>
          <t>可吊掛薄型收納盒</t>
        </is>
      </c>
      <c r="D108" s="2" t="inlineStr">
        <is>
          <t>可吊掛薄型收納盒/深15*高24cm</t>
        </is>
      </c>
      <c r="E108" s="2" t="inlineStr">
        <is>
          <t>4550723388207</t>
        </is>
      </c>
      <c r="F108" s="2" t="n">
        <v>26</v>
      </c>
      <c r="G108" s="2" t="n">
        <v>15</v>
      </c>
      <c r="H108" s="2" t="n">
        <v>24</v>
      </c>
      <c r="I108" s="2" t="n"/>
      <c r="J108" s="2" t="n"/>
      <c r="K108" s="2" t="n"/>
      <c r="L108" s="2" t="inlineStr">
        <is>
          <t>聚丙烯</t>
        </is>
      </c>
      <c r="M108" s="2" t="inlineStr"/>
      <c r="N108" s="2" t="inlineStr"/>
      <c r="O108" s="2" t="inlineStr">
        <is>
          <t>N</t>
        </is>
      </c>
      <c r="P108" s="2" t="n">
        <v>250</v>
      </c>
      <c r="Q108" s="2" t="inlineStr">
        <is>
          <t>2026-10-26</t>
        </is>
      </c>
      <c r="R108" s="3" t="inlineStr">
        <is>
          <t>https://shop.muji.tw/SalePage/Index/12052442</t>
        </is>
      </c>
      <c r="S108" s="2" t="inlineStr">
        <is>
          <t>官網</t>
        </is>
      </c>
      <c r="T108" s="2" t="inlineStr">
        <is>
          <t>high</t>
        </is>
      </c>
      <c r="U108" s="2" t="inlineStr">
        <is>
          <t>寬26cm薄型，可吊掛；平放承重5kg、吊掛2kg；另售用蓋/深15cm(99元)；品號KG181B5A</t>
        </is>
      </c>
      <c r="V108" s="2" t="inlineStr"/>
    </row>
    <row r="109">
      <c r="A109" s="2" t="inlineStr">
        <is>
          <t>MUJI-108</t>
        </is>
      </c>
      <c r="B109" s="2" t="inlineStr">
        <is>
          <t>MUJI</t>
        </is>
      </c>
      <c r="C109" s="2" t="inlineStr">
        <is>
          <t>不鏽鋼收納籃</t>
        </is>
      </c>
      <c r="D109" s="2" t="inlineStr">
        <is>
          <t>不鏽鋼收納籃1</t>
        </is>
      </c>
      <c r="E109" s="2" t="inlineStr">
        <is>
          <t>4550344831731</t>
        </is>
      </c>
      <c r="F109" s="2" t="n">
        <v>26</v>
      </c>
      <c r="G109" s="2" t="n">
        <v>18</v>
      </c>
      <c r="H109" s="2" t="n">
        <v>18</v>
      </c>
      <c r="I109" s="2" t="n"/>
      <c r="J109" s="2" t="n"/>
      <c r="K109" s="2" t="n"/>
      <c r="L109" s="2" t="inlineStr">
        <is>
          <t>不鏽鋼</t>
        </is>
      </c>
      <c r="M109" s="2" t="inlineStr"/>
      <c r="N109" s="2" t="inlineStr">
        <is>
          <t>Y</t>
        </is>
      </c>
      <c r="O109" s="2" t="inlineStr">
        <is>
          <t>N</t>
        </is>
      </c>
      <c r="P109" s="2" t="n">
        <v>399</v>
      </c>
      <c r="Q109" s="2" t="inlineStr">
        <is>
          <t>2026-10-26</t>
        </is>
      </c>
      <c r="R109" s="3" t="inlineStr">
        <is>
          <t>https://shop.muji.tw/SalePage/Index/8920981</t>
        </is>
      </c>
      <c r="S109" s="2" t="inlineStr">
        <is>
          <t>官網</t>
        </is>
      </c>
      <c r="T109" s="2" t="inlineStr">
        <is>
          <t>high</t>
        </is>
      </c>
      <c r="U109" s="2" t="inlineStr">
        <is>
          <t>附把手，把手內收可堆疊；可放入SUS層架、自由組合層架；可堆疊2層；耐重5kg</t>
        </is>
      </c>
      <c r="V109" s="2" t="inlineStr"/>
    </row>
    <row r="110">
      <c r="A110" s="2" t="inlineStr">
        <is>
          <t>MUJI-109</t>
        </is>
      </c>
      <c r="B110" s="2" t="inlineStr">
        <is>
          <t>MUJI</t>
        </is>
      </c>
      <c r="C110" s="2" t="inlineStr">
        <is>
          <t>不鏽鋼收納籃</t>
        </is>
      </c>
      <c r="D110" s="2" t="inlineStr">
        <is>
          <t>不鏽鋼收納籃2</t>
        </is>
      </c>
      <c r="E110" s="2" t="inlineStr">
        <is>
          <t>4550344831748</t>
        </is>
      </c>
      <c r="F110" s="2" t="n">
        <v>37</v>
      </c>
      <c r="G110" s="2" t="n">
        <v>26</v>
      </c>
      <c r="H110" s="2" t="n">
        <v>8</v>
      </c>
      <c r="I110" s="2" t="n"/>
      <c r="J110" s="2" t="n"/>
      <c r="K110" s="2" t="n"/>
      <c r="L110" s="2" t="inlineStr">
        <is>
          <t>不鏽鋼</t>
        </is>
      </c>
      <c r="M110" s="2" t="inlineStr"/>
      <c r="N110" s="2" t="inlineStr">
        <is>
          <t>Y</t>
        </is>
      </c>
      <c r="O110" s="2" t="inlineStr">
        <is>
          <t>N</t>
        </is>
      </c>
      <c r="P110" s="2" t="n">
        <v>499</v>
      </c>
      <c r="Q110" s="2" t="inlineStr">
        <is>
          <t>2026-10-26</t>
        </is>
      </c>
      <c r="R110" s="3" t="inlineStr">
        <is>
          <t>https://shop.muji.tw/SalePage/Index/8920964</t>
        </is>
      </c>
      <c r="S110" s="2" t="inlineStr">
        <is>
          <t>官網</t>
        </is>
      </c>
      <c r="T110" s="2" t="inlineStr">
        <is>
          <t>high</t>
        </is>
      </c>
      <c r="U110" s="2" t="inlineStr">
        <is>
          <t>附把手，把手內收可堆疊；可放入SUS層架、自由組合層架；可堆疊2層；耐重5kg</t>
        </is>
      </c>
      <c r="V110" s="2" t="inlineStr"/>
    </row>
    <row r="111">
      <c r="A111" s="2" t="inlineStr">
        <is>
          <t>MUJI-110</t>
        </is>
      </c>
      <c r="B111" s="2" t="inlineStr">
        <is>
          <t>MUJI</t>
        </is>
      </c>
      <c r="C111" s="2" t="inlineStr">
        <is>
          <t>不鏽鋼收納籃</t>
        </is>
      </c>
      <c r="D111" s="2" t="inlineStr">
        <is>
          <t>不鏽鋼收納籃3</t>
        </is>
      </c>
      <c r="E111" s="2" t="inlineStr">
        <is>
          <t>4550344831755</t>
        </is>
      </c>
      <c r="F111" s="2" t="n">
        <v>37</v>
      </c>
      <c r="G111" s="2" t="n">
        <v>26</v>
      </c>
      <c r="H111" s="2" t="n">
        <v>12</v>
      </c>
      <c r="I111" s="2" t="n"/>
      <c r="J111" s="2" t="n"/>
      <c r="K111" s="2" t="n"/>
      <c r="L111" s="2" t="inlineStr">
        <is>
          <t>不鏽鋼</t>
        </is>
      </c>
      <c r="M111" s="2" t="inlineStr"/>
      <c r="N111" s="2" t="inlineStr">
        <is>
          <t>Y</t>
        </is>
      </c>
      <c r="O111" s="2" t="inlineStr">
        <is>
          <t>N</t>
        </is>
      </c>
      <c r="P111" s="2" t="n">
        <v>599</v>
      </c>
      <c r="Q111" s="2" t="inlineStr">
        <is>
          <t>2026-10-26</t>
        </is>
      </c>
      <c r="R111" s="3" t="inlineStr">
        <is>
          <t>https://shop.muji.tw/SalePage/Index/8920940</t>
        </is>
      </c>
      <c r="S111" s="2" t="inlineStr">
        <is>
          <t>官網</t>
        </is>
      </c>
      <c r="T111" s="2" t="inlineStr">
        <is>
          <t>high</t>
        </is>
      </c>
      <c r="U111" s="2" t="inlineStr">
        <is>
          <t>附把手，把手內收可堆疊；可放入SUS層架、自由組合層架；可堆疊2層；耐重5kg</t>
        </is>
      </c>
      <c r="V111" s="2" t="inlineStr"/>
    </row>
    <row r="112">
      <c r="A112" s="2" t="inlineStr">
        <is>
          <t>MUJI-111</t>
        </is>
      </c>
      <c r="B112" s="2" t="inlineStr">
        <is>
          <t>MUJI</t>
        </is>
      </c>
      <c r="C112" s="2" t="inlineStr">
        <is>
          <t>不鏽鋼收納籃</t>
        </is>
      </c>
      <c r="D112" s="2" t="inlineStr">
        <is>
          <t>不鏽鋼收納籃4</t>
        </is>
      </c>
      <c r="E112" s="2" t="inlineStr">
        <is>
          <t>4550344831496</t>
        </is>
      </c>
      <c r="F112" s="2" t="n">
        <v>37</v>
      </c>
      <c r="G112" s="2" t="n">
        <v>26</v>
      </c>
      <c r="H112" s="2" t="n">
        <v>18</v>
      </c>
      <c r="I112" s="2" t="n"/>
      <c r="J112" s="2" t="n"/>
      <c r="K112" s="2" t="n"/>
      <c r="L112" s="2" t="inlineStr">
        <is>
          <t>不鏽鋼</t>
        </is>
      </c>
      <c r="M112" s="2" t="inlineStr"/>
      <c r="N112" s="2" t="inlineStr">
        <is>
          <t>Y</t>
        </is>
      </c>
      <c r="O112" s="2" t="inlineStr">
        <is>
          <t>N</t>
        </is>
      </c>
      <c r="P112" s="2" t="n">
        <v>699</v>
      </c>
      <c r="Q112" s="2" t="inlineStr">
        <is>
          <t>2026-10-26</t>
        </is>
      </c>
      <c r="R112" s="3" t="inlineStr">
        <is>
          <t>https://shop.muji.tw/SalePage/Index/8920946</t>
        </is>
      </c>
      <c r="S112" s="2" t="inlineStr">
        <is>
          <t>官網</t>
        </is>
      </c>
      <c r="T112" s="2" t="inlineStr">
        <is>
          <t>high</t>
        </is>
      </c>
      <c r="U112" s="2" t="inlineStr">
        <is>
          <t>附把手，把手內收可堆疊；可放入SUS層架、自由組合層架；可堆疊2層；耐重5kg</t>
        </is>
      </c>
      <c r="V112" s="2" t="inlineStr"/>
    </row>
    <row r="113">
      <c r="A113" s="2" t="inlineStr">
        <is>
          <t>MUJI-112</t>
        </is>
      </c>
      <c r="B113" s="2" t="inlineStr">
        <is>
          <t>MUJI</t>
        </is>
      </c>
      <c r="C113" s="2" t="inlineStr">
        <is>
          <t>不鏽鋼收納籃</t>
        </is>
      </c>
      <c r="D113" s="2" t="inlineStr">
        <is>
          <t>不鏽鋼收納籃5</t>
        </is>
      </c>
      <c r="E113" s="2" t="inlineStr">
        <is>
          <t>4550344831502</t>
        </is>
      </c>
      <c r="F113" s="2" t="n">
        <v>37</v>
      </c>
      <c r="G113" s="2" t="n">
        <v>26</v>
      </c>
      <c r="H113" s="2" t="n">
        <v>24</v>
      </c>
      <c r="I113" s="2" t="n"/>
      <c r="J113" s="2" t="n"/>
      <c r="K113" s="2" t="n"/>
      <c r="L113" s="2" t="inlineStr">
        <is>
          <t>不鏽鋼</t>
        </is>
      </c>
      <c r="M113" s="2" t="inlineStr"/>
      <c r="N113" s="2" t="inlineStr">
        <is>
          <t>Y</t>
        </is>
      </c>
      <c r="O113" s="2" t="inlineStr">
        <is>
          <t>N</t>
        </is>
      </c>
      <c r="P113" s="2" t="n">
        <v>799</v>
      </c>
      <c r="Q113" s="2" t="inlineStr">
        <is>
          <t>2026-10-26</t>
        </is>
      </c>
      <c r="R113" s="3" t="inlineStr">
        <is>
          <t>https://shop.muji.tw/SalePage/Index/8920939</t>
        </is>
      </c>
      <c r="S113" s="2" t="inlineStr">
        <is>
          <t>官網</t>
        </is>
      </c>
      <c r="T113" s="2" t="inlineStr">
        <is>
          <t>high</t>
        </is>
      </c>
      <c r="U113" s="2" t="inlineStr">
        <is>
          <t>附把手，把手內收可堆疊；可放入SUS層架、自由組合層架；可堆疊2層；耐重10kg</t>
        </is>
      </c>
      <c r="V113" s="2" t="inlineStr"/>
    </row>
    <row r="114">
      <c r="A114" s="2" t="inlineStr">
        <is>
          <t>MUJI-113</t>
        </is>
      </c>
      <c r="B114" s="2" t="inlineStr">
        <is>
          <t>MUJI</t>
        </is>
      </c>
      <c r="C114" s="2" t="inlineStr">
        <is>
          <t>聚丙烯折疊收納箱</t>
        </is>
      </c>
      <c r="D114" s="2" t="inlineStr">
        <is>
          <t>聚丙烯折疊收納箱/20L/半透明</t>
        </is>
      </c>
      <c r="E114" s="2" t="inlineStr">
        <is>
          <t>4550584461996</t>
        </is>
      </c>
      <c r="F114" s="2" t="n">
        <v>37</v>
      </c>
      <c r="G114" s="2" t="n">
        <v>27</v>
      </c>
      <c r="H114" s="2" t="n">
        <v>27.5</v>
      </c>
      <c r="I114" s="2" t="n"/>
      <c r="J114" s="2" t="n"/>
      <c r="K114" s="2" t="n"/>
      <c r="L114" s="2" t="inlineStr">
        <is>
          <t>聚丙烯(含10%以上再生聚丙烯)</t>
        </is>
      </c>
      <c r="M114" s="2" t="inlineStr">
        <is>
          <t>半透明</t>
        </is>
      </c>
      <c r="N114" s="2" t="inlineStr">
        <is>
          <t>Y</t>
        </is>
      </c>
      <c r="O114" s="2" t="inlineStr"/>
      <c r="P114" s="2" t="n">
        <v>590</v>
      </c>
      <c r="Q114" s="2" t="inlineStr">
        <is>
          <t>2026-10-26</t>
        </is>
      </c>
      <c r="R114" s="3" t="inlineStr">
        <is>
          <t>https://shop.muji.tw/SalePage/Index/11851158</t>
        </is>
      </c>
      <c r="S114" s="2" t="inlineStr">
        <is>
          <t>官網</t>
        </is>
      </c>
      <c r="T114" s="2" t="inlineStr">
        <is>
          <t>high</t>
        </is>
      </c>
      <c r="U114" s="2" t="inlineStr">
        <is>
          <t>可折疊；可堆疊4層；耐重約10kg；是否附蓋官方文字未明寫；品號KG13OA4A</t>
        </is>
      </c>
      <c r="V114" s="2" t="inlineStr"/>
    </row>
    <row r="115">
      <c r="A115" s="2" t="inlineStr">
        <is>
          <t>MUJI-114</t>
        </is>
      </c>
      <c r="B115" s="2" t="inlineStr">
        <is>
          <t>MUJI</t>
        </is>
      </c>
      <c r="C115" s="2" t="inlineStr">
        <is>
          <t>耐壓收納箱</t>
        </is>
      </c>
      <c r="D115" s="2" t="inlineStr">
        <is>
          <t>耐壓收納箱/小</t>
        </is>
      </c>
      <c r="E115" s="2" t="inlineStr">
        <is>
          <t>4550584484469</t>
        </is>
      </c>
      <c r="F115" s="2" t="n">
        <v>40</v>
      </c>
      <c r="G115" s="2" t="n">
        <v>39</v>
      </c>
      <c r="H115" s="2" t="n">
        <v>37</v>
      </c>
      <c r="I115" s="2" t="n">
        <v>29</v>
      </c>
      <c r="J115" s="2" t="n">
        <v>29</v>
      </c>
      <c r="K115" s="2" t="n">
        <v>29</v>
      </c>
      <c r="L115" s="2" t="inlineStr">
        <is>
          <t>聚丙烯</t>
        </is>
      </c>
      <c r="M115" s="2" t="inlineStr">
        <is>
          <t>未標示/黑</t>
        </is>
      </c>
      <c r="N115" s="2" t="inlineStr">
        <is>
          <t>Y</t>
        </is>
      </c>
      <c r="O115" s="2" t="inlineStr">
        <is>
          <t>Y</t>
        </is>
      </c>
      <c r="P115" s="2" t="n">
        <v>599</v>
      </c>
      <c r="Q115" s="2" t="inlineStr">
        <is>
          <t>2026-10-26</t>
        </is>
      </c>
      <c r="R115" s="3" t="inlineStr">
        <is>
          <t>https://shop.muji.tw/SalePage/Index/11341048</t>
        </is>
      </c>
      <c r="S115" s="2" t="inlineStr">
        <is>
          <t>官網</t>
        </is>
      </c>
      <c r="T115" s="2" t="inlineStr">
        <is>
          <t>high</t>
        </is>
      </c>
      <c r="U115" s="2" t="inlineStr">
        <is>
          <t>容量約30L；蓋耐重約100kg；最多堆疊3層；黑色另為SalePage 10576798(JAN 4550584272998)；內寸取自型錄P.29；收納空間耐重：網路商店標示約20kg、型錄標示約13.5kg，兩者不一致</t>
        </is>
      </c>
      <c r="V115" s="2" t="inlineStr"/>
    </row>
    <row r="116">
      <c r="A116" s="2" t="inlineStr">
        <is>
          <t>MUJI-115</t>
        </is>
      </c>
      <c r="B116" s="2" t="inlineStr">
        <is>
          <t>MUJI</t>
        </is>
      </c>
      <c r="C116" s="2" t="inlineStr">
        <is>
          <t>耐壓收納箱</t>
        </is>
      </c>
      <c r="D116" s="2" t="inlineStr">
        <is>
          <t>耐壓收納箱/迷你</t>
        </is>
      </c>
      <c r="E116" s="2" t="inlineStr"/>
      <c r="F116" s="2" t="n">
        <v>39.5</v>
      </c>
      <c r="G116" s="2" t="n">
        <v>29.5</v>
      </c>
      <c r="H116" s="2" t="n">
        <v>37</v>
      </c>
      <c r="I116" s="2" t="n">
        <v>29</v>
      </c>
      <c r="J116" s="2" t="n">
        <v>20</v>
      </c>
      <c r="K116" s="2" t="n">
        <v>29</v>
      </c>
      <c r="L116" s="2" t="inlineStr">
        <is>
          <t>聚丙烯</t>
        </is>
      </c>
      <c r="M116" s="2" t="inlineStr">
        <is>
          <t>未標示/黑</t>
        </is>
      </c>
      <c r="N116" s="2" t="inlineStr">
        <is>
          <t>Y</t>
        </is>
      </c>
      <c r="O116" s="2" t="inlineStr">
        <is>
          <t>Y</t>
        </is>
      </c>
      <c r="P116" s="2" t="n">
        <v>559</v>
      </c>
      <c r="Q116" s="2" t="inlineStr">
        <is>
          <t>2026-10-26</t>
        </is>
      </c>
      <c r="R116" s="3" t="inlineStr">
        <is>
          <t>https://shop.muji.tw/muji-journal/pdf/pdf/25AW-storage.pdf</t>
        </is>
      </c>
      <c r="S116" s="2" t="inlineStr">
        <is>
          <t>型錄PDF</t>
        </is>
      </c>
      <c r="T116" s="2" t="inlineStr">
        <is>
          <t>medium</t>
        </is>
      </c>
      <c r="U116" s="2" t="inlineStr">
        <is>
          <t>容量約22L；最多堆疊2層；不可將大尺寸疊在迷你上；網路商店查無，僅見於型錄P.29(型錄列貨號44620816、84272981 迷你·黑)</t>
        </is>
      </c>
      <c r="V116" s="2" t="inlineStr"/>
    </row>
    <row r="117">
      <c r="A117" s="2" t="inlineStr">
        <is>
          <t>NITORI-001</t>
        </is>
      </c>
      <c r="B117" s="2" t="inlineStr">
        <is>
          <t>NITORI</t>
        </is>
      </c>
      <c r="C117" s="2" t="inlineStr">
        <is>
          <t>N INBOX</t>
        </is>
      </c>
      <c r="D117" s="2" t="inlineStr">
        <is>
          <t>收納盒 N INBOX (W) 寬高型 標準型</t>
        </is>
      </c>
      <c r="E117" s="2" t="inlineStr">
        <is>
          <t>8422231/8422261/8422291/8422371</t>
        </is>
      </c>
      <c r="F117" s="2" t="n">
        <v>39</v>
      </c>
      <c r="G117" s="2" t="n">
        <v>26.5</v>
      </c>
      <c r="H117" s="2" t="n">
        <v>23.5</v>
      </c>
      <c r="I117" s="2" t="n"/>
      <c r="J117" s="2" t="n"/>
      <c r="K117" s="2" t="n"/>
      <c r="L117" s="2" t="inlineStr">
        <is>
          <t>聚丙烯</t>
        </is>
      </c>
      <c r="M117" s="2" t="inlineStr">
        <is>
          <t>白色/透明色/黑色/淡摩卡色</t>
        </is>
      </c>
      <c r="N117" s="2" t="inlineStr">
        <is>
          <t>Y</t>
        </is>
      </c>
      <c r="O117" s="2" t="inlineStr">
        <is>
          <t>N</t>
        </is>
      </c>
      <c r="P117" s="2" t="n">
        <v>249</v>
      </c>
      <c r="Q117" s="2" t="inlineStr">
        <is>
          <t>2026-10-26</t>
        </is>
      </c>
      <c r="R117" s="3" t="inlineStr">
        <is>
          <t>https://www.nitori-net.tw/product/8422231</t>
        </is>
      </c>
      <c r="S117" s="2" t="inlineStr">
        <is>
          <t>官網</t>
        </is>
      </c>
      <c r="T117" s="2" t="inlineStr">
        <is>
          <t>high</t>
        </is>
      </c>
      <c r="U117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寬型用(8422265，約39×26.5×1.5公分)；淡摩卡色為DECO HOME商品；黑色(8422291)官網標示約寬38.9×深26.6×高23.6公分；淡摩卡色(8422371)官網標示約寬38.9×深26.6×高23.6公分；價格：查詢日售價249（原價299）、淡摩卡色 259元</t>
        </is>
      </c>
      <c r="V117" s="2" t="inlineStr"/>
    </row>
    <row r="118">
      <c r="A118" s="2" t="inlineStr">
        <is>
          <t>NITORI-002</t>
        </is>
      </c>
      <c r="B118" s="2" t="inlineStr">
        <is>
          <t>NITORI</t>
        </is>
      </c>
      <c r="C118" s="2" t="inlineStr">
        <is>
          <t>N INBOX</t>
        </is>
      </c>
      <c r="D118" s="2" t="inlineStr">
        <is>
          <t>收納盒 N INBOX (W) 寬低型 橫式半格型</t>
        </is>
      </c>
      <c r="E118" s="2" t="inlineStr">
        <is>
          <t>8422262/8422292/8422372</t>
        </is>
      </c>
      <c r="F118" s="2" t="n">
        <v>39</v>
      </c>
      <c r="G118" s="2" t="n">
        <v>26.5</v>
      </c>
      <c r="H118" s="2" t="n">
        <v>12</v>
      </c>
      <c r="I118" s="2" t="n"/>
      <c r="J118" s="2" t="n"/>
      <c r="K118" s="2" t="n"/>
      <c r="L118" s="2" t="inlineStr">
        <is>
          <t>聚丙烯</t>
        </is>
      </c>
      <c r="M118" s="2" t="inlineStr">
        <is>
          <t>透明色/黑色/淡摩卡色</t>
        </is>
      </c>
      <c r="N118" s="2" t="inlineStr">
        <is>
          <t>Y</t>
        </is>
      </c>
      <c r="O118" s="2" t="inlineStr">
        <is>
          <t>N</t>
        </is>
      </c>
      <c r="P118" s="2" t="n">
        <v>179</v>
      </c>
      <c r="Q118" s="2" t="inlineStr">
        <is>
          <t>2026-10-26</t>
        </is>
      </c>
      <c r="R118" s="3" t="inlineStr">
        <is>
          <t>https://www.nitori-net.tw/product/8422262</t>
        </is>
      </c>
      <c r="S118" s="2" t="inlineStr">
        <is>
          <t>官網</t>
        </is>
      </c>
      <c r="T118" s="2" t="inlineStr">
        <is>
          <t>high</t>
        </is>
      </c>
      <c r="U118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寬型用(8422265，約39×26.5×1.5公分)；白色寬低型線上查無販售；黑色(8422292)官網標示約寬38.9×深26.6×高12公分；淡摩卡色(8422372)官網標示約寬38.9×深26.6×高12公分；價格：查詢日售價179（原價249）、淡摩卡色 219元</t>
        </is>
      </c>
      <c r="V118" s="2" t="inlineStr"/>
    </row>
    <row r="119">
      <c r="A119" s="2" t="inlineStr">
        <is>
          <t>NITORI-003</t>
        </is>
      </c>
      <c r="B119" s="2" t="inlineStr">
        <is>
          <t>NITORI</t>
        </is>
      </c>
      <c r="C119" s="2" t="inlineStr">
        <is>
          <t>N INBOX</t>
        </is>
      </c>
      <c r="D119" s="2" t="inlineStr">
        <is>
          <t>收納盒 N INBOX (W) 窄高型 直式半格型</t>
        </is>
      </c>
      <c r="E119" s="2" t="inlineStr">
        <is>
          <t>8422233/8422263/8422293/8422373</t>
        </is>
      </c>
      <c r="F119" s="2" t="n">
        <v>19</v>
      </c>
      <c r="G119" s="2" t="n">
        <v>26.5</v>
      </c>
      <c r="H119" s="2" t="n">
        <v>23.5</v>
      </c>
      <c r="I119" s="2" t="n"/>
      <c r="J119" s="2" t="n"/>
      <c r="K119" s="2" t="n"/>
      <c r="L119" s="2" t="inlineStr">
        <is>
          <t>聚丙烯</t>
        </is>
      </c>
      <c r="M119" s="2" t="inlineStr">
        <is>
          <t>白色/透明色/黑色/淡摩卡色</t>
        </is>
      </c>
      <c r="N119" s="2" t="inlineStr">
        <is>
          <t>Y</t>
        </is>
      </c>
      <c r="O119" s="2" t="inlineStr">
        <is>
          <t>N</t>
        </is>
      </c>
      <c r="P119" s="2" t="n">
        <v>179</v>
      </c>
      <c r="Q119" s="2" t="inlineStr">
        <is>
          <t>2026-10-26</t>
        </is>
      </c>
      <c r="R119" s="3" t="inlineStr">
        <is>
          <t>https://www.nitori-net.tw/product/8422233</t>
        </is>
      </c>
      <c r="S119" s="2" t="inlineStr">
        <is>
          <t>官網</t>
        </is>
      </c>
      <c r="T119" s="2" t="inlineStr">
        <is>
          <t>high</t>
        </is>
      </c>
      <c r="U119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窄型用(8422266 CL/8422236 WH，約26.5×19.5×1.5公分)；黑色(8422293)官網標示約寬19.2×深26.4×高23.6公分；淡摩卡色(8422373)官網標示約寬19.2×深26.4×高23.6公分；價格：查詢日售價179（原價249）、淡摩卡色 219元</t>
        </is>
      </c>
      <c r="V119" s="2" t="inlineStr"/>
    </row>
    <row r="120">
      <c r="A120" s="2" t="inlineStr">
        <is>
          <t>NITORI-004</t>
        </is>
      </c>
      <c r="B120" s="2" t="inlineStr">
        <is>
          <t>NITORI</t>
        </is>
      </c>
      <c r="C120" s="2" t="inlineStr">
        <is>
          <t>N INBOX</t>
        </is>
      </c>
      <c r="D120" s="2" t="inlineStr">
        <is>
          <t>收納盒 N INBOX (W) 窄低型 四分之一型</t>
        </is>
      </c>
      <c r="E120" s="2" t="inlineStr">
        <is>
          <t>8422264/8422294/8422374</t>
        </is>
      </c>
      <c r="F120" s="2" t="n">
        <v>19</v>
      </c>
      <c r="G120" s="2" t="n">
        <v>26.5</v>
      </c>
      <c r="H120" s="2" t="n">
        <v>12</v>
      </c>
      <c r="I120" s="2" t="n"/>
      <c r="J120" s="2" t="n"/>
      <c r="K120" s="2" t="n"/>
      <c r="L120" s="2" t="inlineStr">
        <is>
          <t>聚丙烯</t>
        </is>
      </c>
      <c r="M120" s="2" t="inlineStr">
        <is>
          <t>透明色/黑色/淡摩卡色</t>
        </is>
      </c>
      <c r="N120" s="2" t="inlineStr">
        <is>
          <t>Y</t>
        </is>
      </c>
      <c r="O120" s="2" t="inlineStr">
        <is>
          <t>N</t>
        </is>
      </c>
      <c r="P120" s="2" t="n">
        <v>129</v>
      </c>
      <c r="Q120" s="2" t="inlineStr">
        <is>
          <t>2026-10-26</t>
        </is>
      </c>
      <c r="R120" s="3" t="inlineStr">
        <is>
          <t>https://www.nitori-net.tw/product/8422264</t>
        </is>
      </c>
      <c r="S120" s="2" t="inlineStr">
        <is>
          <t>官網</t>
        </is>
      </c>
      <c r="T120" s="2" t="inlineStr">
        <is>
          <t>high</t>
        </is>
      </c>
      <c r="U120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窄型用(8422266 CL/8422236 WH，約26.5×19.5×1.5公分)；白色窄低型線上查無販售；黑色(8422294)官網標示約寬19.2×深26.4×高12公分；淡摩卡色(8422374)官網標示約寬19.2×深26.4×高12公分；價格：查詢日售價129（原價179）、淡摩卡色 159元</t>
        </is>
      </c>
      <c r="V120" s="2" t="inlineStr"/>
    </row>
    <row r="121">
      <c r="A121" s="2" t="inlineStr">
        <is>
          <t>NITORI-005</t>
        </is>
      </c>
      <c r="B121" s="2" t="inlineStr">
        <is>
          <t>NITORI</t>
        </is>
      </c>
      <c r="C121" s="2" t="inlineStr">
        <is>
          <t>N INBOX</t>
        </is>
      </c>
      <c r="D121" s="2" t="inlineStr">
        <is>
          <t>附蓋收納盒 窄高型 N INBOX (W)</t>
        </is>
      </c>
      <c r="E121" s="2" t="inlineStr">
        <is>
          <t>8422233-8422236</t>
        </is>
      </c>
      <c r="F121" s="2" t="n">
        <v>19.2</v>
      </c>
      <c r="G121" s="2" t="n">
        <v>26.4</v>
      </c>
      <c r="H121" s="2" t="n">
        <v>23.6</v>
      </c>
      <c r="I121" s="2" t="n"/>
      <c r="J121" s="2" t="n"/>
      <c r="K121" s="2" t="n"/>
      <c r="L121" s="2" t="inlineStr">
        <is>
          <t>聚丙烯</t>
        </is>
      </c>
      <c r="M121" s="2" t="inlineStr">
        <is>
          <t>純白色</t>
        </is>
      </c>
      <c r="N121" s="2" t="inlineStr">
        <is>
          <t>Y</t>
        </is>
      </c>
      <c r="O121" s="2" t="inlineStr">
        <is>
          <t>Y</t>
        </is>
      </c>
      <c r="P121" s="2" t="n">
        <v>238</v>
      </c>
      <c r="Q121" s="2" t="inlineStr">
        <is>
          <t>2026-10-26</t>
        </is>
      </c>
      <c r="R121" s="3" t="inlineStr">
        <is>
          <t>https://www.nitori-net.tw/product/8422233-8422236</t>
        </is>
      </c>
      <c r="S121" s="2" t="inlineStr">
        <is>
          <t>官網</t>
        </is>
      </c>
      <c r="T121" s="2" t="inlineStr">
        <is>
          <t>high</t>
        </is>
      </c>
      <c r="U121" s="2" t="inlineStr">
        <is>
          <t>組合：窄高型WH本體+窄型用蓋WH各1；外寸為規格欄數值（未說明是否含蓋）；價格：查詢日售價238（原價318）</t>
        </is>
      </c>
      <c r="V121" s="2" t="inlineStr"/>
    </row>
    <row r="122">
      <c r="A122" s="2" t="inlineStr">
        <is>
          <t>NITORI-006</t>
        </is>
      </c>
      <c r="B122" s="2" t="inlineStr">
        <is>
          <t>NITORI</t>
        </is>
      </c>
      <c r="C122" s="2" t="inlineStr">
        <is>
          <t>N INBOX</t>
        </is>
      </c>
      <c r="D122" s="2" t="inlineStr">
        <is>
          <t>抽屜式收納盒 窄低型 N INBOX 2DR</t>
        </is>
      </c>
      <c r="E122" s="2" t="inlineStr">
        <is>
          <t>8732701/8732711</t>
        </is>
      </c>
      <c r="F122" s="2" t="n">
        <v>19.2</v>
      </c>
      <c r="G122" s="2" t="n">
        <v>26.6</v>
      </c>
      <c r="H122" s="2" t="n">
        <v>23.6</v>
      </c>
      <c r="I122" s="2" t="n"/>
      <c r="J122" s="2" t="n"/>
      <c r="K122" s="2" t="n"/>
      <c r="L122" s="2" t="inlineStr">
        <is>
          <t>聚丙烯</t>
        </is>
      </c>
      <c r="M122" s="2" t="inlineStr">
        <is>
          <t>白色/透明</t>
        </is>
      </c>
      <c r="N122" s="2" t="inlineStr">
        <is>
          <t>Y</t>
        </is>
      </c>
      <c r="O122" s="2" t="inlineStr">
        <is>
          <t>N</t>
        </is>
      </c>
      <c r="P122" s="2" t="n">
        <v>279</v>
      </c>
      <c r="Q122" s="2" t="inlineStr">
        <is>
          <t>2026-10-26</t>
        </is>
      </c>
      <c r="R122" s="3" t="inlineStr">
        <is>
          <t>https://www.nitori-net.tw/product/8732701</t>
        </is>
      </c>
      <c r="S122" s="2" t="inlineStr">
        <is>
          <t>官網</t>
        </is>
      </c>
      <c r="T122" s="2" t="inlineStr">
        <is>
          <t>high</t>
        </is>
      </c>
      <c r="U122" s="2" t="inlineStr">
        <is>
          <t>官網：可輕鬆堆疊，可與N INBOX系列自由排列、堆疊、組合；2抽；品名為窄低型但官網標示高23.6公分（與N INBOX高型同高）；價格：查詢日售價279（原價299）</t>
        </is>
      </c>
      <c r="V122" s="2" t="inlineStr"/>
    </row>
    <row r="123">
      <c r="A123" s="2" t="inlineStr">
        <is>
          <t>NITORI-007</t>
        </is>
      </c>
      <c r="B123" s="2" t="inlineStr">
        <is>
          <t>NITORI</t>
        </is>
      </c>
      <c r="C123" s="2" t="inlineStr">
        <is>
          <t>N INBOX</t>
        </is>
      </c>
      <c r="D123" s="2" t="inlineStr">
        <is>
          <t>抽屜式收納盒 窄低型 N INBOX 3DR</t>
        </is>
      </c>
      <c r="E123" s="2" t="inlineStr">
        <is>
          <t>8732702/8732712</t>
        </is>
      </c>
      <c r="F123" s="2" t="n">
        <v>19.2</v>
      </c>
      <c r="G123" s="2" t="n">
        <v>26.6</v>
      </c>
      <c r="H123" s="2" t="n">
        <v>23.6</v>
      </c>
      <c r="I123" s="2" t="n"/>
      <c r="J123" s="2" t="n"/>
      <c r="K123" s="2" t="n"/>
      <c r="L123" s="2" t="inlineStr">
        <is>
          <t>聚丙烯</t>
        </is>
      </c>
      <c r="M123" s="2" t="inlineStr">
        <is>
          <t>白色/透明</t>
        </is>
      </c>
      <c r="N123" s="2" t="inlineStr">
        <is>
          <t>Y</t>
        </is>
      </c>
      <c r="O123" s="2" t="inlineStr">
        <is>
          <t>N</t>
        </is>
      </c>
      <c r="P123" s="2" t="n">
        <v>279</v>
      </c>
      <c r="Q123" s="2" t="inlineStr">
        <is>
          <t>2026-10-26</t>
        </is>
      </c>
      <c r="R123" s="3" t="inlineStr">
        <is>
          <t>https://www.nitori-net.tw/product/8732702</t>
        </is>
      </c>
      <c r="S123" s="2" t="inlineStr">
        <is>
          <t>官網</t>
        </is>
      </c>
      <c r="T123" s="2" t="inlineStr">
        <is>
          <t>high</t>
        </is>
      </c>
      <c r="U123" s="2" t="inlineStr">
        <is>
          <t>官網：可輕鬆堆疊，可與N INBOX系列自由排列、堆疊、組合；3抽；品名為窄低型但官網標示高23.6公分；價格：查詢日售價279（原價299）</t>
        </is>
      </c>
      <c r="V123" s="2" t="inlineStr"/>
    </row>
    <row r="124">
      <c r="A124" s="2" t="inlineStr">
        <is>
          <t>NITORI-008</t>
        </is>
      </c>
      <c r="B124" s="2" t="inlineStr">
        <is>
          <t>NITORI</t>
        </is>
      </c>
      <c r="C124" s="2" t="inlineStr">
        <is>
          <t>N INBOX</t>
        </is>
      </c>
      <c r="D124" s="2" t="inlineStr">
        <is>
          <t>抽屜式收納盒 寬低型 N INBOX R 2D2DR</t>
        </is>
      </c>
      <c r="E124" s="2" t="inlineStr">
        <is>
          <t>8732703</t>
        </is>
      </c>
      <c r="F124" s="2" t="n">
        <v>38.9</v>
      </c>
      <c r="G124" s="2" t="n">
        <v>26.6</v>
      </c>
      <c r="H124" s="2" t="n">
        <v>23.6</v>
      </c>
      <c r="I124" s="2" t="n"/>
      <c r="J124" s="2" t="n"/>
      <c r="K124" s="2" t="n"/>
      <c r="L124" s="2" t="inlineStr">
        <is>
          <t>聚丙烯</t>
        </is>
      </c>
      <c r="M124" s="2" t="inlineStr">
        <is>
          <t>白色</t>
        </is>
      </c>
      <c r="N124" s="2" t="inlineStr">
        <is>
          <t>Y</t>
        </is>
      </c>
      <c r="O124" s="2" t="inlineStr">
        <is>
          <t>N</t>
        </is>
      </c>
      <c r="P124" s="2" t="n">
        <v>479</v>
      </c>
      <c r="Q124" s="2" t="inlineStr">
        <is>
          <t>2026-10-26</t>
        </is>
      </c>
      <c r="R124" s="3" t="inlineStr">
        <is>
          <t>https://www.nitori-net.tw/product/8732703</t>
        </is>
      </c>
      <c r="S124" s="2" t="inlineStr">
        <is>
          <t>官網</t>
        </is>
      </c>
      <c r="T124" s="2" t="inlineStr">
        <is>
          <t>high</t>
        </is>
      </c>
      <c r="U124" s="2" t="inlineStr">
        <is>
          <t>官網：可輕鬆堆疊，可與N INBOX系列自由排列、堆疊、組合；價格：查詢日售價479（原價499）</t>
        </is>
      </c>
      <c r="V124" s="2" t="inlineStr"/>
    </row>
    <row r="125">
      <c r="A125" s="2" t="inlineStr">
        <is>
          <t>NITORI-009</t>
        </is>
      </c>
      <c r="B125" s="2" t="inlineStr">
        <is>
          <t>NITORI</t>
        </is>
      </c>
      <c r="C125" s="2" t="inlineStr">
        <is>
          <t>N INBOX</t>
        </is>
      </c>
      <c r="D125" s="2" t="inlineStr">
        <is>
          <t>抽屜式收納盒 寬低型 N INBOX R 2D3DR</t>
        </is>
      </c>
      <c r="E125" s="2" t="inlineStr">
        <is>
          <t>8732704</t>
        </is>
      </c>
      <c r="F125" s="2" t="n">
        <v>38.9</v>
      </c>
      <c r="G125" s="2" t="n">
        <v>26.6</v>
      </c>
      <c r="H125" s="2" t="n">
        <v>23.6</v>
      </c>
      <c r="I125" s="2" t="n"/>
      <c r="J125" s="2" t="n"/>
      <c r="K125" s="2" t="n"/>
      <c r="L125" s="2" t="inlineStr">
        <is>
          <t>聚丙烯</t>
        </is>
      </c>
      <c r="M125" s="2" t="inlineStr">
        <is>
          <t>白色</t>
        </is>
      </c>
      <c r="N125" s="2" t="inlineStr">
        <is>
          <t>Y</t>
        </is>
      </c>
      <c r="O125" s="2" t="inlineStr">
        <is>
          <t>N</t>
        </is>
      </c>
      <c r="P125" s="2" t="n">
        <v>479</v>
      </c>
      <c r="Q125" s="2" t="inlineStr">
        <is>
          <t>2026-10-26</t>
        </is>
      </c>
      <c r="R125" s="3" t="inlineStr">
        <is>
          <t>https://www.nitori-net.tw/product/8732704</t>
        </is>
      </c>
      <c r="S125" s="2" t="inlineStr">
        <is>
          <t>官網</t>
        </is>
      </c>
      <c r="T125" s="2" t="inlineStr">
        <is>
          <t>high</t>
        </is>
      </c>
      <c r="U125" s="2" t="inlineStr">
        <is>
          <t>官網：可輕鬆堆疊，可與N INBOX系列自由排列、堆疊、組合；價格：查詢日售價479（原價499）</t>
        </is>
      </c>
      <c r="V125" s="2" t="inlineStr"/>
    </row>
    <row r="126">
      <c r="A126" s="2" t="inlineStr">
        <is>
          <t>NITORI-010</t>
        </is>
      </c>
      <c r="B126" s="2" t="inlineStr">
        <is>
          <t>NITORI</t>
        </is>
      </c>
      <c r="C126" s="2" t="inlineStr">
        <is>
          <t>N INBOX</t>
        </is>
      </c>
      <c r="D126" s="2" t="inlineStr">
        <is>
          <t>抽屜式收納盒 窄高型 N INBOX 3DR</t>
        </is>
      </c>
      <c r="E126" s="2" t="inlineStr">
        <is>
          <t>8732705/8732715</t>
        </is>
      </c>
      <c r="F126" s="2" t="n">
        <v>19.2</v>
      </c>
      <c r="G126" s="2" t="n">
        <v>26.6</v>
      </c>
      <c r="H126" s="2" t="n">
        <v>35.4</v>
      </c>
      <c r="I126" s="2" t="n"/>
      <c r="J126" s="2" t="n"/>
      <c r="K126" s="2" t="n"/>
      <c r="L126" s="2" t="inlineStr">
        <is>
          <t>聚丙烯</t>
        </is>
      </c>
      <c r="M126" s="2" t="inlineStr">
        <is>
          <t>白色/透明</t>
        </is>
      </c>
      <c r="N126" s="2" t="inlineStr">
        <is>
          <t>Y</t>
        </is>
      </c>
      <c r="O126" s="2" t="inlineStr">
        <is>
          <t>N</t>
        </is>
      </c>
      <c r="P126" s="2" t="n">
        <v>379</v>
      </c>
      <c r="Q126" s="2" t="inlineStr">
        <is>
          <t>2026-10-26</t>
        </is>
      </c>
      <c r="R126" s="3" t="inlineStr">
        <is>
          <t>https://www.nitori-net.tw/product/8732705</t>
        </is>
      </c>
      <c r="S126" s="2" t="inlineStr">
        <is>
          <t>官網</t>
        </is>
      </c>
      <c r="T126" s="2" t="inlineStr">
        <is>
          <t>high</t>
        </is>
      </c>
      <c r="U126" s="2" t="inlineStr">
        <is>
          <t>官網：可輕鬆堆疊，可與N INBOX系列自由排列、堆疊、組合；3抽；價格：查詢日售價379（原價399）</t>
        </is>
      </c>
      <c r="V126" s="2" t="inlineStr"/>
    </row>
    <row r="127">
      <c r="A127" s="2" t="inlineStr">
        <is>
          <t>NITORI-011</t>
        </is>
      </c>
      <c r="B127" s="2" t="inlineStr">
        <is>
          <t>NITORI</t>
        </is>
      </c>
      <c r="C127" s="2" t="inlineStr">
        <is>
          <t>N INBOX</t>
        </is>
      </c>
      <c r="D127" s="2" t="inlineStr">
        <is>
          <t>抽屜式收納盒 寬高型 N INBOX LR 3D4DR</t>
        </is>
      </c>
      <c r="E127" s="2" t="inlineStr">
        <is>
          <t>8732706/8732716</t>
        </is>
      </c>
      <c r="F127" s="2" t="n">
        <v>38.9</v>
      </c>
      <c r="G127" s="2" t="n">
        <v>26.6</v>
      </c>
      <c r="H127" s="2" t="n">
        <v>35.4</v>
      </c>
      <c r="I127" s="2" t="n"/>
      <c r="J127" s="2" t="n"/>
      <c r="K127" s="2" t="n"/>
      <c r="L127" s="2" t="inlineStr">
        <is>
          <t>聚丙烯</t>
        </is>
      </c>
      <c r="M127" s="2" t="inlineStr">
        <is>
          <t>白色/透明</t>
        </is>
      </c>
      <c r="N127" s="2" t="inlineStr">
        <is>
          <t>Y</t>
        </is>
      </c>
      <c r="O127" s="2" t="inlineStr">
        <is>
          <t>N</t>
        </is>
      </c>
      <c r="P127" s="2" t="n">
        <v>579</v>
      </c>
      <c r="Q127" s="2" t="inlineStr">
        <is>
          <t>2026-10-26</t>
        </is>
      </c>
      <c r="R127" s="3" t="inlineStr">
        <is>
          <t>https://www.nitori-net.tw/product/8732706</t>
        </is>
      </c>
      <c r="S127" s="2" t="inlineStr">
        <is>
          <t>官網</t>
        </is>
      </c>
      <c r="T127" s="2" t="inlineStr">
        <is>
          <t>high</t>
        </is>
      </c>
      <c r="U127" s="2" t="inlineStr">
        <is>
          <t>官網：可輕鬆堆疊，可與N INBOX系列自由排列、堆疊、組合；價格：查詢日售價579（原價599）</t>
        </is>
      </c>
      <c r="V127" s="2" t="inlineStr"/>
    </row>
    <row r="128">
      <c r="A128" s="2" t="inlineStr">
        <is>
          <t>NITORI-012</t>
        </is>
      </c>
      <c r="B128" s="2" t="inlineStr">
        <is>
          <t>NITORI</t>
        </is>
      </c>
      <c r="C128" s="2" t="inlineStr">
        <is>
          <t>N INBOX</t>
        </is>
      </c>
      <c r="D128" s="2" t="inlineStr">
        <is>
          <t>手提收納盒 N INBOX2</t>
        </is>
      </c>
      <c r="E128" s="2" t="inlineStr">
        <is>
          <t>2113200005459/2113200005466/2113200005473</t>
        </is>
      </c>
      <c r="F128" s="2" t="n">
        <v>24.6</v>
      </c>
      <c r="G128" s="2" t="n">
        <v>15.5</v>
      </c>
      <c r="H128" s="2" t="n">
        <v>17.8</v>
      </c>
      <c r="I128" s="2" t="n"/>
      <c r="J128" s="2" t="n"/>
      <c r="K128" s="2" t="n"/>
      <c r="L128" s="2" t="inlineStr">
        <is>
          <t>聚丙烯</t>
        </is>
      </c>
      <c r="M128" s="2" t="inlineStr">
        <is>
          <t>白色/淺灰色/淺摩卡色</t>
        </is>
      </c>
      <c r="N128" s="2" t="inlineStr"/>
      <c r="O128" s="2" t="inlineStr">
        <is>
          <t>N</t>
        </is>
      </c>
      <c r="P128" s="2" t="n">
        <v>149</v>
      </c>
      <c r="Q128" s="2" t="inlineStr">
        <is>
          <t>2026-10-26</t>
        </is>
      </c>
      <c r="R128" s="3" t="inlineStr">
        <is>
          <t>https://www.nitori-net.tw/product/2113200005459</t>
        </is>
      </c>
      <c r="S128" s="2" t="inlineStr">
        <is>
          <t>官網</t>
        </is>
      </c>
      <c r="T128" s="2" t="inlineStr">
        <is>
          <t>high</t>
        </is>
      </c>
      <c r="U128" s="2" t="inlineStr">
        <is>
          <t>高度含把手；可拆式分隔板；產地日本</t>
        </is>
      </c>
      <c r="V128" s="2" t="inlineStr"/>
    </row>
    <row r="129">
      <c r="A129" s="2" t="inlineStr">
        <is>
          <t>NITORI-013</t>
        </is>
      </c>
      <c r="B129" s="2" t="inlineStr">
        <is>
          <t>NITORI</t>
        </is>
      </c>
      <c r="C129" s="2" t="inlineStr">
        <is>
          <t>N INBOX</t>
        </is>
      </c>
      <c r="D129" s="2" t="inlineStr">
        <is>
          <t>文具用 手提收納盒 N INBOX</t>
        </is>
      </c>
      <c r="E129" s="2" t="inlineStr">
        <is>
          <t>8734041/8734042</t>
        </is>
      </c>
      <c r="F129" s="2" t="n">
        <v>32</v>
      </c>
      <c r="G129" s="2" t="n">
        <v>14.5</v>
      </c>
      <c r="H129" s="2" t="n">
        <v>12.3</v>
      </c>
      <c r="I129" s="2" t="n"/>
      <c r="J129" s="2" t="n"/>
      <c r="K129" s="2" t="n"/>
      <c r="L129" s="2" t="inlineStr">
        <is>
          <t>聚丙烯</t>
        </is>
      </c>
      <c r="M129" s="2" t="inlineStr">
        <is>
          <t>白色/透明</t>
        </is>
      </c>
      <c r="N129" s="2" t="inlineStr">
        <is>
          <t>Y</t>
        </is>
      </c>
      <c r="O129" s="2" t="inlineStr">
        <is>
          <t>N</t>
        </is>
      </c>
      <c r="P129" s="2" t="n">
        <v>199</v>
      </c>
      <c r="Q129" s="2" t="inlineStr">
        <is>
          <t>2026-10-26</t>
        </is>
      </c>
      <c r="R129" s="3" t="inlineStr">
        <is>
          <t>https://www.nitori-net.tw/product/8734041</t>
        </is>
      </c>
      <c r="S129" s="2" t="inlineStr">
        <is>
          <t>官網</t>
        </is>
      </c>
      <c r="T129" s="2" t="inlineStr">
        <is>
          <t>high</t>
        </is>
      </c>
      <c r="U129" s="2" t="inlineStr">
        <is>
          <t>高12.3公分含提把（不含提把高8.2公分）；提把可收起後堆疊；耐重約10kg；寬度與資料檔案整理架吻合；價格：查詢日售價199（原價219）</t>
        </is>
      </c>
      <c r="V129" s="2" t="inlineStr"/>
    </row>
    <row r="130">
      <c r="A130" s="2" t="inlineStr">
        <is>
          <t>NITORI-014</t>
        </is>
      </c>
      <c r="B130" s="2" t="inlineStr">
        <is>
          <t>NITORI</t>
        </is>
      </c>
      <c r="C130" s="2" t="inlineStr">
        <is>
          <t>D INBOX</t>
        </is>
      </c>
      <c r="D130" s="2" t="inlineStr">
        <is>
          <t>【DECO HOME商品】文具用 手提收納盒 D INBOX</t>
        </is>
      </c>
      <c r="E130" s="2" t="inlineStr">
        <is>
          <t>2113200000294/2113200002427</t>
        </is>
      </c>
      <c r="F130" s="2" t="n">
        <v>31.6</v>
      </c>
      <c r="G130" s="2" t="n">
        <v>15.7</v>
      </c>
      <c r="H130" s="2" t="n">
        <v>10.6</v>
      </c>
      <c r="I130" s="2" t="n"/>
      <c r="J130" s="2" t="n"/>
      <c r="K130" s="2" t="n"/>
      <c r="L130" s="2" t="inlineStr">
        <is>
          <t>聚丙烯</t>
        </is>
      </c>
      <c r="M130" s="2" t="inlineStr">
        <is>
          <t>摩卡色/本白</t>
        </is>
      </c>
      <c r="N130" s="2" t="inlineStr"/>
      <c r="O130" s="2" t="inlineStr">
        <is>
          <t>N</t>
        </is>
      </c>
      <c r="P130" s="2" t="n">
        <v>219</v>
      </c>
      <c r="Q130" s="2" t="inlineStr">
        <is>
          <t>2026-10-26</t>
        </is>
      </c>
      <c r="R130" s="3" t="inlineStr">
        <is>
          <t>https://www.nitori-net.tw/product/2113200000294</t>
        </is>
      </c>
      <c r="S130" s="2" t="inlineStr">
        <is>
          <t>官網</t>
        </is>
      </c>
      <c r="T130" s="2" t="inlineStr">
        <is>
          <t>high</t>
        </is>
      </c>
      <c r="U130" s="2" t="inlineStr">
        <is>
          <t>DECO HOME商品</t>
        </is>
      </c>
      <c r="V130" s="2" t="inlineStr"/>
    </row>
    <row r="131">
      <c r="A131" s="2" t="inlineStr">
        <is>
          <t>NITORI-015</t>
        </is>
      </c>
      <c r="B131" s="2" t="inlineStr">
        <is>
          <t>NITORI</t>
        </is>
      </c>
      <c r="C131" s="2" t="inlineStr">
        <is>
          <t>SOFT N INBOX</t>
        </is>
      </c>
      <c r="D131" s="2" t="inlineStr">
        <is>
          <t>收納盒 標準型 寬高型 SOFT N INBOX</t>
        </is>
      </c>
      <c r="E131" s="2" t="inlineStr">
        <is>
          <t>8421411</t>
        </is>
      </c>
      <c r="F131" s="2" t="n">
        <v>38.5</v>
      </c>
      <c r="G131" s="2" t="n">
        <v>26.5</v>
      </c>
      <c r="H131" s="2" t="n">
        <v>23.5</v>
      </c>
      <c r="I131" s="2" t="n"/>
      <c r="J131" s="2" t="n"/>
      <c r="K131" s="2" t="n"/>
      <c r="L131" s="2" t="inlineStr">
        <is>
          <t>聚乙烯</t>
        </is>
      </c>
      <c r="M131" s="2" t="inlineStr">
        <is>
          <t>淺灰色</t>
        </is>
      </c>
      <c r="N131" s="2" t="inlineStr"/>
      <c r="O131" s="2" t="inlineStr">
        <is>
          <t>N</t>
        </is>
      </c>
      <c r="P131" s="2" t="n">
        <v>249</v>
      </c>
      <c r="Q131" s="2" t="inlineStr">
        <is>
          <t>2026-10-26</t>
        </is>
      </c>
      <c r="R131" s="3" t="inlineStr">
        <is>
          <t>https://www.nitori-net.tw/product/8421411</t>
        </is>
      </c>
      <c r="S131" s="2" t="inlineStr">
        <is>
          <t>官網</t>
        </is>
      </c>
      <c r="T131" s="2" t="inlineStr">
        <is>
          <t>high</t>
        </is>
      </c>
      <c r="U131" s="2" t="inlineStr">
        <is>
          <t>官網：可搭配彩色櫃COLOBO；依官方尺寸，2個窄型並排≈1個寬型；另售蓋：收納盒上蓋 寬型用 SOFT N INBOX(8421405，約39×27公分)；價格：查詢日售價249（原價299）</t>
        </is>
      </c>
      <c r="V131" s="2" t="inlineStr"/>
    </row>
    <row r="132">
      <c r="A132" s="2" t="inlineStr">
        <is>
          <t>NITORI-016</t>
        </is>
      </c>
      <c r="B132" s="2" t="inlineStr">
        <is>
          <t>NITORI</t>
        </is>
      </c>
      <c r="C132" s="2" t="inlineStr">
        <is>
          <t>SOFT N INBOX</t>
        </is>
      </c>
      <c r="D132" s="2" t="inlineStr">
        <is>
          <t>收納盒 橫式半格型 寬低型 SOFT N INBOX</t>
        </is>
      </c>
      <c r="E132" s="2" t="inlineStr">
        <is>
          <t>8421413</t>
        </is>
      </c>
      <c r="F132" s="2" t="n">
        <v>38.5</v>
      </c>
      <c r="G132" s="2" t="n">
        <v>26.5</v>
      </c>
      <c r="H132" s="2" t="n">
        <v>11.5</v>
      </c>
      <c r="I132" s="2" t="n"/>
      <c r="J132" s="2" t="n"/>
      <c r="K132" s="2" t="n"/>
      <c r="L132" s="2" t="inlineStr">
        <is>
          <t>聚乙烯</t>
        </is>
      </c>
      <c r="M132" s="2" t="inlineStr">
        <is>
          <t>淺灰色</t>
        </is>
      </c>
      <c r="N132" s="2" t="inlineStr"/>
      <c r="O132" s="2" t="inlineStr">
        <is>
          <t>N</t>
        </is>
      </c>
      <c r="P132" s="2" t="n">
        <v>179</v>
      </c>
      <c r="Q132" s="2" t="inlineStr">
        <is>
          <t>2026-10-26</t>
        </is>
      </c>
      <c r="R132" s="3" t="inlineStr">
        <is>
          <t>https://www.nitori-net.tw/product/8421413</t>
        </is>
      </c>
      <c r="S132" s="2" t="inlineStr">
        <is>
          <t>官網</t>
        </is>
      </c>
      <c r="T132" s="2" t="inlineStr">
        <is>
          <t>high</t>
        </is>
      </c>
      <c r="U132" s="2" t="inlineStr">
        <is>
          <t>官網：可搭配彩色櫃COLOBO；依官方尺寸，2個窄型並排≈1個寬型；另售蓋：收納盒上蓋 寬型用 SOFT N INBOX(8421405，約39×27公分)</t>
        </is>
      </c>
      <c r="V132" s="2" t="inlineStr"/>
    </row>
    <row r="133">
      <c r="A133" s="2" t="inlineStr">
        <is>
          <t>NITORI-017</t>
        </is>
      </c>
      <c r="B133" s="2" t="inlineStr">
        <is>
          <t>NITORI</t>
        </is>
      </c>
      <c r="C133" s="2" t="inlineStr">
        <is>
          <t>SOFT N INBOX</t>
        </is>
      </c>
      <c r="D133" s="2" t="inlineStr">
        <is>
          <t>收納盒 直式半格型 窄高型 SOFT N INBOX</t>
        </is>
      </c>
      <c r="E133" s="2" t="inlineStr">
        <is>
          <t>8421412</t>
        </is>
      </c>
      <c r="F133" s="2" t="n">
        <v>19</v>
      </c>
      <c r="G133" s="2" t="n">
        <v>26.5</v>
      </c>
      <c r="H133" s="2" t="n">
        <v>23.5</v>
      </c>
      <c r="I133" s="2" t="n"/>
      <c r="J133" s="2" t="n"/>
      <c r="K133" s="2" t="n"/>
      <c r="L133" s="2" t="inlineStr">
        <is>
          <t>聚乙烯</t>
        </is>
      </c>
      <c r="M133" s="2" t="inlineStr">
        <is>
          <t>淺灰色</t>
        </is>
      </c>
      <c r="N133" s="2" t="inlineStr"/>
      <c r="O133" s="2" t="inlineStr">
        <is>
          <t>N</t>
        </is>
      </c>
      <c r="P133" s="2" t="n">
        <v>179</v>
      </c>
      <c r="Q133" s="2" t="inlineStr">
        <is>
          <t>2026-10-26</t>
        </is>
      </c>
      <c r="R133" s="3" t="inlineStr">
        <is>
          <t>https://www.nitori-net.tw/product/8421412</t>
        </is>
      </c>
      <c r="S133" s="2" t="inlineStr">
        <is>
          <t>官網</t>
        </is>
      </c>
      <c r="T133" s="2" t="inlineStr">
        <is>
          <t>high</t>
        </is>
      </c>
      <c r="U133" s="2" t="inlineStr">
        <is>
          <t>官網：可搭配彩色櫃COLOBO；依官方尺寸，2個窄型並排≈1個寬型；另售蓋：收納盒上蓋 窄型用 SOFT N INBOX(8421406，約19.5×27公分)；價格：查詢日售價179（原價219）</t>
        </is>
      </c>
      <c r="V133" s="2" t="inlineStr"/>
    </row>
    <row r="134">
      <c r="A134" s="2" t="inlineStr">
        <is>
          <t>NITORI-018</t>
        </is>
      </c>
      <c r="B134" s="2" t="inlineStr">
        <is>
          <t>NITORI</t>
        </is>
      </c>
      <c r="C134" s="2" t="inlineStr">
        <is>
          <t>SOFT N INBOX</t>
        </is>
      </c>
      <c r="D134" s="2" t="inlineStr">
        <is>
          <t>收納盒 四分之一型 窄低型 SOFT N INBOX</t>
        </is>
      </c>
      <c r="E134" s="2" t="inlineStr">
        <is>
          <t>8421414</t>
        </is>
      </c>
      <c r="F134" s="2" t="n">
        <v>19</v>
      </c>
      <c r="G134" s="2" t="n">
        <v>26.5</v>
      </c>
      <c r="H134" s="2" t="n">
        <v>11.5</v>
      </c>
      <c r="I134" s="2" t="n"/>
      <c r="J134" s="2" t="n"/>
      <c r="K134" s="2" t="n"/>
      <c r="L134" s="2" t="inlineStr">
        <is>
          <t>聚乙烯</t>
        </is>
      </c>
      <c r="M134" s="2" t="inlineStr">
        <is>
          <t>淺灰色</t>
        </is>
      </c>
      <c r="N134" s="2" t="inlineStr"/>
      <c r="O134" s="2" t="inlineStr">
        <is>
          <t>N</t>
        </is>
      </c>
      <c r="P134" s="2" t="n">
        <v>129</v>
      </c>
      <c r="Q134" s="2" t="inlineStr">
        <is>
          <t>2026-10-26</t>
        </is>
      </c>
      <c r="R134" s="3" t="inlineStr">
        <is>
          <t>https://www.nitori-net.tw/product/8421414</t>
        </is>
      </c>
      <c r="S134" s="2" t="inlineStr">
        <is>
          <t>官網</t>
        </is>
      </c>
      <c r="T134" s="2" t="inlineStr">
        <is>
          <t>high</t>
        </is>
      </c>
      <c r="U134" s="2" t="inlineStr">
        <is>
          <t>官網：可搭配彩色櫃COLOBO；依官方尺寸，2個窄型並排≈1個寬型；另售蓋：收納盒上蓋 窄型用 SOFT N INBOX(8421406，約19.5×27公分)；價格：查詢日售價129（原價179）</t>
        </is>
      </c>
      <c r="V134" s="2" t="inlineStr"/>
    </row>
    <row r="135">
      <c r="A135" s="2" t="inlineStr">
        <is>
          <t>NITORI-019</t>
        </is>
      </c>
      <c r="B135" s="2" t="inlineStr">
        <is>
          <t>NITORI</t>
        </is>
      </c>
      <c r="C135" s="2" t="inlineStr">
        <is>
          <t>SOFT N INBOX</t>
        </is>
      </c>
      <c r="D135" s="2" t="inlineStr">
        <is>
          <t>收納盒 寬高型 SOFT N INBOX V</t>
        </is>
      </c>
      <c r="E135" s="2" t="inlineStr">
        <is>
          <t>2113200002892</t>
        </is>
      </c>
      <c r="F135" s="2" t="n">
        <v>38.7</v>
      </c>
      <c r="G135" s="2" t="n">
        <v>26.5</v>
      </c>
      <c r="H135" s="2" t="n">
        <v>23.5</v>
      </c>
      <c r="I135" s="2" t="n"/>
      <c r="J135" s="2" t="n"/>
      <c r="K135" s="2" t="n"/>
      <c r="L135" s="2" t="inlineStr">
        <is>
          <t>聚乙烯</t>
        </is>
      </c>
      <c r="M135" s="2" t="inlineStr">
        <is>
          <t>白色</t>
        </is>
      </c>
      <c r="N135" s="2" t="inlineStr"/>
      <c r="O135" s="2" t="inlineStr">
        <is>
          <t>N</t>
        </is>
      </c>
      <c r="P135" s="2" t="n">
        <v>249</v>
      </c>
      <c r="Q135" s="2" t="inlineStr">
        <is>
          <t>2026-10-26</t>
        </is>
      </c>
      <c r="R135" s="3" t="inlineStr">
        <is>
          <t>https://www.nitori-net.tw/product/2113200002892</t>
        </is>
      </c>
      <c r="S135" s="2" t="inlineStr">
        <is>
          <t>官網</t>
        </is>
      </c>
      <c r="T135" s="2" t="inlineStr">
        <is>
          <t>high</t>
        </is>
      </c>
      <c r="U135" s="2" t="inlineStr">
        <is>
          <t>另售蓋：收納盒蓋 寬型用 SOFT N INBOX V(2113200002939，約39.2×27×1.3公分)</t>
        </is>
      </c>
      <c r="V135" s="2" t="inlineStr"/>
    </row>
    <row r="136">
      <c r="A136" s="2" t="inlineStr">
        <is>
          <t>NITORI-020</t>
        </is>
      </c>
      <c r="B136" s="2" t="inlineStr">
        <is>
          <t>NITORI</t>
        </is>
      </c>
      <c r="C136" s="2" t="inlineStr">
        <is>
          <t>SOFT N INBOX</t>
        </is>
      </c>
      <c r="D136" s="2" t="inlineStr">
        <is>
          <t>收納盒 寬低型 SOFT N INBOX V</t>
        </is>
      </c>
      <c r="E136" s="2" t="inlineStr">
        <is>
          <t>2113200002915</t>
        </is>
      </c>
      <c r="F136" s="2" t="n">
        <v>38.7</v>
      </c>
      <c r="G136" s="2" t="n">
        <v>26.5</v>
      </c>
      <c r="H136" s="2" t="n">
        <v>11.7</v>
      </c>
      <c r="I136" s="2" t="n"/>
      <c r="J136" s="2" t="n"/>
      <c r="K136" s="2" t="n"/>
      <c r="L136" s="2" t="inlineStr">
        <is>
          <t>聚乙烯</t>
        </is>
      </c>
      <c r="M136" s="2" t="inlineStr">
        <is>
          <t>白色</t>
        </is>
      </c>
      <c r="N136" s="2" t="inlineStr"/>
      <c r="O136" s="2" t="inlineStr">
        <is>
          <t>N</t>
        </is>
      </c>
      <c r="P136" s="2" t="n">
        <v>179</v>
      </c>
      <c r="Q136" s="2" t="inlineStr">
        <is>
          <t>2026-10-26</t>
        </is>
      </c>
      <c r="R136" s="3" t="inlineStr">
        <is>
          <t>https://www.nitori-net.tw/product/2113200002915</t>
        </is>
      </c>
      <c r="S136" s="2" t="inlineStr">
        <is>
          <t>官網</t>
        </is>
      </c>
      <c r="T136" s="2" t="inlineStr">
        <is>
          <t>high</t>
        </is>
      </c>
      <c r="U136" s="2" t="inlineStr">
        <is>
          <t>另售蓋：收納盒蓋 寬型用 SOFT N INBOX V(2113200002939，約39.2×27×1.3公分)</t>
        </is>
      </c>
      <c r="V136" s="2" t="inlineStr"/>
    </row>
    <row r="137">
      <c r="A137" s="2" t="inlineStr">
        <is>
          <t>NITORI-021</t>
        </is>
      </c>
      <c r="B137" s="2" t="inlineStr">
        <is>
          <t>NITORI</t>
        </is>
      </c>
      <c r="C137" s="2" t="inlineStr">
        <is>
          <t>SOFT N INBOX</t>
        </is>
      </c>
      <c r="D137" s="2" t="inlineStr">
        <is>
          <t>收納盒 窄高型 SOFT N INBOX V</t>
        </is>
      </c>
      <c r="E137" s="2" t="inlineStr">
        <is>
          <t>2113200002908/2113200005305/2113200005367</t>
        </is>
      </c>
      <c r="F137" s="2" t="n">
        <v>19.1</v>
      </c>
      <c r="G137" s="2" t="n">
        <v>26.5</v>
      </c>
      <c r="H137" s="2" t="n">
        <v>23.5</v>
      </c>
      <c r="I137" s="2" t="n"/>
      <c r="J137" s="2" t="n"/>
      <c r="K137" s="2" t="n"/>
      <c r="L137" s="2" t="inlineStr">
        <is>
          <t>聚乙烯</t>
        </is>
      </c>
      <c r="M137" s="2" t="inlineStr">
        <is>
          <t>白色/類白色/淺摩卡色</t>
        </is>
      </c>
      <c r="N137" s="2" t="inlineStr"/>
      <c r="O137" s="2" t="inlineStr">
        <is>
          <t>N</t>
        </is>
      </c>
      <c r="P137" s="2" t="n">
        <v>179</v>
      </c>
      <c r="Q137" s="2" t="inlineStr">
        <is>
          <t>2026-10-26</t>
        </is>
      </c>
      <c r="R137" s="3" t="inlineStr">
        <is>
          <t>https://www.nitori-net.tw/product/2113200002908</t>
        </is>
      </c>
      <c r="S137" s="2" t="inlineStr">
        <is>
          <t>官網</t>
        </is>
      </c>
      <c r="T137" s="2" t="inlineStr">
        <is>
          <t>high</t>
        </is>
      </c>
      <c r="U137" s="2" t="inlineStr">
        <is>
          <t>另售蓋：收納盒蓋 窄型用 SOFT N INBOX V(2113200002946，約19.6×27×1.3公分)；類白色、淺摩卡色為DECO HOME商品</t>
        </is>
      </c>
      <c r="V137" s="2" t="inlineStr"/>
    </row>
    <row r="138">
      <c r="A138" s="2" t="inlineStr">
        <is>
          <t>NITORI-022</t>
        </is>
      </c>
      <c r="B138" s="2" t="inlineStr">
        <is>
          <t>NITORI</t>
        </is>
      </c>
      <c r="C138" s="2" t="inlineStr">
        <is>
          <t>SOFT N INBOX</t>
        </is>
      </c>
      <c r="D138" s="2" t="inlineStr">
        <is>
          <t>收納盒 窄低型 SOFT N INBOX V</t>
        </is>
      </c>
      <c r="E138" s="2" t="inlineStr">
        <is>
          <t>2113200002922/2113200005381</t>
        </is>
      </c>
      <c r="F138" s="2" t="n">
        <v>19.1</v>
      </c>
      <c r="G138" s="2" t="n">
        <v>26.5</v>
      </c>
      <c r="H138" s="2" t="n">
        <v>11.7</v>
      </c>
      <c r="I138" s="2" t="n"/>
      <c r="J138" s="2" t="n"/>
      <c r="K138" s="2" t="n"/>
      <c r="L138" s="2" t="inlineStr">
        <is>
          <t>聚乙烯</t>
        </is>
      </c>
      <c r="M138" s="2" t="inlineStr">
        <is>
          <t>白色/淺摩卡色</t>
        </is>
      </c>
      <c r="N138" s="2" t="inlineStr"/>
      <c r="O138" s="2" t="inlineStr">
        <is>
          <t>N</t>
        </is>
      </c>
      <c r="P138" s="2" t="n">
        <v>129</v>
      </c>
      <c r="Q138" s="2" t="inlineStr">
        <is>
          <t>2026-10-26</t>
        </is>
      </c>
      <c r="R138" s="3" t="inlineStr">
        <is>
          <t>https://www.nitori-net.tw/product/2113200002922</t>
        </is>
      </c>
      <c r="S138" s="2" t="inlineStr">
        <is>
          <t>官網</t>
        </is>
      </c>
      <c r="T138" s="2" t="inlineStr">
        <is>
          <t>high</t>
        </is>
      </c>
      <c r="U138" s="2" t="inlineStr">
        <is>
          <t>另售蓋：收納盒蓋 窄型用 SOFT N INBOX V(2113200002946，約19.6×27×1.3公分)；淺摩卡色為DECO HOME商品；價格：淺摩卡色 119元</t>
        </is>
      </c>
      <c r="V138" s="2" t="inlineStr"/>
    </row>
    <row r="139">
      <c r="A139" s="2" t="inlineStr">
        <is>
          <t>NITORI-023</t>
        </is>
      </c>
      <c r="B139" s="2" t="inlineStr">
        <is>
          <t>NITORI</t>
        </is>
      </c>
      <c r="C139" s="2" t="inlineStr">
        <is>
          <t>SOFT N INBOX</t>
        </is>
      </c>
      <c r="D139" s="2" t="inlineStr">
        <is>
          <t>【DECO HOME商品】收納盒 細長型 SOFT N INBOX</t>
        </is>
      </c>
      <c r="E139" s="2" t="inlineStr">
        <is>
          <t>5842257/5842263</t>
        </is>
      </c>
      <c r="F139" s="2" t="n">
        <v>38</v>
      </c>
      <c r="G139" s="2" t="n">
        <v>13</v>
      </c>
      <c r="H139" s="2" t="n">
        <v>11.8</v>
      </c>
      <c r="I139" s="2" t="n"/>
      <c r="J139" s="2" t="n"/>
      <c r="K139" s="2" t="n"/>
      <c r="L139" s="2" t="inlineStr">
        <is>
          <t>聚乙烯</t>
        </is>
      </c>
      <c r="M139" s="2" t="inlineStr">
        <is>
          <t>米白色/淺摩卡</t>
        </is>
      </c>
      <c r="N139" s="2" t="inlineStr"/>
      <c r="O139" s="2" t="inlineStr">
        <is>
          <t>N</t>
        </is>
      </c>
      <c r="P139" s="2" t="n">
        <v>99</v>
      </c>
      <c r="Q139" s="2" t="inlineStr">
        <is>
          <t>2026-10-26</t>
        </is>
      </c>
      <c r="R139" s="3" t="inlineStr">
        <is>
          <t>https://www.nitori-net.tw/product/5842257</t>
        </is>
      </c>
      <c r="S139" s="2" t="inlineStr">
        <is>
          <t>官網</t>
        </is>
      </c>
      <c r="T139" s="2" t="inlineStr">
        <is>
          <t>high</t>
        </is>
      </c>
      <c r="U139" s="2" t="inlineStr">
        <is>
          <t>官網：深度為寬低型的一半；可搭配另售收納盒分隔板 SOFT N INBOX(8421417)</t>
        </is>
      </c>
      <c r="V139" s="2" t="inlineStr"/>
    </row>
    <row r="140">
      <c r="A140" s="2" t="inlineStr">
        <is>
          <t>NITORI-024</t>
        </is>
      </c>
      <c r="B140" s="2" t="inlineStr">
        <is>
          <t>NITORI</t>
        </is>
      </c>
      <c r="C140" s="2" t="inlineStr">
        <is>
          <t>SOFT N INBOX</t>
        </is>
      </c>
      <c r="D140" s="2" t="inlineStr">
        <is>
          <t>【DECO HOME商品】收納盒 小 SOFT N INBOX</t>
        </is>
      </c>
      <c r="E140" s="2" t="inlineStr">
        <is>
          <t>5842258/5842264</t>
        </is>
      </c>
      <c r="F140" s="2" t="n">
        <v>19</v>
      </c>
      <c r="G140" s="2" t="n">
        <v>13</v>
      </c>
      <c r="H140" s="2" t="n">
        <v>11.8</v>
      </c>
      <c r="I140" s="2" t="n"/>
      <c r="J140" s="2" t="n"/>
      <c r="K140" s="2" t="n"/>
      <c r="L140" s="2" t="inlineStr">
        <is>
          <t>聚乙烯</t>
        </is>
      </c>
      <c r="M140" s="2" t="inlineStr">
        <is>
          <t>米白色/淺摩卡</t>
        </is>
      </c>
      <c r="N140" s="2" t="inlineStr"/>
      <c r="O140" s="2" t="inlineStr">
        <is>
          <t>N</t>
        </is>
      </c>
      <c r="P140" s="2" t="n">
        <v>69</v>
      </c>
      <c r="Q140" s="2" t="inlineStr">
        <is>
          <t>2026-10-26</t>
        </is>
      </c>
      <c r="R140" s="3" t="inlineStr">
        <is>
          <t>https://www.nitori-net.tw/product/5842258</t>
        </is>
      </c>
      <c r="S140" s="2" t="inlineStr">
        <is>
          <t>官網</t>
        </is>
      </c>
      <c r="T140" s="2" t="inlineStr">
        <is>
          <t>high</t>
        </is>
      </c>
      <c r="U140" s="2" t="inlineStr">
        <is>
          <t>官網：深度為窄低型的一半；可搭配另售收納盒分隔板 SOFT N INBOX(8421417)</t>
        </is>
      </c>
      <c r="V140" s="2" t="inlineStr"/>
    </row>
    <row r="141">
      <c r="A141" s="2" t="inlineStr">
        <is>
          <t>NITORI-025</t>
        </is>
      </c>
      <c r="B141" s="2" t="inlineStr">
        <is>
          <t>NITORI</t>
        </is>
      </c>
      <c r="C141" s="2" t="inlineStr">
        <is>
          <t>SOFT N INBOX</t>
        </is>
      </c>
      <c r="D141" s="2" t="inlineStr">
        <is>
          <t>分隔用收納盒 寬型用 SOFT N INBOX</t>
        </is>
      </c>
      <c r="E141" s="2" t="inlineStr">
        <is>
          <t>2113200010408</t>
        </is>
      </c>
      <c r="F141" s="2" t="n">
        <v>38</v>
      </c>
      <c r="G141" s="2" t="n">
        <v>13</v>
      </c>
      <c r="H141" s="2" t="n">
        <v>11.8</v>
      </c>
      <c r="I141" s="2" t="n"/>
      <c r="J141" s="2" t="n"/>
      <c r="K141" s="2" t="n"/>
      <c r="L141" s="2" t="inlineStr">
        <is>
          <t>聚乙烯</t>
        </is>
      </c>
      <c r="M141" s="2" t="inlineStr">
        <is>
          <t>白色</t>
        </is>
      </c>
      <c r="N141" s="2" t="inlineStr"/>
      <c r="O141" s="2" t="inlineStr">
        <is>
          <t>N</t>
        </is>
      </c>
      <c r="P141" s="2" t="n">
        <v>99</v>
      </c>
      <c r="Q141" s="2" t="inlineStr">
        <is>
          <t>2026-10-26</t>
        </is>
      </c>
      <c r="R141" s="3" t="inlineStr">
        <is>
          <t>https://www.nitori-net.tw/product/2113200010408</t>
        </is>
      </c>
      <c r="S141" s="2" t="inlineStr">
        <is>
          <t>官網</t>
        </is>
      </c>
      <c r="T141" s="2" t="inlineStr">
        <is>
          <t>high</t>
        </is>
      </c>
      <c r="U141" s="2" t="inlineStr">
        <is>
          <t>尺寸同細長型；依官方尺寸2個前後並排≈1個寬低型</t>
        </is>
      </c>
      <c r="V141" s="2" t="inlineStr"/>
    </row>
    <row r="142">
      <c r="A142" s="2" t="inlineStr">
        <is>
          <t>NITORI-026</t>
        </is>
      </c>
      <c r="B142" s="2" t="inlineStr">
        <is>
          <t>NITORI</t>
        </is>
      </c>
      <c r="C142" s="2" t="inlineStr">
        <is>
          <t>SOFT N INBOX</t>
        </is>
      </c>
      <c r="D142" s="2" t="inlineStr">
        <is>
          <t>分隔用收納盒 窄型用 SOFT N INBOX</t>
        </is>
      </c>
      <c r="E142" s="2" t="inlineStr">
        <is>
          <t>2113200010392</t>
        </is>
      </c>
      <c r="F142" s="2" t="n">
        <v>19</v>
      </c>
      <c r="G142" s="2" t="n">
        <v>13</v>
      </c>
      <c r="H142" s="2" t="n">
        <v>11.8</v>
      </c>
      <c r="I142" s="2" t="n"/>
      <c r="J142" s="2" t="n"/>
      <c r="K142" s="2" t="n"/>
      <c r="L142" s="2" t="inlineStr">
        <is>
          <t>聚乙烯</t>
        </is>
      </c>
      <c r="M142" s="2" t="inlineStr">
        <is>
          <t>白色</t>
        </is>
      </c>
      <c r="N142" s="2" t="inlineStr"/>
      <c r="O142" s="2" t="inlineStr">
        <is>
          <t>N</t>
        </is>
      </c>
      <c r="P142" s="2" t="n">
        <v>69</v>
      </c>
      <c r="Q142" s="2" t="inlineStr">
        <is>
          <t>2026-10-26</t>
        </is>
      </c>
      <c r="R142" s="3" t="inlineStr">
        <is>
          <t>https://www.nitori-net.tw/product/2113200010392</t>
        </is>
      </c>
      <c r="S142" s="2" t="inlineStr">
        <is>
          <t>官網</t>
        </is>
      </c>
      <c r="T142" s="2" t="inlineStr">
        <is>
          <t>high</t>
        </is>
      </c>
      <c r="U142" s="2" t="inlineStr">
        <is>
          <t>尺寸同「小」；依官方尺寸2個前後並排≈1個窄低型</t>
        </is>
      </c>
      <c r="V142" s="2" t="inlineStr"/>
    </row>
    <row r="143">
      <c r="A143" s="2" t="inlineStr">
        <is>
          <t>NITORI-027</t>
        </is>
      </c>
      <c r="B143" s="2" t="inlineStr">
        <is>
          <t>NITORI</t>
        </is>
      </c>
      <c r="C143" s="2" t="inlineStr">
        <is>
          <t>多功能抽屜收納盒</t>
        </is>
      </c>
      <c r="D143" s="2" t="inlineStr">
        <is>
          <t>寬19cm 多功能抽屜收納盒 白色S 半格型</t>
        </is>
      </c>
      <c r="E143" s="2" t="inlineStr">
        <is>
          <t>8732215</t>
        </is>
      </c>
      <c r="F143" s="2" t="n">
        <v>18.5</v>
      </c>
      <c r="G143" s="2" t="n">
        <v>35.5</v>
      </c>
      <c r="H143" s="2" t="n">
        <v>12.5</v>
      </c>
      <c r="I143" s="2" t="n">
        <v>14.5</v>
      </c>
      <c r="J143" s="2" t="n">
        <v>32.5</v>
      </c>
      <c r="K143" s="2" t="n">
        <v>8</v>
      </c>
      <c r="L143" s="2" t="inlineStr">
        <is>
          <t>PP（本體、隔板、連結部分）、橡膠（止滑部）</t>
        </is>
      </c>
      <c r="M143" s="2" t="inlineStr">
        <is>
          <t>白色</t>
        </is>
      </c>
      <c r="N143" s="2" t="inlineStr">
        <is>
          <t>Y</t>
        </is>
      </c>
      <c r="O143" s="2" t="inlineStr">
        <is>
          <t>N</t>
        </is>
      </c>
      <c r="P143" s="2" t="n">
        <v>249</v>
      </c>
      <c r="Q143" s="2" t="inlineStr">
        <is>
          <t>2026-10-26</t>
        </is>
      </c>
      <c r="R143" s="3" t="inlineStr">
        <is>
          <t>https://www.nitori-net.tw/product/8732215</t>
        </is>
      </c>
      <c r="S143" s="2" t="inlineStr">
        <is>
          <t>官網</t>
        </is>
      </c>
      <c r="T143" s="2" t="inlineStr">
        <is>
          <t>high</t>
        </is>
      </c>
      <c r="U143" s="2" t="inlineStr">
        <is>
          <t>官網：堆疊使用時收納物品總重約15kg以下；外寸與內寸取自商品說明（說明以「長×寬×高」標示）</t>
        </is>
      </c>
      <c r="V143" s="2" t="inlineStr"/>
    </row>
    <row r="144">
      <c r="A144" s="2" t="inlineStr">
        <is>
          <t>NITORI-028</t>
        </is>
      </c>
      <c r="B144" s="2" t="inlineStr">
        <is>
          <t>NITORI</t>
        </is>
      </c>
      <c r="C144" s="2" t="inlineStr">
        <is>
          <t>多功能抽屜收納盒</t>
        </is>
      </c>
      <c r="D144" s="2" t="inlineStr">
        <is>
          <t>寬19cm 多功能抽屜收納盒 白色M 半格型</t>
        </is>
      </c>
      <c r="E144" s="2" t="inlineStr">
        <is>
          <t>8732216</t>
        </is>
      </c>
      <c r="F144" s="2" t="n">
        <v>18.5</v>
      </c>
      <c r="G144" s="2" t="n">
        <v>35.5</v>
      </c>
      <c r="H144" s="2" t="n">
        <v>19</v>
      </c>
      <c r="I144" s="2" t="n">
        <v>14.5</v>
      </c>
      <c r="J144" s="2" t="n">
        <v>32.5</v>
      </c>
      <c r="K144" s="2" t="n">
        <v>14.5</v>
      </c>
      <c r="L144" s="2" t="inlineStr">
        <is>
          <t>PP（本體、隔板、連結部分）、橡膠（止滑部）</t>
        </is>
      </c>
      <c r="M144" s="2" t="inlineStr">
        <is>
          <t>白色</t>
        </is>
      </c>
      <c r="N144" s="2" t="inlineStr">
        <is>
          <t>Y</t>
        </is>
      </c>
      <c r="O144" s="2" t="inlineStr">
        <is>
          <t>N</t>
        </is>
      </c>
      <c r="P144" s="2" t="n">
        <v>349</v>
      </c>
      <c r="Q144" s="2" t="inlineStr">
        <is>
          <t>2026-10-26</t>
        </is>
      </c>
      <c r="R144" s="3" t="inlineStr">
        <is>
          <t>https://www.nitori-net.tw/product/8732216</t>
        </is>
      </c>
      <c r="S144" s="2" t="inlineStr">
        <is>
          <t>官網</t>
        </is>
      </c>
      <c r="T144" s="2" t="inlineStr">
        <is>
          <t>high</t>
        </is>
      </c>
      <c r="U144" s="2" t="inlineStr">
        <is>
          <t>官網：堆疊使用時收納物品總重約15kg以下；外寸與內寸取自商品說明</t>
        </is>
      </c>
      <c r="V144" s="2" t="inlineStr"/>
    </row>
    <row r="145">
      <c r="A145" s="2" t="inlineStr">
        <is>
          <t>NITORI-029</t>
        </is>
      </c>
      <c r="B145" s="2" t="inlineStr">
        <is>
          <t>NITORI</t>
        </is>
      </c>
      <c r="C145" s="2" t="inlineStr">
        <is>
          <t>多功能抽屜收納盒</t>
        </is>
      </c>
      <c r="D145" s="2" t="inlineStr">
        <is>
          <t>寬19cm 多功能抽屜收納盒 白色L 半格型</t>
        </is>
      </c>
      <c r="E145" s="2" t="inlineStr">
        <is>
          <t>8732217</t>
        </is>
      </c>
      <c r="F145" s="2" t="n">
        <v>18.5</v>
      </c>
      <c r="G145" s="2" t="n">
        <v>35.5</v>
      </c>
      <c r="H145" s="2" t="n">
        <v>25</v>
      </c>
      <c r="I145" s="2" t="n">
        <v>14.5</v>
      </c>
      <c r="J145" s="2" t="n">
        <v>32.5</v>
      </c>
      <c r="K145" s="2" t="n">
        <v>20.5</v>
      </c>
      <c r="L145" s="2" t="inlineStr">
        <is>
          <t>PP（本體、隔板、連結部分）、橡膠（止滑部）</t>
        </is>
      </c>
      <c r="M145" s="2" t="inlineStr">
        <is>
          <t>白色</t>
        </is>
      </c>
      <c r="N145" s="2" t="inlineStr">
        <is>
          <t>Y</t>
        </is>
      </c>
      <c r="O145" s="2" t="inlineStr">
        <is>
          <t>N</t>
        </is>
      </c>
      <c r="P145" s="2" t="n">
        <v>399</v>
      </c>
      <c r="Q145" s="2" t="inlineStr">
        <is>
          <t>2026-10-26</t>
        </is>
      </c>
      <c r="R145" s="3" t="inlineStr">
        <is>
          <t>https://www.nitori-net.tw/product/8732217</t>
        </is>
      </c>
      <c r="S145" s="2" t="inlineStr">
        <is>
          <t>官網</t>
        </is>
      </c>
      <c r="T145" s="2" t="inlineStr">
        <is>
          <t>high</t>
        </is>
      </c>
      <c r="U145" s="2" t="inlineStr">
        <is>
          <t>官網：堆疊使用時收納物品總重約15kg以下；外寸與內寸取自商品說明</t>
        </is>
      </c>
      <c r="V145" s="2" t="inlineStr"/>
    </row>
    <row r="146">
      <c r="A146" s="2" t="inlineStr">
        <is>
          <t>NITORI-030</t>
        </is>
      </c>
      <c r="B146" s="2" t="inlineStr">
        <is>
          <t>NITORI</t>
        </is>
      </c>
      <c r="C146" s="2" t="inlineStr">
        <is>
          <t>多功能抽屜收納盒</t>
        </is>
      </c>
      <c r="D146" s="2" t="inlineStr">
        <is>
          <t>多功能抽屜收納盒 白色S 寬型 寬38cm</t>
        </is>
      </c>
      <c r="E146" s="2" t="inlineStr">
        <is>
          <t>8732218</t>
        </is>
      </c>
      <c r="F146" s="2" t="n">
        <v>37.5</v>
      </c>
      <c r="G146" s="2" t="n">
        <v>35.5</v>
      </c>
      <c r="H146" s="2" t="n">
        <v>12.5</v>
      </c>
      <c r="I146" s="2" t="n">
        <v>32.5</v>
      </c>
      <c r="J146" s="2" t="n">
        <v>32.5</v>
      </c>
      <c r="K146" s="2" t="n">
        <v>8</v>
      </c>
      <c r="L146" s="2" t="inlineStr">
        <is>
          <t>PP（本體、隔板、連結部分）、橡膠（止滑部）</t>
        </is>
      </c>
      <c r="M146" s="2" t="inlineStr">
        <is>
          <t>白色</t>
        </is>
      </c>
      <c r="N146" s="2" t="inlineStr">
        <is>
          <t>Y</t>
        </is>
      </c>
      <c r="O146" s="2" t="inlineStr">
        <is>
          <t>N</t>
        </is>
      </c>
      <c r="P146" s="2" t="n">
        <v>399</v>
      </c>
      <c r="Q146" s="2" t="inlineStr">
        <is>
          <t>2026-10-26</t>
        </is>
      </c>
      <c r="R146" s="3" t="inlineStr">
        <is>
          <t>https://www.nitori-net.tw/product/8732218</t>
        </is>
      </c>
      <c r="S146" s="2" t="inlineStr">
        <is>
          <t>官網</t>
        </is>
      </c>
      <c r="T146" s="2" t="inlineStr">
        <is>
          <t>high</t>
        </is>
      </c>
      <c r="U146" s="2" t="inlineStr">
        <is>
          <t>官網：堆疊使用時收納物品總重約15kg以下；外寸與內寸取自商品說明；規格欄僅標示約寬38公分</t>
        </is>
      </c>
      <c r="V146" s="2" t="inlineStr"/>
    </row>
    <row r="147">
      <c r="A147" s="2" t="inlineStr">
        <is>
          <t>NITORI-031</t>
        </is>
      </c>
      <c r="B147" s="2" t="inlineStr">
        <is>
          <t>NITORI</t>
        </is>
      </c>
      <c r="C147" s="2" t="inlineStr">
        <is>
          <t>多功能抽屜收納盒</t>
        </is>
      </c>
      <c r="D147" s="2" t="inlineStr">
        <is>
          <t>多功能抽屜收納盒 白色M 寬型 寬38cm</t>
        </is>
      </c>
      <c r="E147" s="2" t="inlineStr">
        <is>
          <t>8732219</t>
        </is>
      </c>
      <c r="F147" s="2" t="n">
        <v>38</v>
      </c>
      <c r="G147" s="2" t="n">
        <v>36</v>
      </c>
      <c r="H147" s="2" t="n">
        <v>19</v>
      </c>
      <c r="I147" s="2" t="n">
        <v>33</v>
      </c>
      <c r="J147" s="2" t="n">
        <v>33</v>
      </c>
      <c r="K147" s="2" t="n">
        <v>15</v>
      </c>
      <c r="L147" s="2" t="inlineStr">
        <is>
          <t>PP（本體、隔板、連結部分）、橡膠（止滑部）</t>
        </is>
      </c>
      <c r="M147" s="2" t="inlineStr">
        <is>
          <t>白色</t>
        </is>
      </c>
      <c r="N147" s="2" t="inlineStr">
        <is>
          <t>Y</t>
        </is>
      </c>
      <c r="O147" s="2" t="inlineStr">
        <is>
          <t>N</t>
        </is>
      </c>
      <c r="P147" s="2" t="n">
        <v>599</v>
      </c>
      <c r="Q147" s="2" t="inlineStr">
        <is>
          <t>2026-10-26</t>
        </is>
      </c>
      <c r="R147" s="3" t="inlineStr">
        <is>
          <t>https://www.nitori-net.tw/product/8732219</t>
        </is>
      </c>
      <c r="S147" s="2" t="inlineStr">
        <is>
          <t>官網</t>
        </is>
      </c>
      <c r="T147" s="2" t="inlineStr">
        <is>
          <t>medium</t>
        </is>
      </c>
      <c r="U147" s="2" t="inlineStr">
        <is>
          <t>官網：堆疊使用時收納物品總重約15kg以下；外寸與內寸取自商品說明；資料衝突：M頁說明列S/M/L皆寬38×深36（S/L頁為37.5×35.5），此列依M頁</t>
        </is>
      </c>
      <c r="V147" s="2" t="inlineStr"/>
    </row>
    <row r="148">
      <c r="A148" s="2" t="inlineStr">
        <is>
          <t>NITORI-032</t>
        </is>
      </c>
      <c r="B148" s="2" t="inlineStr">
        <is>
          <t>NITORI</t>
        </is>
      </c>
      <c r="C148" s="2" t="inlineStr">
        <is>
          <t>多功能抽屜收納盒</t>
        </is>
      </c>
      <c r="D148" s="2" t="inlineStr">
        <is>
          <t>多功能抽屜收納盒 白色L 寬型 寬38cm</t>
        </is>
      </c>
      <c r="E148" s="2" t="inlineStr">
        <is>
          <t>8732221</t>
        </is>
      </c>
      <c r="F148" s="2" t="n">
        <v>37.5</v>
      </c>
      <c r="G148" s="2" t="n">
        <v>35.5</v>
      </c>
      <c r="H148" s="2" t="n">
        <v>25</v>
      </c>
      <c r="I148" s="2" t="n">
        <v>32.5</v>
      </c>
      <c r="J148" s="2" t="n">
        <v>32.5</v>
      </c>
      <c r="K148" s="2" t="n">
        <v>20.5</v>
      </c>
      <c r="L148" s="2" t="inlineStr">
        <is>
          <t>PP（本體、隔板、連結部分）、橡膠（止滑部）</t>
        </is>
      </c>
      <c r="M148" s="2" t="inlineStr">
        <is>
          <t>白色</t>
        </is>
      </c>
      <c r="N148" s="2" t="inlineStr">
        <is>
          <t>Y</t>
        </is>
      </c>
      <c r="O148" s="2" t="inlineStr">
        <is>
          <t>N</t>
        </is>
      </c>
      <c r="P148" s="2" t="n">
        <v>599</v>
      </c>
      <c r="Q148" s="2" t="inlineStr">
        <is>
          <t>2026-10-26</t>
        </is>
      </c>
      <c r="R148" s="3" t="inlineStr">
        <is>
          <t>https://www.nitori-net.tw/product/8732221</t>
        </is>
      </c>
      <c r="S148" s="2" t="inlineStr">
        <is>
          <t>官網</t>
        </is>
      </c>
      <c r="T148" s="2" t="inlineStr">
        <is>
          <t>high</t>
        </is>
      </c>
      <c r="U148" s="2" t="inlineStr">
        <is>
          <t>官網：堆疊使用時收納物品總重約15kg以下；外寸與內寸取自商品說明；規格欄僅標示約寬38公分</t>
        </is>
      </c>
      <c r="V148" s="2" t="inlineStr"/>
    </row>
    <row r="149">
      <c r="A149" s="2" t="inlineStr">
        <is>
          <t>NITORI-033</t>
        </is>
      </c>
      <c r="B149" s="2" t="inlineStr">
        <is>
          <t>NITORI</t>
        </is>
      </c>
      <c r="C149" s="2" t="inlineStr">
        <is>
          <t>多功能收納盒</t>
        </is>
      </c>
      <c r="D149" s="2" t="inlineStr">
        <is>
          <t>多功能收納盒 六格</t>
        </is>
      </c>
      <c r="E149" s="2" t="inlineStr">
        <is>
          <t>8732683</t>
        </is>
      </c>
      <c r="F149" s="2" t="n">
        <v>15</v>
      </c>
      <c r="G149" s="2" t="n">
        <v>11</v>
      </c>
      <c r="H149" s="2" t="n">
        <v>4.5</v>
      </c>
      <c r="I149" s="2" t="n"/>
      <c r="J149" s="2" t="n"/>
      <c r="K149" s="2" t="n"/>
      <c r="L149" s="2" t="inlineStr">
        <is>
          <t>聚丙烯</t>
        </is>
      </c>
      <c r="M149" s="2" t="inlineStr">
        <is>
          <t>透明色</t>
        </is>
      </c>
      <c r="N149" s="2" t="inlineStr">
        <is>
          <t>Y</t>
        </is>
      </c>
      <c r="O149" s="2" t="inlineStr">
        <is>
          <t>N</t>
        </is>
      </c>
      <c r="P149" s="2" t="n">
        <v>49</v>
      </c>
      <c r="Q149" s="2" t="inlineStr">
        <is>
          <t>2026-10-26</t>
        </is>
      </c>
      <c r="R149" s="3" t="inlineStr">
        <is>
          <t>https://www.nitori-net.tw/product/8732683</t>
        </is>
      </c>
      <c r="S149" s="2" t="inlineStr">
        <is>
          <t>官網</t>
        </is>
      </c>
      <c r="T149" s="2" t="inlineStr">
        <is>
          <t>high</t>
        </is>
      </c>
      <c r="U149" s="2" t="inlineStr">
        <is>
          <t>官網：不同尺寸可推疊使用；價格：查詢日售價49（原價59）</t>
        </is>
      </c>
      <c r="V149" s="2" t="inlineStr"/>
    </row>
    <row r="150">
      <c r="A150" s="2" t="inlineStr">
        <is>
          <t>NITORI-034</t>
        </is>
      </c>
      <c r="B150" s="2" t="inlineStr">
        <is>
          <t>NITORI</t>
        </is>
      </c>
      <c r="C150" s="2" t="inlineStr">
        <is>
          <t>多功能收納盒</t>
        </is>
      </c>
      <c r="D150" s="2" t="inlineStr">
        <is>
          <t>多功能收納盒 六格加高</t>
        </is>
      </c>
      <c r="E150" s="2" t="inlineStr">
        <is>
          <t>8732684</t>
        </is>
      </c>
      <c r="F150" s="2" t="n">
        <v>15</v>
      </c>
      <c r="G150" s="2" t="n">
        <v>11</v>
      </c>
      <c r="H150" s="2" t="n">
        <v>8.5</v>
      </c>
      <c r="I150" s="2" t="n"/>
      <c r="J150" s="2" t="n"/>
      <c r="K150" s="2" t="n"/>
      <c r="L150" s="2" t="inlineStr">
        <is>
          <t>聚丙烯</t>
        </is>
      </c>
      <c r="M150" s="2" t="inlineStr">
        <is>
          <t>透明色</t>
        </is>
      </c>
      <c r="N150" s="2" t="inlineStr">
        <is>
          <t>Y</t>
        </is>
      </c>
      <c r="O150" s="2" t="inlineStr">
        <is>
          <t>N</t>
        </is>
      </c>
      <c r="P150" s="2" t="n">
        <v>59</v>
      </c>
      <c r="Q150" s="2" t="inlineStr">
        <is>
          <t>2026-10-26</t>
        </is>
      </c>
      <c r="R150" s="3" t="inlineStr">
        <is>
          <t>https://www.nitori-net.tw/product/8732684</t>
        </is>
      </c>
      <c r="S150" s="2" t="inlineStr">
        <is>
          <t>官網</t>
        </is>
      </c>
      <c r="T150" s="2" t="inlineStr">
        <is>
          <t>high</t>
        </is>
      </c>
      <c r="U150" s="2" t="inlineStr">
        <is>
          <t>官網：不同尺寸可推疊使用；價格：查詢日售價59（原價69）</t>
        </is>
      </c>
      <c r="V150" s="2" t="inlineStr"/>
    </row>
    <row r="151">
      <c r="A151" s="2" t="inlineStr">
        <is>
          <t>NITORI-035</t>
        </is>
      </c>
      <c r="B151" s="2" t="inlineStr">
        <is>
          <t>NITORI</t>
        </is>
      </c>
      <c r="C151" s="2" t="inlineStr">
        <is>
          <t>多功能收納盒</t>
        </is>
      </c>
      <c r="D151" s="2" t="inlineStr">
        <is>
          <t>多功能收納盒 淺型 S</t>
        </is>
      </c>
      <c r="E151" s="2" t="inlineStr">
        <is>
          <t>8732681</t>
        </is>
      </c>
      <c r="F151" s="2" t="n">
        <v>15</v>
      </c>
      <c r="G151" s="2" t="n">
        <v>11</v>
      </c>
      <c r="H151" s="2" t="n">
        <v>2</v>
      </c>
      <c r="I151" s="2" t="n"/>
      <c r="J151" s="2" t="n"/>
      <c r="K151" s="2" t="n"/>
      <c r="L151" s="2" t="inlineStr">
        <is>
          <t>聚丙烯</t>
        </is>
      </c>
      <c r="M151" s="2" t="inlineStr">
        <is>
          <t>透明色</t>
        </is>
      </c>
      <c r="N151" s="2" t="inlineStr">
        <is>
          <t>Y</t>
        </is>
      </c>
      <c r="O151" s="2" t="inlineStr">
        <is>
          <t>N</t>
        </is>
      </c>
      <c r="P151" s="2" t="n">
        <v>29</v>
      </c>
      <c r="Q151" s="2" t="inlineStr">
        <is>
          <t>2026-10-26</t>
        </is>
      </c>
      <c r="R151" s="3" t="inlineStr">
        <is>
          <t>https://www.nitori-net.tw/product/8732681</t>
        </is>
      </c>
      <c r="S151" s="2" t="inlineStr">
        <is>
          <t>官網</t>
        </is>
      </c>
      <c r="T151" s="2" t="inlineStr">
        <is>
          <t>high</t>
        </is>
      </c>
      <c r="U151" s="2" t="inlineStr">
        <is>
          <t>官網：不同尺寸可推疊使用</t>
        </is>
      </c>
      <c r="V151" s="2" t="inlineStr"/>
    </row>
    <row r="152">
      <c r="A152" s="2" t="inlineStr">
        <is>
          <t>NITORI-036</t>
        </is>
      </c>
      <c r="B152" s="2" t="inlineStr">
        <is>
          <t>NITORI</t>
        </is>
      </c>
      <c r="C152" s="2" t="inlineStr">
        <is>
          <t>多功能收納盒</t>
        </is>
      </c>
      <c r="D152" s="2" t="inlineStr">
        <is>
          <t>多功能收納盒 淺型 M</t>
        </is>
      </c>
      <c r="E152" s="2" t="inlineStr">
        <is>
          <t>8732685</t>
        </is>
      </c>
      <c r="F152" s="2" t="n">
        <v>22</v>
      </c>
      <c r="G152" s="2" t="n">
        <v>15</v>
      </c>
      <c r="H152" s="2" t="n">
        <v>2</v>
      </c>
      <c r="I152" s="2" t="n"/>
      <c r="J152" s="2" t="n"/>
      <c r="K152" s="2" t="n"/>
      <c r="L152" s="2" t="inlineStr">
        <is>
          <t>聚丙烯</t>
        </is>
      </c>
      <c r="M152" s="2" t="inlineStr">
        <is>
          <t>透明色</t>
        </is>
      </c>
      <c r="N152" s="2" t="inlineStr">
        <is>
          <t>Y</t>
        </is>
      </c>
      <c r="O152" s="2" t="inlineStr">
        <is>
          <t>N</t>
        </is>
      </c>
      <c r="P152" s="2" t="n">
        <v>39</v>
      </c>
      <c r="Q152" s="2" t="inlineStr">
        <is>
          <t>2026-10-26</t>
        </is>
      </c>
      <c r="R152" s="3" t="inlineStr">
        <is>
          <t>https://www.nitori-net.tw/product/8732685</t>
        </is>
      </c>
      <c r="S152" s="2" t="inlineStr">
        <is>
          <t>官網</t>
        </is>
      </c>
      <c r="T152" s="2" t="inlineStr">
        <is>
          <t>high</t>
        </is>
      </c>
      <c r="U152" s="2" t="inlineStr">
        <is>
          <t>官網：不同尺寸可推疊使用；價格：查詢日售價39（原價49）</t>
        </is>
      </c>
      <c r="V152" s="2" t="inlineStr"/>
    </row>
    <row r="153">
      <c r="A153" s="2" t="inlineStr">
        <is>
          <t>NITORI-037</t>
        </is>
      </c>
      <c r="B153" s="2" t="inlineStr">
        <is>
          <t>NITORI</t>
        </is>
      </c>
      <c r="C153" s="2" t="inlineStr">
        <is>
          <t>多功能收納盒</t>
        </is>
      </c>
      <c r="D153" s="2" t="inlineStr">
        <is>
          <t>多功能收納盒 小盒</t>
        </is>
      </c>
      <c r="E153" s="2" t="inlineStr">
        <is>
          <t>8732682</t>
        </is>
      </c>
      <c r="F153" s="2" t="n">
        <v>15</v>
      </c>
      <c r="G153" s="2" t="n">
        <v>11</v>
      </c>
      <c r="H153" s="2" t="n">
        <v>4.5</v>
      </c>
      <c r="I153" s="2" t="n"/>
      <c r="J153" s="2" t="n"/>
      <c r="K153" s="2" t="n"/>
      <c r="L153" s="2" t="inlineStr">
        <is>
          <t>聚丙烯</t>
        </is>
      </c>
      <c r="M153" s="2" t="inlineStr">
        <is>
          <t>透明色</t>
        </is>
      </c>
      <c r="N153" s="2" t="inlineStr">
        <is>
          <t>Y</t>
        </is>
      </c>
      <c r="O153" s="2" t="inlineStr">
        <is>
          <t>N</t>
        </is>
      </c>
      <c r="P153" s="2" t="n">
        <v>29</v>
      </c>
      <c r="Q153" s="2" t="inlineStr">
        <is>
          <t>2026-10-26</t>
        </is>
      </c>
      <c r="R153" s="3" t="inlineStr">
        <is>
          <t>https://www.nitori-net.tw/product/8732682</t>
        </is>
      </c>
      <c r="S153" s="2" t="inlineStr">
        <is>
          <t>官網</t>
        </is>
      </c>
      <c r="T153" s="2" t="inlineStr">
        <is>
          <t>high</t>
        </is>
      </c>
      <c r="U153" s="2" t="inlineStr">
        <is>
          <t>官網：不同尺寸可推疊使用；價格：查詢日售價29（原價49）</t>
        </is>
      </c>
      <c r="V153" s="2" t="inlineStr"/>
    </row>
    <row r="154">
      <c r="A154" s="2" t="inlineStr">
        <is>
          <t>NITORI-038</t>
        </is>
      </c>
      <c r="B154" s="2" t="inlineStr">
        <is>
          <t>NITORI</t>
        </is>
      </c>
      <c r="C154" s="2" t="inlineStr">
        <is>
          <t>多功能收納盒</t>
        </is>
      </c>
      <c r="D154" s="2" t="inlineStr">
        <is>
          <t>多功能收納盒 大盒</t>
        </is>
      </c>
      <c r="E154" s="2" t="inlineStr">
        <is>
          <t>8732686</t>
        </is>
      </c>
      <c r="F154" s="2" t="n">
        <v>22</v>
      </c>
      <c r="G154" s="2" t="n">
        <v>15</v>
      </c>
      <c r="H154" s="2" t="n">
        <v>9</v>
      </c>
      <c r="I154" s="2" t="n"/>
      <c r="J154" s="2" t="n"/>
      <c r="K154" s="2" t="n"/>
      <c r="L154" s="2" t="inlineStr">
        <is>
          <t>聚丙烯</t>
        </is>
      </c>
      <c r="M154" s="2" t="inlineStr">
        <is>
          <t>透明色</t>
        </is>
      </c>
      <c r="N154" s="2" t="inlineStr">
        <is>
          <t>Y</t>
        </is>
      </c>
      <c r="O154" s="2" t="inlineStr">
        <is>
          <t>N</t>
        </is>
      </c>
      <c r="P154" s="2" t="n">
        <v>69</v>
      </c>
      <c r="Q154" s="2" t="inlineStr">
        <is>
          <t>2026-10-26</t>
        </is>
      </c>
      <c r="R154" s="3" t="inlineStr">
        <is>
          <t>https://www.nitori-net.tw/product/8732686</t>
        </is>
      </c>
      <c r="S154" s="2" t="inlineStr">
        <is>
          <t>官網</t>
        </is>
      </c>
      <c r="T154" s="2" t="inlineStr">
        <is>
          <t>high</t>
        </is>
      </c>
      <c r="U154" s="2" t="inlineStr">
        <is>
          <t>官網：不同尺寸可推疊使用；價格：查詢日售價69（原價89）</t>
        </is>
      </c>
      <c r="V154" s="2" t="inlineStr"/>
    </row>
    <row r="155">
      <c r="A155" s="2" t="inlineStr">
        <is>
          <t>NITORI-039</t>
        </is>
      </c>
      <c r="B155" s="2" t="inlineStr">
        <is>
          <t>NITORI</t>
        </is>
      </c>
      <c r="C155" s="2" t="inlineStr">
        <is>
          <t>多功能收納盒</t>
        </is>
      </c>
      <c r="D155" s="2" t="inlineStr">
        <is>
          <t>多功能收納盒 大盒加高</t>
        </is>
      </c>
      <c r="E155" s="2" t="inlineStr">
        <is>
          <t>8732687</t>
        </is>
      </c>
      <c r="F155" s="2" t="n">
        <v>22</v>
      </c>
      <c r="G155" s="2" t="n">
        <v>15</v>
      </c>
      <c r="H155" s="2" t="n">
        <v>17</v>
      </c>
      <c r="I155" s="2" t="n"/>
      <c r="J155" s="2" t="n"/>
      <c r="K155" s="2" t="n"/>
      <c r="L155" s="2" t="inlineStr">
        <is>
          <t>聚丙烯</t>
        </is>
      </c>
      <c r="M155" s="2" t="inlineStr">
        <is>
          <t>透明色</t>
        </is>
      </c>
      <c r="N155" s="2" t="inlineStr">
        <is>
          <t>Y</t>
        </is>
      </c>
      <c r="O155" s="2" t="inlineStr">
        <is>
          <t>N</t>
        </is>
      </c>
      <c r="P155" s="2" t="n">
        <v>89</v>
      </c>
      <c r="Q155" s="2" t="inlineStr">
        <is>
          <t>2026-10-26</t>
        </is>
      </c>
      <c r="R155" s="3" t="inlineStr">
        <is>
          <t>https://www.nitori-net.tw/product/8732687</t>
        </is>
      </c>
      <c r="S155" s="2" t="inlineStr">
        <is>
          <t>官網</t>
        </is>
      </c>
      <c r="T155" s="2" t="inlineStr">
        <is>
          <t>high</t>
        </is>
      </c>
      <c r="U155" s="2" t="inlineStr">
        <is>
          <t>官網：不同尺寸可推疊使用；價格：查詢日售價89（原價99）</t>
        </is>
      </c>
      <c r="V155" s="2" t="inlineStr"/>
    </row>
    <row r="156">
      <c r="A156" s="2" t="inlineStr">
        <is>
          <t>NITORI-040</t>
        </is>
      </c>
      <c r="B156" s="2" t="inlineStr">
        <is>
          <t>NITORI</t>
        </is>
      </c>
      <c r="C156" s="2" t="inlineStr">
        <is>
          <t>RT</t>
        </is>
      </c>
      <c r="D156" s="2" t="inlineStr">
        <is>
          <t>抽屜收納盒 RT1711 S 2入</t>
        </is>
      </c>
      <c r="E156" s="2" t="inlineStr">
        <is>
          <t>8490226</t>
        </is>
      </c>
      <c r="F156" s="2" t="n">
        <v>17</v>
      </c>
      <c r="G156" s="2" t="n">
        <v>11.4</v>
      </c>
      <c r="H156" s="2" t="n">
        <v>10</v>
      </c>
      <c r="I156" s="2" t="n"/>
      <c r="J156" s="2" t="n"/>
      <c r="K156" s="2" t="n"/>
      <c r="L156" s="2" t="inlineStr">
        <is>
          <t>聚酯纖維</t>
        </is>
      </c>
      <c r="M156" s="2" t="inlineStr">
        <is>
          <t>白色</t>
        </is>
      </c>
      <c r="N156" s="2" t="inlineStr"/>
      <c r="O156" s="2" t="inlineStr">
        <is>
          <t>N</t>
        </is>
      </c>
      <c r="P156" s="2" t="n"/>
      <c r="Q156" s="2" t="inlineStr">
        <is>
          <t>2026-10-26</t>
        </is>
      </c>
      <c r="R156" s="3" t="inlineStr">
        <is>
          <t>https://www.nitori-net.tw/product/8490226</t>
        </is>
      </c>
      <c r="S156" s="2" t="inlineStr">
        <is>
          <t>官網</t>
        </is>
      </c>
      <c r="T156" s="2" t="inlineStr">
        <is>
          <t>high</t>
        </is>
      </c>
      <c r="U156" s="2" t="inlineStr">
        <is>
          <t>SET:8490226|89|2|2;2入一組（尺寸為每件）；說明欄標示寬11.4×深17×高10；官網：可與相同深度、高度的其他尺寸組合</t>
        </is>
      </c>
      <c r="V156" s="2" t="inlineStr">
        <is>
          <t>整組 NT$89，此尺寸 2 件／共 2 件</t>
        </is>
      </c>
    </row>
    <row r="157">
      <c r="A157" s="2" t="inlineStr">
        <is>
          <t>NITORI-041</t>
        </is>
      </c>
      <c r="B157" s="2" t="inlineStr">
        <is>
          <t>NITORI</t>
        </is>
      </c>
      <c r="C157" s="2" t="inlineStr">
        <is>
          <t>RT</t>
        </is>
      </c>
      <c r="D157" s="2" t="inlineStr">
        <is>
          <t>抽屜收納盒 RT1734 M 2入</t>
        </is>
      </c>
      <c r="E157" s="2" t="inlineStr">
        <is>
          <t>8490227</t>
        </is>
      </c>
      <c r="F157" s="2" t="n">
        <v>17</v>
      </c>
      <c r="G157" s="2" t="n">
        <v>34</v>
      </c>
      <c r="H157" s="2" t="n">
        <v>10</v>
      </c>
      <c r="I157" s="2" t="n"/>
      <c r="J157" s="2" t="n"/>
      <c r="K157" s="2" t="n"/>
      <c r="L157" s="2" t="inlineStr">
        <is>
          <t>聚酯纖維</t>
        </is>
      </c>
      <c r="M157" s="2" t="inlineStr">
        <is>
          <t>白色</t>
        </is>
      </c>
      <c r="N157" s="2" t="inlineStr"/>
      <c r="O157" s="2" t="inlineStr">
        <is>
          <t>N</t>
        </is>
      </c>
      <c r="P157" s="2" t="n"/>
      <c r="Q157" s="2" t="inlineStr">
        <is>
          <t>2026-10-26</t>
        </is>
      </c>
      <c r="R157" s="3" t="inlineStr">
        <is>
          <t>https://www.nitori-net.tw/product/8490227</t>
        </is>
      </c>
      <c r="S157" s="2" t="inlineStr">
        <is>
          <t>官網</t>
        </is>
      </c>
      <c r="T157" s="2" t="inlineStr">
        <is>
          <t>high</t>
        </is>
      </c>
      <c r="U157" s="2" t="inlineStr">
        <is>
          <t>SET:8490227|119|2|2;2入一組（尺寸為每件）；官網：可與相同深度、高度的其他尺寸組合</t>
        </is>
      </c>
      <c r="V157" s="2" t="inlineStr">
        <is>
          <t>整組 NT$119，此尺寸 2 件／共 2 件</t>
        </is>
      </c>
    </row>
    <row r="158">
      <c r="A158" s="2" t="inlineStr">
        <is>
          <t>NITORI-042</t>
        </is>
      </c>
      <c r="B158" s="2" t="inlineStr">
        <is>
          <t>NITORI</t>
        </is>
      </c>
      <c r="C158" s="2" t="inlineStr">
        <is>
          <t>RT</t>
        </is>
      </c>
      <c r="D158" s="2" t="inlineStr">
        <is>
          <t>抽屜收納盒 RT2234</t>
        </is>
      </c>
      <c r="E158" s="2" t="inlineStr">
        <is>
          <t>8490228/8490229/8490231</t>
        </is>
      </c>
      <c r="F158" s="2" t="n">
        <v>22.5</v>
      </c>
      <c r="G158" s="2" t="n">
        <v>34</v>
      </c>
      <c r="H158" s="2" t="n">
        <v>10</v>
      </c>
      <c r="I158" s="2" t="n"/>
      <c r="J158" s="2" t="n"/>
      <c r="K158" s="2" t="n"/>
      <c r="L158" s="2" t="inlineStr">
        <is>
          <t>聚酯纖維</t>
        </is>
      </c>
      <c r="M158" s="2" t="inlineStr">
        <is>
          <t>白色</t>
        </is>
      </c>
      <c r="N158" s="2" t="inlineStr"/>
      <c r="O158" s="2" t="inlineStr">
        <is>
          <t>N</t>
        </is>
      </c>
      <c r="P158" s="2" t="n">
        <v>69</v>
      </c>
      <c r="Q158" s="2" t="inlineStr">
        <is>
          <t>2026-10-26</t>
        </is>
      </c>
      <c r="R158" s="3" t="inlineStr">
        <is>
          <t>https://www.nitori-net.tw/product/8490228</t>
        </is>
      </c>
      <c r="S158" s="2" t="inlineStr">
        <is>
          <t>官網</t>
        </is>
      </c>
      <c r="T158" s="2" t="inlineStr">
        <is>
          <t>high</t>
        </is>
      </c>
      <c r="U158" s="2" t="inlineStr">
        <is>
          <t>8格(8490228)/15格(8490229)/24格(8490231)三款同尺寸；價格：8格69（原價79）、15格89（原價99）、24格109（原價119）</t>
        </is>
      </c>
      <c r="V158" s="2" t="inlineStr"/>
    </row>
    <row r="159">
      <c r="A159" s="2" t="inlineStr">
        <is>
          <t>NITORI-043</t>
        </is>
      </c>
      <c r="B159" s="2" t="inlineStr">
        <is>
          <t>NITORI</t>
        </is>
      </c>
      <c r="C159" s="2" t="inlineStr">
        <is>
          <t>CLANE</t>
        </is>
      </c>
      <c r="D159" s="2" t="inlineStr">
        <is>
          <t>收納整理盒 CLANE HALF 直式半格型</t>
        </is>
      </c>
      <c r="E159" s="2" t="inlineStr">
        <is>
          <t>8511532/8511544</t>
        </is>
      </c>
      <c r="F159" s="2" t="n">
        <v>13</v>
      </c>
      <c r="G159" s="2" t="n">
        <v>16</v>
      </c>
      <c r="H159" s="2" t="n">
        <v>12.2</v>
      </c>
      <c r="I159" s="2" t="n"/>
      <c r="J159" s="2" t="n"/>
      <c r="K159" s="2" t="n"/>
      <c r="L159" s="2" t="inlineStr">
        <is>
          <t>聚丙烯</t>
        </is>
      </c>
      <c r="M159" s="2" t="inlineStr">
        <is>
          <t>白色/透明</t>
        </is>
      </c>
      <c r="N159" s="2" t="inlineStr"/>
      <c r="O159" s="2" t="inlineStr">
        <is>
          <t>N</t>
        </is>
      </c>
      <c r="P159" s="2" t="n">
        <v>99</v>
      </c>
      <c r="Q159" s="2" t="inlineStr">
        <is>
          <t>2026-10-26</t>
        </is>
      </c>
      <c r="R159" s="3" t="inlineStr">
        <is>
          <t>https://www.nitori-net.tw/product/8511532</t>
        </is>
      </c>
      <c r="S159" s="2" t="inlineStr">
        <is>
          <t>官網</t>
        </is>
      </c>
      <c r="T159" s="2" t="inlineStr">
        <is>
          <t>high</t>
        </is>
      </c>
      <c r="U159" s="2" t="inlineStr">
        <is>
          <t>另售：收納整理盒隔板 CLANE(8511543)；依官方尺寸，2個HALF(深16)≈1個LOW(深32.1)</t>
        </is>
      </c>
      <c r="V159" s="2" t="inlineStr"/>
    </row>
    <row r="160">
      <c r="A160" s="2" t="inlineStr">
        <is>
          <t>NITORI-044</t>
        </is>
      </c>
      <c r="B160" s="2" t="inlineStr">
        <is>
          <t>NITORI</t>
        </is>
      </c>
      <c r="C160" s="2" t="inlineStr">
        <is>
          <t>CLANE</t>
        </is>
      </c>
      <c r="D160" s="2" t="inlineStr">
        <is>
          <t>收納整理盒 CLANE LOW 橫式半格型</t>
        </is>
      </c>
      <c r="E160" s="2" t="inlineStr">
        <is>
          <t>8511533/8511545</t>
        </is>
      </c>
      <c r="F160" s="2" t="n">
        <v>13</v>
      </c>
      <c r="G160" s="2" t="n">
        <v>32.1</v>
      </c>
      <c r="H160" s="2" t="n">
        <v>12.2</v>
      </c>
      <c r="I160" s="2" t="n"/>
      <c r="J160" s="2" t="n"/>
      <c r="K160" s="2" t="n"/>
      <c r="L160" s="2" t="inlineStr">
        <is>
          <t>聚丙烯</t>
        </is>
      </c>
      <c r="M160" s="2" t="inlineStr">
        <is>
          <t>白色/透明</t>
        </is>
      </c>
      <c r="N160" s="2" t="inlineStr"/>
      <c r="O160" s="2" t="inlineStr">
        <is>
          <t>N</t>
        </is>
      </c>
      <c r="P160" s="2" t="n">
        <v>149</v>
      </c>
      <c r="Q160" s="2" t="inlineStr">
        <is>
          <t>2026-10-26</t>
        </is>
      </c>
      <c r="R160" s="3" t="inlineStr">
        <is>
          <t>https://www.nitori-net.tw/product/8511533</t>
        </is>
      </c>
      <c r="S160" s="2" t="inlineStr">
        <is>
          <t>官網</t>
        </is>
      </c>
      <c r="T160" s="2" t="inlineStr">
        <is>
          <t>high</t>
        </is>
      </c>
      <c r="U160" s="2" t="inlineStr">
        <is>
          <t>另售：收納整理盒隔板 CLANE(8511543)</t>
        </is>
      </c>
      <c r="V160" s="2" t="inlineStr"/>
    </row>
    <row r="161">
      <c r="A161" s="2" t="inlineStr">
        <is>
          <t>NITORI-045</t>
        </is>
      </c>
      <c r="B161" s="2" t="inlineStr">
        <is>
          <t>NITORI</t>
        </is>
      </c>
      <c r="C161" s="2" t="inlineStr">
        <is>
          <t>CLANE</t>
        </is>
      </c>
      <c r="D161" s="2" t="inlineStr">
        <is>
          <t>收納整理盒 CLANE HIGH L型</t>
        </is>
      </c>
      <c r="E161" s="2" t="inlineStr">
        <is>
          <t>8511534/8511546</t>
        </is>
      </c>
      <c r="F161" s="2" t="n">
        <v>13</v>
      </c>
      <c r="G161" s="2" t="n">
        <v>32.1</v>
      </c>
      <c r="H161" s="2" t="n">
        <v>24.1</v>
      </c>
      <c r="I161" s="2" t="n"/>
      <c r="J161" s="2" t="n"/>
      <c r="K161" s="2" t="n"/>
      <c r="L161" s="2" t="inlineStr">
        <is>
          <t>聚丙烯</t>
        </is>
      </c>
      <c r="M161" s="2" t="inlineStr">
        <is>
          <t>白色/透明</t>
        </is>
      </c>
      <c r="N161" s="2" t="inlineStr"/>
      <c r="O161" s="2" t="inlineStr">
        <is>
          <t>N</t>
        </is>
      </c>
      <c r="P161" s="2" t="n">
        <v>179</v>
      </c>
      <c r="Q161" s="2" t="inlineStr">
        <is>
          <t>2026-10-26</t>
        </is>
      </c>
      <c r="R161" s="3" t="inlineStr">
        <is>
          <t>https://www.nitori-net.tw/product/8511534</t>
        </is>
      </c>
      <c r="S161" s="2" t="inlineStr">
        <is>
          <t>官網</t>
        </is>
      </c>
      <c r="T161" s="2" t="inlineStr">
        <is>
          <t>high</t>
        </is>
      </c>
      <c r="U161" s="2" t="inlineStr">
        <is>
          <t>另售：收納整理盒隔板 CLANE(8511543)</t>
        </is>
      </c>
      <c r="V161" s="2" t="inlineStr"/>
    </row>
    <row r="162">
      <c r="A162" s="2" t="inlineStr">
        <is>
          <t>NITORI-046</t>
        </is>
      </c>
      <c r="B162" s="2" t="inlineStr">
        <is>
          <t>NITORI</t>
        </is>
      </c>
      <c r="C162" s="2" t="inlineStr">
        <is>
          <t>CLANE</t>
        </is>
      </c>
      <c r="D162" s="2" t="inlineStr">
        <is>
          <t>收納整理盒 CLANE 淺型</t>
        </is>
      </c>
      <c r="E162" s="2" t="inlineStr">
        <is>
          <t>8511624</t>
        </is>
      </c>
      <c r="F162" s="2" t="n">
        <v>13</v>
      </c>
      <c r="G162" s="2" t="n">
        <v>32.1</v>
      </c>
      <c r="H162" s="2" t="n">
        <v>6.2</v>
      </c>
      <c r="I162" s="2" t="n"/>
      <c r="J162" s="2" t="n"/>
      <c r="K162" s="2" t="n"/>
      <c r="L162" s="2" t="inlineStr">
        <is>
          <t>聚丙烯</t>
        </is>
      </c>
      <c r="M162" s="2" t="inlineStr">
        <is>
          <t>白色</t>
        </is>
      </c>
      <c r="N162" s="2" t="inlineStr"/>
      <c r="O162" s="2" t="inlineStr">
        <is>
          <t>N</t>
        </is>
      </c>
      <c r="P162" s="2" t="n">
        <v>149</v>
      </c>
      <c r="Q162" s="2" t="inlineStr">
        <is>
          <t>2026-10-26</t>
        </is>
      </c>
      <c r="R162" s="3" t="inlineStr">
        <is>
          <t>https://www.nitori-net.tw/product/8511624</t>
        </is>
      </c>
      <c r="S162" s="2" t="inlineStr">
        <is>
          <t>官網</t>
        </is>
      </c>
      <c r="T162" s="2" t="inlineStr">
        <is>
          <t>high</t>
        </is>
      </c>
      <c r="U162" s="2" t="inlineStr">
        <is>
          <t>另售：收納整理盒隔板 CLANE(8511543)</t>
        </is>
      </c>
      <c r="V162" s="2" t="inlineStr"/>
    </row>
    <row r="163">
      <c r="A163" s="2" t="inlineStr">
        <is>
          <t>NITORI-047</t>
        </is>
      </c>
      <c r="B163" s="2" t="inlineStr">
        <is>
          <t>NITORI</t>
        </is>
      </c>
      <c r="C163" s="2" t="inlineStr">
        <is>
          <t>CLANE</t>
        </is>
      </c>
      <c r="D163" s="2" t="inlineStr">
        <is>
          <t>收納整理盒 CLANE 窄型</t>
        </is>
      </c>
      <c r="E163" s="2" t="inlineStr">
        <is>
          <t>8511625</t>
        </is>
      </c>
      <c r="F163" s="2" t="n">
        <v>6.5</v>
      </c>
      <c r="G163" s="2" t="n">
        <v>32.1</v>
      </c>
      <c r="H163" s="2" t="n">
        <v>12.2</v>
      </c>
      <c r="I163" s="2" t="n"/>
      <c r="J163" s="2" t="n"/>
      <c r="K163" s="2" t="n"/>
      <c r="L163" s="2" t="inlineStr">
        <is>
          <t>聚丙烯</t>
        </is>
      </c>
      <c r="M163" s="2" t="inlineStr">
        <is>
          <t>白色</t>
        </is>
      </c>
      <c r="N163" s="2" t="inlineStr"/>
      <c r="O163" s="2" t="inlineStr">
        <is>
          <t>N</t>
        </is>
      </c>
      <c r="P163" s="2" t="n">
        <v>149</v>
      </c>
      <c r="Q163" s="2" t="inlineStr">
        <is>
          <t>2026-10-26</t>
        </is>
      </c>
      <c r="R163" s="3" t="inlineStr">
        <is>
          <t>https://www.nitori-net.tw/product/8511625</t>
        </is>
      </c>
      <c r="S163" s="2" t="inlineStr">
        <is>
          <t>官網</t>
        </is>
      </c>
      <c r="T163" s="2" t="inlineStr">
        <is>
          <t>high</t>
        </is>
      </c>
      <c r="U163" s="2" t="inlineStr">
        <is>
          <t>另售：收納整理盒隔板 CLANE(8511543)；依官方尺寸2個窄型(寬6.5)=1個LOW(寬13)</t>
        </is>
      </c>
      <c r="V163" s="2" t="inlineStr"/>
    </row>
    <row r="164">
      <c r="A164" s="2" t="inlineStr">
        <is>
          <t>NITORI-048</t>
        </is>
      </c>
      <c r="B164" s="2" t="inlineStr">
        <is>
          <t>NITORI</t>
        </is>
      </c>
      <c r="C164" s="2" t="inlineStr">
        <is>
          <t>CLANE</t>
        </is>
      </c>
      <c r="D164" s="2" t="inlineStr">
        <is>
          <t>收納整理盒 CLANE 可伸縮長型</t>
        </is>
      </c>
      <c r="E164" s="2" t="inlineStr">
        <is>
          <t>8511626</t>
        </is>
      </c>
      <c r="F164" s="2" t="n">
        <v>27.4</v>
      </c>
      <c r="G164" s="2" t="n">
        <v>13.1</v>
      </c>
      <c r="H164" s="2" t="n">
        <v>12.2</v>
      </c>
      <c r="I164" s="2" t="n"/>
      <c r="J164" s="2" t="n"/>
      <c r="K164" s="2" t="n"/>
      <c r="L164" s="2" t="inlineStr">
        <is>
          <t>聚丙烯</t>
        </is>
      </c>
      <c r="M164" s="2" t="inlineStr">
        <is>
          <t>純白色</t>
        </is>
      </c>
      <c r="N164" s="2" t="inlineStr"/>
      <c r="O164" s="2" t="inlineStr">
        <is>
          <t>N</t>
        </is>
      </c>
      <c r="P164" s="2" t="n">
        <v>249</v>
      </c>
      <c r="Q164" s="2" t="inlineStr">
        <is>
          <t>2026-10-26</t>
        </is>
      </c>
      <c r="R164" s="3" t="inlineStr">
        <is>
          <t>https://www.nitori-net.tw/product/8511626</t>
        </is>
      </c>
      <c r="S164" s="2" t="inlineStr">
        <is>
          <t>官網</t>
        </is>
      </c>
      <c r="T164" s="2" t="inlineStr">
        <is>
          <t>high</t>
        </is>
      </c>
      <c r="U164" s="2" t="inlineStr">
        <is>
          <t>可伸縮，寬27.4~48.1公分（外寸填最短狀態）</t>
        </is>
      </c>
      <c r="V164" s="2" t="inlineStr"/>
    </row>
    <row r="165">
      <c r="A165" s="2" t="inlineStr">
        <is>
          <t>NITORI-049</t>
        </is>
      </c>
      <c r="B165" s="2" t="inlineStr">
        <is>
          <t>NITORI</t>
        </is>
      </c>
      <c r="C165" s="2" t="inlineStr">
        <is>
          <t>TICS2</t>
        </is>
      </c>
      <c r="D165" s="2" t="inlineStr">
        <is>
          <t>收納籃 TICS2 標準型</t>
        </is>
      </c>
      <c r="E165" s="2" t="inlineStr">
        <is>
          <t>8161531/8161541</t>
        </is>
      </c>
      <c r="F165" s="2" t="n">
        <v>38</v>
      </c>
      <c r="G165" s="2" t="n">
        <v>26</v>
      </c>
      <c r="H165" s="2" t="n">
        <v>24</v>
      </c>
      <c r="I165" s="2" t="n"/>
      <c r="J165" s="2" t="n"/>
      <c r="K165" s="2" t="n"/>
      <c r="L165" s="2" t="inlineStr">
        <is>
          <t>聚丙烯(PP)</t>
        </is>
      </c>
      <c r="M165" s="2" t="inlineStr">
        <is>
          <t>淺褐色/深褐色</t>
        </is>
      </c>
      <c r="N165" s="2" t="inlineStr"/>
      <c r="O165" s="2" t="inlineStr">
        <is>
          <t>N</t>
        </is>
      </c>
      <c r="P165" s="2" t="n">
        <v>249</v>
      </c>
      <c r="Q165" s="2" t="inlineStr">
        <is>
          <t>2026-10-26</t>
        </is>
      </c>
      <c r="R165" s="3" t="inlineStr">
        <is>
          <t>https://www.nitori-net.tw/product/8161531</t>
        </is>
      </c>
      <c r="S165" s="2" t="inlineStr">
        <is>
          <t>官網</t>
        </is>
      </c>
      <c r="T165" s="2" t="inlineStr">
        <is>
          <t>high</t>
        </is>
      </c>
      <c r="U165" s="2" t="inlineStr">
        <is>
          <t>官網：恰好可搭配彩色櫃的尺寸</t>
        </is>
      </c>
      <c r="V165" s="2" t="inlineStr"/>
    </row>
    <row r="166">
      <c r="A166" s="2" t="inlineStr">
        <is>
          <t>NITORI-050</t>
        </is>
      </c>
      <c r="B166" s="2" t="inlineStr">
        <is>
          <t>NITORI</t>
        </is>
      </c>
      <c r="C166" s="2" t="inlineStr">
        <is>
          <t>TICS2</t>
        </is>
      </c>
      <c r="D166" s="2" t="inlineStr">
        <is>
          <t>收納籃 TICS2 橫式半格型</t>
        </is>
      </c>
      <c r="E166" s="2" t="inlineStr">
        <is>
          <t>8161532/8161542</t>
        </is>
      </c>
      <c r="F166" s="2" t="n">
        <v>38</v>
      </c>
      <c r="G166" s="2" t="n">
        <v>26</v>
      </c>
      <c r="H166" s="2" t="n">
        <v>12</v>
      </c>
      <c r="I166" s="2" t="n"/>
      <c r="J166" s="2" t="n"/>
      <c r="K166" s="2" t="n"/>
      <c r="L166" s="2" t="inlineStr">
        <is>
          <t>聚丙烯(PP)</t>
        </is>
      </c>
      <c r="M166" s="2" t="inlineStr">
        <is>
          <t>淺褐色/深褐色</t>
        </is>
      </c>
      <c r="N166" s="2" t="inlineStr"/>
      <c r="O166" s="2" t="inlineStr">
        <is>
          <t>N</t>
        </is>
      </c>
      <c r="P166" s="2" t="n">
        <v>199</v>
      </c>
      <c r="Q166" s="2" t="inlineStr">
        <is>
          <t>2026-10-26</t>
        </is>
      </c>
      <c r="R166" s="3" t="inlineStr">
        <is>
          <t>https://www.nitori-net.tw/product/8161532</t>
        </is>
      </c>
      <c r="S166" s="2" t="inlineStr">
        <is>
          <t>官網</t>
        </is>
      </c>
      <c r="T166" s="2" t="inlineStr">
        <is>
          <t>high</t>
        </is>
      </c>
      <c r="U166" s="2" t="inlineStr">
        <is>
          <t>官網：恰好可搭配彩色櫃的尺寸</t>
        </is>
      </c>
      <c r="V166" s="2" t="inlineStr"/>
    </row>
    <row r="167">
      <c r="A167" s="2" t="inlineStr">
        <is>
          <t>NITORI-051</t>
        </is>
      </c>
      <c r="B167" s="2" t="inlineStr">
        <is>
          <t>NITORI</t>
        </is>
      </c>
      <c r="C167" s="2" t="inlineStr">
        <is>
          <t>TICS2</t>
        </is>
      </c>
      <c r="D167" s="2" t="inlineStr">
        <is>
          <t>收納籃 TICS2 直式半格型</t>
        </is>
      </c>
      <c r="E167" s="2" t="inlineStr">
        <is>
          <t>8161533/8161543</t>
        </is>
      </c>
      <c r="F167" s="2" t="n">
        <v>19</v>
      </c>
      <c r="G167" s="2" t="n">
        <v>26</v>
      </c>
      <c r="H167" s="2" t="n">
        <v>24</v>
      </c>
      <c r="I167" s="2" t="n"/>
      <c r="J167" s="2" t="n"/>
      <c r="K167" s="2" t="n"/>
      <c r="L167" s="2" t="inlineStr">
        <is>
          <t>聚丙烯(PP)</t>
        </is>
      </c>
      <c r="M167" s="2" t="inlineStr">
        <is>
          <t>淺褐色/深褐色</t>
        </is>
      </c>
      <c r="N167" s="2" t="inlineStr"/>
      <c r="O167" s="2" t="inlineStr">
        <is>
          <t>N</t>
        </is>
      </c>
      <c r="P167" s="2" t="n">
        <v>179</v>
      </c>
      <c r="Q167" s="2" t="inlineStr">
        <is>
          <t>2026-10-26</t>
        </is>
      </c>
      <c r="R167" s="3" t="inlineStr">
        <is>
          <t>https://www.nitori-net.tw/product/8161533</t>
        </is>
      </c>
      <c r="S167" s="2" t="inlineStr">
        <is>
          <t>官網</t>
        </is>
      </c>
      <c r="T167" s="2" t="inlineStr">
        <is>
          <t>high</t>
        </is>
      </c>
      <c r="U167" s="2" t="inlineStr">
        <is>
          <t>官網：恰好可搭配彩色櫃的尺寸；價格：查詢日售價179（原價199）</t>
        </is>
      </c>
      <c r="V167" s="2" t="inlineStr"/>
    </row>
    <row r="168">
      <c r="A168" s="2" t="inlineStr">
        <is>
          <t>NITORI-052</t>
        </is>
      </c>
      <c r="B168" s="2" t="inlineStr">
        <is>
          <t>NITORI</t>
        </is>
      </c>
      <c r="C168" s="2" t="inlineStr">
        <is>
          <t>TICS2</t>
        </is>
      </c>
      <c r="D168" s="2" t="inlineStr">
        <is>
          <t>收納籃 TICS2 四分之一型</t>
        </is>
      </c>
      <c r="E168" s="2" t="inlineStr">
        <is>
          <t>8161534/8161544</t>
        </is>
      </c>
      <c r="F168" s="2" t="n">
        <v>19</v>
      </c>
      <c r="G168" s="2" t="n">
        <v>26</v>
      </c>
      <c r="H168" s="2" t="n">
        <v>12</v>
      </c>
      <c r="I168" s="2" t="n"/>
      <c r="J168" s="2" t="n"/>
      <c r="K168" s="2" t="n"/>
      <c r="L168" s="2" t="inlineStr">
        <is>
          <t>聚丙烯(PP)</t>
        </is>
      </c>
      <c r="M168" s="2" t="inlineStr">
        <is>
          <t>淺褐色/深褐色</t>
        </is>
      </c>
      <c r="N168" s="2" t="inlineStr"/>
      <c r="O168" s="2" t="inlineStr">
        <is>
          <t>N</t>
        </is>
      </c>
      <c r="P168" s="2" t="n">
        <v>159</v>
      </c>
      <c r="Q168" s="2" t="inlineStr">
        <is>
          <t>2026-10-26</t>
        </is>
      </c>
      <c r="R168" s="3" t="inlineStr">
        <is>
          <t>https://www.nitori-net.tw/product/8161534</t>
        </is>
      </c>
      <c r="S168" s="2" t="inlineStr">
        <is>
          <t>官網</t>
        </is>
      </c>
      <c r="T168" s="2" t="inlineStr">
        <is>
          <t>high</t>
        </is>
      </c>
      <c r="U168" s="2" t="inlineStr">
        <is>
          <t>官網：恰好可搭配彩色櫃的尺寸；價格：查詢日售價159（原價179）</t>
        </is>
      </c>
      <c r="V168" s="2" t="inlineStr"/>
    </row>
    <row r="169">
      <c r="A169" s="2" t="inlineStr">
        <is>
          <t>NITORI-053</t>
        </is>
      </c>
      <c r="B169" s="2" t="inlineStr">
        <is>
          <t>NITORI</t>
        </is>
      </c>
      <c r="C169" s="2" t="inlineStr">
        <is>
          <t>TICS2</t>
        </is>
      </c>
      <c r="D169" s="2" t="inlineStr">
        <is>
          <t>遙控器收納盒 TICS2</t>
        </is>
      </c>
      <c r="E169" s="2" t="inlineStr">
        <is>
          <t>8161537/8161547</t>
        </is>
      </c>
      <c r="F169" s="2" t="n">
        <v>15</v>
      </c>
      <c r="G169" s="2" t="n">
        <v>12</v>
      </c>
      <c r="H169" s="2" t="n">
        <v>13</v>
      </c>
      <c r="I169" s="2" t="n"/>
      <c r="J169" s="2" t="n"/>
      <c r="K169" s="2" t="n"/>
      <c r="L169" s="2" t="inlineStr">
        <is>
          <t>聚丙烯(PP)</t>
        </is>
      </c>
      <c r="M169" s="2" t="inlineStr">
        <is>
          <t>米色/深褐色</t>
        </is>
      </c>
      <c r="N169" s="2" t="inlineStr"/>
      <c r="O169" s="2" t="inlineStr">
        <is>
          <t>N</t>
        </is>
      </c>
      <c r="P169" s="2" t="n">
        <v>119</v>
      </c>
      <c r="Q169" s="2" t="inlineStr">
        <is>
          <t>2026-10-26</t>
        </is>
      </c>
      <c r="R169" s="3" t="inlineStr">
        <is>
          <t>https://www.nitori-net.tw/product/8161537</t>
        </is>
      </c>
      <c r="S169" s="2" t="inlineStr">
        <is>
          <t>官網</t>
        </is>
      </c>
      <c r="T169" s="2" t="inlineStr">
        <is>
          <t>high</t>
        </is>
      </c>
      <c r="U169" s="2" t="inlineStr">
        <is>
          <t>分格小物收納；價格：查詢日售價119（原價149）</t>
        </is>
      </c>
      <c r="V169" s="2" t="inlineStr"/>
    </row>
    <row r="170">
      <c r="A170" s="2" t="inlineStr">
        <is>
          <t>NITORI-054</t>
        </is>
      </c>
      <c r="B170" s="2" t="inlineStr">
        <is>
          <t>NITORI</t>
        </is>
      </c>
      <c r="C170" s="2" t="inlineStr">
        <is>
          <t>可水洗收納籃 NA</t>
        </is>
      </c>
      <c r="D170" s="2" t="inlineStr">
        <is>
          <t>可水洗收納籃 寬高型 NA</t>
        </is>
      </c>
      <c r="E170" s="2" t="inlineStr">
        <is>
          <t>8422111</t>
        </is>
      </c>
      <c r="F170" s="2" t="n">
        <v>38</v>
      </c>
      <c r="G170" s="2" t="n">
        <v>26</v>
      </c>
      <c r="H170" s="2" t="n">
        <v>24</v>
      </c>
      <c r="I170" s="2" t="n"/>
      <c r="J170" s="2" t="n"/>
      <c r="K170" s="2" t="n"/>
      <c r="L170" s="2" t="inlineStr">
        <is>
          <t>聚乙烯</t>
        </is>
      </c>
      <c r="M170" s="2" t="inlineStr">
        <is>
          <t>原木色</t>
        </is>
      </c>
      <c r="N170" s="2" t="inlineStr"/>
      <c r="O170" s="2" t="inlineStr">
        <is>
          <t>N</t>
        </is>
      </c>
      <c r="P170" s="2" t="n">
        <v>239</v>
      </c>
      <c r="Q170" s="2" t="inlineStr">
        <is>
          <t>2026-10-26</t>
        </is>
      </c>
      <c r="R170" s="3" t="inlineStr">
        <is>
          <t>https://www.nitori-net.tw/product/8422111</t>
        </is>
      </c>
      <c r="S170" s="2" t="inlineStr">
        <is>
          <t>官網</t>
        </is>
      </c>
      <c r="T170" s="2" t="inlineStr">
        <is>
          <t>high</t>
        </is>
      </c>
      <c r="U170" s="2" t="inlineStr">
        <is>
          <t>官網：可剛好放入COLOBO系列彩色櫃；價格：查詢日售價239（原價299）</t>
        </is>
      </c>
      <c r="V170" s="2" t="inlineStr"/>
    </row>
    <row r="171">
      <c r="A171" s="2" t="inlineStr">
        <is>
          <t>NITORI-055</t>
        </is>
      </c>
      <c r="B171" s="2" t="inlineStr">
        <is>
          <t>NITORI</t>
        </is>
      </c>
      <c r="C171" s="2" t="inlineStr">
        <is>
          <t>可水洗收納籃 NA</t>
        </is>
      </c>
      <c r="D171" s="2" t="inlineStr">
        <is>
          <t>可水洗收納籃 寬低型 NA</t>
        </is>
      </c>
      <c r="E171" s="2" t="inlineStr">
        <is>
          <t>8422112</t>
        </is>
      </c>
      <c r="F171" s="2" t="n">
        <v>38</v>
      </c>
      <c r="G171" s="2" t="n">
        <v>26</v>
      </c>
      <c r="H171" s="2" t="n">
        <v>12</v>
      </c>
      <c r="I171" s="2" t="n"/>
      <c r="J171" s="2" t="n"/>
      <c r="K171" s="2" t="n"/>
      <c r="L171" s="2" t="inlineStr">
        <is>
          <t>聚乙烯</t>
        </is>
      </c>
      <c r="M171" s="2" t="inlineStr">
        <is>
          <t>原木色</t>
        </is>
      </c>
      <c r="N171" s="2" t="inlineStr"/>
      <c r="O171" s="2" t="inlineStr">
        <is>
          <t>N</t>
        </is>
      </c>
      <c r="P171" s="2" t="n">
        <v>199</v>
      </c>
      <c r="Q171" s="2" t="inlineStr">
        <is>
          <t>2026-10-26</t>
        </is>
      </c>
      <c r="R171" s="3" t="inlineStr">
        <is>
          <t>https://www.nitori-net.tw/product/8422112</t>
        </is>
      </c>
      <c r="S171" s="2" t="inlineStr">
        <is>
          <t>官網</t>
        </is>
      </c>
      <c r="T171" s="2" t="inlineStr">
        <is>
          <t>high</t>
        </is>
      </c>
      <c r="U171" s="2" t="inlineStr">
        <is>
          <t>官網：可剛好放入COLOBO系列彩色櫃；價格：查詢日售價199（原價249）</t>
        </is>
      </c>
      <c r="V171" s="2" t="inlineStr"/>
    </row>
    <row r="172">
      <c r="A172" s="2" t="inlineStr">
        <is>
          <t>NITORI-056</t>
        </is>
      </c>
      <c r="B172" s="2" t="inlineStr">
        <is>
          <t>NITORI</t>
        </is>
      </c>
      <c r="C172" s="2" t="inlineStr">
        <is>
          <t>可水洗收納籃 NA</t>
        </is>
      </c>
      <c r="D172" s="2" t="inlineStr">
        <is>
          <t>可水洗收納籃 窄高型 NA</t>
        </is>
      </c>
      <c r="E172" s="2" t="inlineStr">
        <is>
          <t>8422113</t>
        </is>
      </c>
      <c r="F172" s="2" t="n">
        <v>19</v>
      </c>
      <c r="G172" s="2" t="n">
        <v>26</v>
      </c>
      <c r="H172" s="2" t="n">
        <v>24</v>
      </c>
      <c r="I172" s="2" t="n"/>
      <c r="J172" s="2" t="n"/>
      <c r="K172" s="2" t="n"/>
      <c r="L172" s="2" t="inlineStr">
        <is>
          <t>聚乙烯</t>
        </is>
      </c>
      <c r="M172" s="2" t="inlineStr">
        <is>
          <t>原木色</t>
        </is>
      </c>
      <c r="N172" s="2" t="inlineStr"/>
      <c r="O172" s="2" t="inlineStr">
        <is>
          <t>N</t>
        </is>
      </c>
      <c r="P172" s="2" t="n">
        <v>199</v>
      </c>
      <c r="Q172" s="2" t="inlineStr">
        <is>
          <t>2026-10-26</t>
        </is>
      </c>
      <c r="R172" s="3" t="inlineStr">
        <is>
          <t>https://www.nitori-net.tw/product/8422113</t>
        </is>
      </c>
      <c r="S172" s="2" t="inlineStr">
        <is>
          <t>官網</t>
        </is>
      </c>
      <c r="T172" s="2" t="inlineStr">
        <is>
          <t>high</t>
        </is>
      </c>
      <c r="U172" s="2" t="inlineStr">
        <is>
          <t>官網：可剛好放入COLOBO系列彩色櫃；價格：查詢日售價199（原價249）</t>
        </is>
      </c>
      <c r="V172" s="2" t="inlineStr"/>
    </row>
    <row r="173">
      <c r="A173" s="2" t="inlineStr">
        <is>
          <t>NITORI-057</t>
        </is>
      </c>
      <c r="B173" s="2" t="inlineStr">
        <is>
          <t>NITORI</t>
        </is>
      </c>
      <c r="C173" s="2" t="inlineStr">
        <is>
          <t>可水洗收納籃 NA</t>
        </is>
      </c>
      <c r="D173" s="2" t="inlineStr">
        <is>
          <t>可水洗收納籃 窄低型 NA</t>
        </is>
      </c>
      <c r="E173" s="2" t="inlineStr">
        <is>
          <t>8422114</t>
        </is>
      </c>
      <c r="F173" s="2" t="n">
        <v>19</v>
      </c>
      <c r="G173" s="2" t="n">
        <v>26</v>
      </c>
      <c r="H173" s="2" t="n">
        <v>12</v>
      </c>
      <c r="I173" s="2" t="n"/>
      <c r="J173" s="2" t="n"/>
      <c r="K173" s="2" t="n"/>
      <c r="L173" s="2" t="inlineStr">
        <is>
          <t>聚乙烯</t>
        </is>
      </c>
      <c r="M173" s="2" t="inlineStr">
        <is>
          <t>原木色</t>
        </is>
      </c>
      <c r="N173" s="2" t="inlineStr"/>
      <c r="O173" s="2" t="inlineStr">
        <is>
          <t>N</t>
        </is>
      </c>
      <c r="P173" s="2" t="n">
        <v>159</v>
      </c>
      <c r="Q173" s="2" t="inlineStr">
        <is>
          <t>2026-10-26</t>
        </is>
      </c>
      <c r="R173" s="3" t="inlineStr">
        <is>
          <t>https://www.nitori-net.tw/product/8422114</t>
        </is>
      </c>
      <c r="S173" s="2" t="inlineStr">
        <is>
          <t>官網</t>
        </is>
      </c>
      <c r="T173" s="2" t="inlineStr">
        <is>
          <t>high</t>
        </is>
      </c>
      <c r="U173" s="2" t="inlineStr">
        <is>
          <t>官網：可剛好放入COLOBO系列彩色櫃；價格：查詢日售價159（原價199）</t>
        </is>
      </c>
      <c r="V173" s="2" t="inlineStr"/>
    </row>
    <row r="174">
      <c r="A174" s="2" t="inlineStr">
        <is>
          <t>NITORI-058</t>
        </is>
      </c>
      <c r="B174" s="2" t="inlineStr">
        <is>
          <t>NITORI</t>
        </is>
      </c>
      <c r="C174" s="2" t="inlineStr">
        <is>
          <t>FAB</t>
        </is>
      </c>
      <c r="D174" s="2" t="inlineStr">
        <is>
          <t>整理盒 收納盒 FAB 寬高型</t>
        </is>
      </c>
      <c r="E174" s="2" t="inlineStr">
        <is>
          <t>8421081/8421091</t>
        </is>
      </c>
      <c r="F174" s="2" t="n">
        <v>38</v>
      </c>
      <c r="G174" s="2" t="n">
        <v>26</v>
      </c>
      <c r="H174" s="2" t="n">
        <v>24</v>
      </c>
      <c r="I174" s="2" t="n"/>
      <c r="J174" s="2" t="n"/>
      <c r="K174" s="2" t="n"/>
      <c r="L174" s="2" t="inlineStr">
        <is>
          <t>聚酯纖維</t>
        </is>
      </c>
      <c r="M174" s="2" t="inlineStr">
        <is>
          <t>米色/深褐色</t>
        </is>
      </c>
      <c r="N174" s="2" t="inlineStr"/>
      <c r="O174" s="2" t="inlineStr">
        <is>
          <t>N</t>
        </is>
      </c>
      <c r="P174" s="2" t="n">
        <v>149</v>
      </c>
      <c r="Q174" s="2" t="inlineStr">
        <is>
          <t>2026-10-26</t>
        </is>
      </c>
      <c r="R174" s="3" t="inlineStr">
        <is>
          <t>https://www.nitori-net.tw/product/8421081</t>
        </is>
      </c>
      <c r="S174" s="2" t="inlineStr">
        <is>
          <t>官網</t>
        </is>
      </c>
      <c r="T174" s="2" t="inlineStr">
        <is>
          <t>high</t>
        </is>
      </c>
      <c r="U174" s="2" t="inlineStr">
        <is>
          <t>布製；另有OUTLET品不列</t>
        </is>
      </c>
      <c r="V174" s="2" t="inlineStr"/>
    </row>
    <row r="175">
      <c r="A175" s="2" t="inlineStr">
        <is>
          <t>NITORI-059</t>
        </is>
      </c>
      <c r="B175" s="2" t="inlineStr">
        <is>
          <t>NITORI</t>
        </is>
      </c>
      <c r="C175" s="2" t="inlineStr">
        <is>
          <t>FAB</t>
        </is>
      </c>
      <c r="D175" s="2" t="inlineStr">
        <is>
          <t>附蓋整理盒 收納盒 FAB 寬高型</t>
        </is>
      </c>
      <c r="E175" s="2" t="inlineStr">
        <is>
          <t>8421085/8421095</t>
        </is>
      </c>
      <c r="F175" s="2" t="n">
        <v>38</v>
      </c>
      <c r="G175" s="2" t="n">
        <v>26</v>
      </c>
      <c r="H175" s="2" t="n">
        <v>24</v>
      </c>
      <c r="I175" s="2" t="n"/>
      <c r="J175" s="2" t="n"/>
      <c r="K175" s="2" t="n"/>
      <c r="L175" s="2" t="inlineStr">
        <is>
          <t>聚酯纖維</t>
        </is>
      </c>
      <c r="M175" s="2" t="inlineStr">
        <is>
          <t>米色/深褐色</t>
        </is>
      </c>
      <c r="N175" s="2" t="inlineStr"/>
      <c r="O175" s="2" t="inlineStr">
        <is>
          <t>Y</t>
        </is>
      </c>
      <c r="P175" s="2" t="n">
        <v>199</v>
      </c>
      <c r="Q175" s="2" t="inlineStr">
        <is>
          <t>2026-10-26</t>
        </is>
      </c>
      <c r="R175" s="3" t="inlineStr">
        <is>
          <t>https://www.nitori-net.tw/product/8421085</t>
        </is>
      </c>
      <c r="S175" s="2" t="inlineStr">
        <is>
          <t>官網</t>
        </is>
      </c>
      <c r="T175" s="2" t="inlineStr">
        <is>
          <t>high</t>
        </is>
      </c>
      <c r="U175" s="2" t="inlineStr">
        <is>
          <t>布製</t>
        </is>
      </c>
      <c r="V175" s="2" t="inlineStr"/>
    </row>
    <row r="176">
      <c r="A176" s="2" t="inlineStr">
        <is>
          <t>NITORI-060</t>
        </is>
      </c>
      <c r="B176" s="2" t="inlineStr">
        <is>
          <t>NITORI</t>
        </is>
      </c>
      <c r="C176" s="2" t="inlineStr">
        <is>
          <t>STO</t>
        </is>
      </c>
      <c r="D176" s="2" t="inlineStr">
        <is>
          <t>收納籃 STO 標準型</t>
        </is>
      </c>
      <c r="E176" s="2" t="inlineStr">
        <is>
          <t>8421219</t>
        </is>
      </c>
      <c r="F176" s="2" t="n">
        <v>38</v>
      </c>
      <c r="G176" s="2" t="n">
        <v>26</v>
      </c>
      <c r="H176" s="2" t="n">
        <v>24</v>
      </c>
      <c r="I176" s="2" t="n"/>
      <c r="J176" s="2" t="n"/>
      <c r="K176" s="2" t="n"/>
      <c r="L176" s="2" t="inlineStr">
        <is>
          <t>聚酯纖維 棉</t>
        </is>
      </c>
      <c r="M176" s="2" t="inlineStr">
        <is>
          <t>白色</t>
        </is>
      </c>
      <c r="N176" s="2" t="inlineStr"/>
      <c r="O176" s="2" t="inlineStr">
        <is>
          <t>N</t>
        </is>
      </c>
      <c r="P176" s="2" t="n">
        <v>179</v>
      </c>
      <c r="Q176" s="2" t="inlineStr">
        <is>
          <t>2026-10-26</t>
        </is>
      </c>
      <c r="R176" s="3" t="inlineStr">
        <is>
          <t>https://www.nitori-net.tw/product/8421219</t>
        </is>
      </c>
      <c r="S176" s="2" t="inlineStr">
        <is>
          <t>官網</t>
        </is>
      </c>
      <c r="T176" s="2" t="inlineStr">
        <is>
          <t>high</t>
        </is>
      </c>
      <c r="U176" s="2" t="inlineStr">
        <is>
          <t>布製；官網：可與彩色櫃搭配；說明另列窄型19×26×24公分但線上僅見標準型；價格：查詢日售價179（原價199）</t>
        </is>
      </c>
      <c r="V176" s="2" t="inlineStr"/>
    </row>
    <row r="177">
      <c r="A177" s="2" t="inlineStr">
        <is>
          <t>NITORI-061</t>
        </is>
      </c>
      <c r="B177" s="2" t="inlineStr">
        <is>
          <t>NITORI</t>
        </is>
      </c>
      <c r="C177" s="2" t="inlineStr">
        <is>
          <t>NT（DECO HOME）</t>
        </is>
      </c>
      <c r="D177" s="2" t="inlineStr">
        <is>
          <t>【DECO HOME商品】折疊收納盒 1/4款 gray NT338</t>
        </is>
      </c>
      <c r="E177" s="2" t="inlineStr">
        <is>
          <t>5840105</t>
        </is>
      </c>
      <c r="F177" s="2" t="n">
        <v>20</v>
      </c>
      <c r="G177" s="2" t="n">
        <v>28</v>
      </c>
      <c r="H177" s="2" t="n">
        <v>12</v>
      </c>
      <c r="I177" s="2" t="n"/>
      <c r="J177" s="2" t="n"/>
      <c r="K177" s="2" t="n"/>
      <c r="L177" s="2" t="inlineStr">
        <is>
          <t>聚氯乙烯、聚酯纖維、紙</t>
        </is>
      </c>
      <c r="M177" s="2" t="inlineStr">
        <is>
          <t>灰色</t>
        </is>
      </c>
      <c r="N177" s="2" t="inlineStr"/>
      <c r="O177" s="2" t="inlineStr">
        <is>
          <t>N</t>
        </is>
      </c>
      <c r="P177" s="2" t="n">
        <v>219</v>
      </c>
      <c r="Q177" s="2" t="inlineStr">
        <is>
          <t>2026-10-26</t>
        </is>
      </c>
      <c r="R177" s="3" t="inlineStr">
        <is>
          <t>https://www.nitori-net.tw/product/5840105</t>
        </is>
      </c>
      <c r="S177" s="2" t="inlineStr">
        <is>
          <t>官網</t>
        </is>
      </c>
      <c r="T177" s="2" t="inlineStr">
        <is>
          <t>high</t>
        </is>
      </c>
      <c r="U177" s="2" t="inlineStr">
        <is>
          <t>可折疊；DECO HOME商品</t>
        </is>
      </c>
      <c r="V177" s="2" t="inlineStr"/>
    </row>
    <row r="178">
      <c r="A178" s="2" t="inlineStr">
        <is>
          <t>NITORI-062</t>
        </is>
      </c>
      <c r="B178" s="2" t="inlineStr">
        <is>
          <t>NITORI</t>
        </is>
      </c>
      <c r="C178" s="2" t="inlineStr">
        <is>
          <t>NT（DECO HOME）</t>
        </is>
      </c>
      <c r="D178" s="2" t="inlineStr">
        <is>
          <t>【DECO HOME商品】折疊收納盒 低款 gray NT336</t>
        </is>
      </c>
      <c r="E178" s="2" t="inlineStr">
        <is>
          <t>5840104</t>
        </is>
      </c>
      <c r="F178" s="2" t="n">
        <v>39</v>
      </c>
      <c r="G178" s="2" t="n">
        <v>28</v>
      </c>
      <c r="H178" s="2" t="n">
        <v>12</v>
      </c>
      <c r="I178" s="2" t="n"/>
      <c r="J178" s="2" t="n"/>
      <c r="K178" s="2" t="n"/>
      <c r="L178" s="2" t="inlineStr">
        <is>
          <t>聚氯乙烯、聚酯纖維、紙</t>
        </is>
      </c>
      <c r="M178" s="2" t="inlineStr">
        <is>
          <t>灰色</t>
        </is>
      </c>
      <c r="N178" s="2" t="inlineStr"/>
      <c r="O178" s="2" t="inlineStr">
        <is>
          <t>N</t>
        </is>
      </c>
      <c r="P178" s="2" t="n">
        <v>299</v>
      </c>
      <c r="Q178" s="2" t="inlineStr">
        <is>
          <t>2026-10-26</t>
        </is>
      </c>
      <c r="R178" s="3" t="inlineStr">
        <is>
          <t>https://www.nitori-net.tw/product/5840104</t>
        </is>
      </c>
      <c r="S178" s="2" t="inlineStr">
        <is>
          <t>官網</t>
        </is>
      </c>
      <c r="T178" s="2" t="inlineStr">
        <is>
          <t>high</t>
        </is>
      </c>
      <c r="U178" s="2" t="inlineStr">
        <is>
          <t>可折疊；DECO HOME商品</t>
        </is>
      </c>
      <c r="V178" s="2" t="inlineStr"/>
    </row>
    <row r="179">
      <c r="A179" s="2" t="inlineStr">
        <is>
          <t>NITORI-063</t>
        </is>
      </c>
      <c r="B179" s="2" t="inlineStr">
        <is>
          <t>NITORI</t>
        </is>
      </c>
      <c r="C179" s="2" t="inlineStr">
        <is>
          <t>NT（DECO HOME）</t>
        </is>
      </c>
      <c r="D179" s="2" t="inlineStr">
        <is>
          <t>【DECO HOME商品】折疊收納盒 GY NT232</t>
        </is>
      </c>
      <c r="E179" s="2" t="inlineStr">
        <is>
          <t>5840293</t>
        </is>
      </c>
      <c r="F179" s="2" t="n">
        <v>39</v>
      </c>
      <c r="G179" s="2" t="n">
        <v>29</v>
      </c>
      <c r="H179" s="2" t="n">
        <v>24</v>
      </c>
      <c r="I179" s="2" t="n"/>
      <c r="J179" s="2" t="n"/>
      <c r="K179" s="2" t="n"/>
      <c r="L179" s="2" t="inlineStr">
        <is>
          <t>聚氯乙烯、聚酯纖維、紙</t>
        </is>
      </c>
      <c r="M179" s="2" t="inlineStr">
        <is>
          <t>灰色</t>
        </is>
      </c>
      <c r="N179" s="2" t="inlineStr"/>
      <c r="O179" s="2" t="inlineStr">
        <is>
          <t>N</t>
        </is>
      </c>
      <c r="P179" s="2" t="n">
        <v>349</v>
      </c>
      <c r="Q179" s="2" t="inlineStr">
        <is>
          <t>2026-10-26</t>
        </is>
      </c>
      <c r="R179" s="3" t="inlineStr">
        <is>
          <t>https://www.nitori-net.tw/product/5840293</t>
        </is>
      </c>
      <c r="S179" s="2" t="inlineStr">
        <is>
          <t>官網</t>
        </is>
      </c>
      <c r="T179" s="2" t="inlineStr">
        <is>
          <t>high</t>
        </is>
      </c>
      <c r="U179" s="2" t="inlineStr">
        <is>
          <t>可折疊；DECO HOME商品</t>
        </is>
      </c>
      <c r="V179" s="2" t="inlineStr"/>
    </row>
    <row r="180">
      <c r="A180" s="2" t="inlineStr">
        <is>
          <t>NITORI-064</t>
        </is>
      </c>
      <c r="B180" s="2" t="inlineStr">
        <is>
          <t>NITORI</t>
        </is>
      </c>
      <c r="C180" s="2" t="inlineStr">
        <is>
          <t>CL412（DECO HOME）</t>
        </is>
      </c>
      <c r="D180" s="2" t="inlineStr">
        <is>
          <t>【DECO HOME商品】附蓋折疊收納盒 CL412(DH)</t>
        </is>
      </c>
      <c r="E180" s="2" t="inlineStr">
        <is>
          <t>5840057/5840058</t>
        </is>
      </c>
      <c r="F180" s="2" t="n">
        <v>38.9</v>
      </c>
      <c r="G180" s="2" t="n">
        <v>26.6</v>
      </c>
      <c r="H180" s="2" t="n">
        <v>23.6</v>
      </c>
      <c r="I180" s="2" t="n"/>
      <c r="J180" s="2" t="n"/>
      <c r="K180" s="2" t="n"/>
      <c r="L180" s="2" t="inlineStr">
        <is>
          <t>聚酯纖維</t>
        </is>
      </c>
      <c r="M180" s="2" t="inlineStr">
        <is>
          <t>象牙白/摩卡色</t>
        </is>
      </c>
      <c r="N180" s="2" t="inlineStr"/>
      <c r="O180" s="2" t="inlineStr">
        <is>
          <t>Y</t>
        </is>
      </c>
      <c r="P180" s="2" t="n">
        <v>279</v>
      </c>
      <c r="Q180" s="2" t="inlineStr">
        <is>
          <t>2026-10-26</t>
        </is>
      </c>
      <c r="R180" s="3" t="inlineStr">
        <is>
          <t>https://www.nitori-net.tw/product/5840057</t>
        </is>
      </c>
      <c r="S180" s="2" t="inlineStr">
        <is>
          <t>官網</t>
        </is>
      </c>
      <c r="T180" s="2" t="inlineStr">
        <is>
          <t>medium</t>
        </is>
      </c>
      <c r="U180" s="2" t="inlineStr">
        <is>
          <t>可折疊；資料衝突：說明欄標示約39.5×26.8×23.5公分，此列依規格欄；價格：查詢日售價279（原價299）</t>
        </is>
      </c>
      <c r="V180" s="2" t="inlineStr"/>
    </row>
    <row r="181">
      <c r="A181" s="2" t="inlineStr">
        <is>
          <t>NITORI-065</t>
        </is>
      </c>
      <c r="B181" s="2" t="inlineStr">
        <is>
          <t>NITORI</t>
        </is>
      </c>
      <c r="C181" s="2" t="inlineStr">
        <is>
          <t>DH3N（DECO HOME）</t>
        </is>
      </c>
      <c r="D181" s="2" t="inlineStr">
        <is>
          <t>【DECO HOME商品】收納盒 寬高型 DH3N(DH)</t>
        </is>
      </c>
      <c r="E181" s="2" t="inlineStr">
        <is>
          <t>2113200003783</t>
        </is>
      </c>
      <c r="F181" s="2" t="n">
        <v>38</v>
      </c>
      <c r="G181" s="2" t="n">
        <v>26</v>
      </c>
      <c r="H181" s="2" t="n">
        <v>24</v>
      </c>
      <c r="I181" s="2" t="n"/>
      <c r="J181" s="2" t="n"/>
      <c r="K181" s="2" t="n"/>
      <c r="L181" s="2" t="inlineStr">
        <is>
          <t>聚酯纖維、紙</t>
        </is>
      </c>
      <c r="M181" s="2" t="inlineStr">
        <is>
          <t>米色</t>
        </is>
      </c>
      <c r="N181" s="2" t="inlineStr"/>
      <c r="O181" s="2" t="inlineStr">
        <is>
          <t>N</t>
        </is>
      </c>
      <c r="P181" s="2" t="n">
        <v>349</v>
      </c>
      <c r="Q181" s="2" t="inlineStr">
        <is>
          <t>2026-10-26</t>
        </is>
      </c>
      <c r="R181" s="3" t="inlineStr">
        <is>
          <t>https://www.nitori-net.tw/product/2113200003783</t>
        </is>
      </c>
      <c r="S181" s="2" t="inlineStr">
        <is>
          <t>官網</t>
        </is>
      </c>
      <c r="T181" s="2" t="inlineStr">
        <is>
          <t>high</t>
        </is>
      </c>
      <c r="U181" s="2" t="inlineStr">
        <is>
          <t>另售蓋：寬型收納盒蓋 DH3N(2113200003813，約38.5×26.5×0.7公分)</t>
        </is>
      </c>
      <c r="V181" s="2" t="inlineStr"/>
    </row>
    <row r="182">
      <c r="A182" s="2" t="inlineStr">
        <is>
          <t>NITORI-066</t>
        </is>
      </c>
      <c r="B182" s="2" t="inlineStr">
        <is>
          <t>NITORI</t>
        </is>
      </c>
      <c r="C182" s="2" t="inlineStr">
        <is>
          <t>DH3N（DECO HOME）</t>
        </is>
      </c>
      <c r="D182" s="2" t="inlineStr">
        <is>
          <t>【DECO HOME商品】收納盒 寬低型 DH3N(DH)</t>
        </is>
      </c>
      <c r="E182" s="2" t="inlineStr">
        <is>
          <t>2113200003790</t>
        </is>
      </c>
      <c r="F182" s="2" t="n">
        <v>38</v>
      </c>
      <c r="G182" s="2" t="n">
        <v>26</v>
      </c>
      <c r="H182" s="2" t="n">
        <v>12</v>
      </c>
      <c r="I182" s="2" t="n"/>
      <c r="J182" s="2" t="n"/>
      <c r="K182" s="2" t="n"/>
      <c r="L182" s="2" t="inlineStr">
        <is>
          <t>聚酯纖維、紙</t>
        </is>
      </c>
      <c r="M182" s="2" t="inlineStr">
        <is>
          <t>米色</t>
        </is>
      </c>
      <c r="N182" s="2" t="inlineStr"/>
      <c r="O182" s="2" t="inlineStr">
        <is>
          <t>N</t>
        </is>
      </c>
      <c r="P182" s="2" t="n">
        <v>299</v>
      </c>
      <c r="Q182" s="2" t="inlineStr">
        <is>
          <t>2026-10-26</t>
        </is>
      </c>
      <c r="R182" s="3" t="inlineStr">
        <is>
          <t>https://www.nitori-net.tw/product/2113200003790</t>
        </is>
      </c>
      <c r="S182" s="2" t="inlineStr">
        <is>
          <t>官網</t>
        </is>
      </c>
      <c r="T182" s="2" t="inlineStr">
        <is>
          <t>high</t>
        </is>
      </c>
      <c r="U182" s="2" t="inlineStr">
        <is>
          <t>另售蓋：寬型收納盒蓋 DH3N(2113200003813，約38.5×26.5×0.7公分)</t>
        </is>
      </c>
      <c r="V182" s="2" t="inlineStr"/>
    </row>
    <row r="183">
      <c r="A183" s="2" t="inlineStr">
        <is>
          <t>NITORI-067</t>
        </is>
      </c>
      <c r="B183" s="2" t="inlineStr">
        <is>
          <t>NITORI</t>
        </is>
      </c>
      <c r="C183" s="2" t="inlineStr">
        <is>
          <t>DH3N（DECO HOME）</t>
        </is>
      </c>
      <c r="D183" s="2" t="inlineStr">
        <is>
          <t>【DECO HOME商品】收納盒 窄低型 DH3N(DH)</t>
        </is>
      </c>
      <c r="E183" s="2" t="inlineStr">
        <is>
          <t>2113200003806</t>
        </is>
      </c>
      <c r="F183" s="2" t="n">
        <v>19</v>
      </c>
      <c r="G183" s="2" t="n">
        <v>26</v>
      </c>
      <c r="H183" s="2" t="n">
        <v>12</v>
      </c>
      <c r="I183" s="2" t="n"/>
      <c r="J183" s="2" t="n"/>
      <c r="K183" s="2" t="n"/>
      <c r="L183" s="2" t="inlineStr">
        <is>
          <t>聚酯纖維、紙</t>
        </is>
      </c>
      <c r="M183" s="2" t="inlineStr">
        <is>
          <t>米色</t>
        </is>
      </c>
      <c r="N183" s="2" t="inlineStr"/>
      <c r="O183" s="2" t="inlineStr">
        <is>
          <t>N</t>
        </is>
      </c>
      <c r="P183" s="2" t="n">
        <v>249</v>
      </c>
      <c r="Q183" s="2" t="inlineStr">
        <is>
          <t>2026-10-26</t>
        </is>
      </c>
      <c r="R183" s="3" t="inlineStr">
        <is>
          <t>https://www.nitori-net.tw/product/2113200003806</t>
        </is>
      </c>
      <c r="S183" s="2" t="inlineStr">
        <is>
          <t>官網</t>
        </is>
      </c>
      <c r="T183" s="2" t="inlineStr">
        <is>
          <t>high</t>
        </is>
      </c>
      <c r="U183" s="2" t="inlineStr">
        <is>
          <t>另售蓋：窄型收納盒蓋 DH3N(2113200003820，約19×26.1×0.7公分)</t>
        </is>
      </c>
      <c r="V183" s="2" t="inlineStr"/>
    </row>
    <row r="184">
      <c r="A184" s="2" t="inlineStr">
        <is>
          <t>NITORI-068</t>
        </is>
      </c>
      <c r="B184" s="2" t="inlineStr">
        <is>
          <t>NITORI</t>
        </is>
      </c>
      <c r="C184" s="2" t="inlineStr">
        <is>
          <t>DH3N（DECO HOME）</t>
        </is>
      </c>
      <c r="D184" s="2" t="inlineStr">
        <is>
          <t>【DECO HOME商品】附輪收納盒 DH3N3038(DH)</t>
        </is>
      </c>
      <c r="E184" s="2" t="inlineStr">
        <is>
          <t>2113200003837</t>
        </is>
      </c>
      <c r="F184" s="2" t="n">
        <v>26</v>
      </c>
      <c r="G184" s="2" t="n">
        <v>38</v>
      </c>
      <c r="H184" s="2" t="n">
        <v>35.3</v>
      </c>
      <c r="I184" s="2" t="n"/>
      <c r="J184" s="2" t="n"/>
      <c r="K184" s="2" t="n"/>
      <c r="L184" s="2" t="inlineStr">
        <is>
          <t>聚酯纖維、紙</t>
        </is>
      </c>
      <c r="M184" s="2" t="inlineStr">
        <is>
          <t>米色</t>
        </is>
      </c>
      <c r="N184" s="2" t="inlineStr"/>
      <c r="O184" s="2" t="inlineStr">
        <is>
          <t>N</t>
        </is>
      </c>
      <c r="P184" s="2" t="n">
        <v>599</v>
      </c>
      <c r="Q184" s="2" t="inlineStr">
        <is>
          <t>2026-10-26</t>
        </is>
      </c>
      <c r="R184" s="3" t="inlineStr">
        <is>
          <t>https://www.nitori-net.tw/product/2113200003837</t>
        </is>
      </c>
      <c r="S184" s="2" t="inlineStr">
        <is>
          <t>官網</t>
        </is>
      </c>
      <c r="T184" s="2" t="inlineStr">
        <is>
          <t>high</t>
        </is>
      </c>
      <c r="U184" s="2" t="inlineStr">
        <is>
          <t>附輪；高度是否含輪官網未說明</t>
        </is>
      </c>
      <c r="V184" s="2" t="inlineStr"/>
    </row>
    <row r="185">
      <c r="A185" s="2" t="inlineStr">
        <is>
          <t>NITORI-069</t>
        </is>
      </c>
      <c r="B185" s="2" t="inlineStr">
        <is>
          <t>NITORI</t>
        </is>
      </c>
      <c r="C185" s="2" t="inlineStr">
        <is>
          <t>LAIRA3</t>
        </is>
      </c>
      <c r="D185" s="2" t="inlineStr">
        <is>
          <t>編織收納籃 LAIRA3 標準型</t>
        </is>
      </c>
      <c r="E185" s="2" t="inlineStr">
        <is>
          <t>8420811/8420828</t>
        </is>
      </c>
      <c r="F185" s="2" t="n">
        <v>38</v>
      </c>
      <c r="G185" s="2" t="n">
        <v>26</v>
      </c>
      <c r="H185" s="2" t="n">
        <v>24</v>
      </c>
      <c r="I185" s="2" t="n"/>
      <c r="J185" s="2" t="n"/>
      <c r="K185" s="2" t="n"/>
      <c r="L185" s="2" t="inlineStr">
        <is>
          <t>紙</t>
        </is>
      </c>
      <c r="M185" s="2" t="inlineStr">
        <is>
          <t>淺褐色/淺灰色</t>
        </is>
      </c>
      <c r="N185" s="2" t="inlineStr"/>
      <c r="O185" s="2" t="inlineStr">
        <is>
          <t>N</t>
        </is>
      </c>
      <c r="P185" s="2" t="n">
        <v>299</v>
      </c>
      <c r="Q185" s="2" t="inlineStr">
        <is>
          <t>2026-10-26</t>
        </is>
      </c>
      <c r="R185" s="3" t="inlineStr">
        <is>
          <t>https://www.nitori-net.tw/product/8420811</t>
        </is>
      </c>
      <c r="S185" s="2" t="inlineStr">
        <is>
          <t>官網</t>
        </is>
      </c>
      <c r="T185" s="2" t="inlineStr">
        <is>
          <t>high</t>
        </is>
      </c>
      <c r="U185" s="2" t="inlineStr">
        <is>
          <t>官網尺寸一覽：寬高型(標準型)/寬低型(橫式半格型)/窄高型(直式半格型)/窄低型(四分之一型)；價格：查詢日售價299（原價349）</t>
        </is>
      </c>
      <c r="V185" s="2" t="inlineStr"/>
    </row>
    <row r="186">
      <c r="A186" s="2" t="inlineStr">
        <is>
          <t>NITORI-070</t>
        </is>
      </c>
      <c r="B186" s="2" t="inlineStr">
        <is>
          <t>NITORI</t>
        </is>
      </c>
      <c r="C186" s="2" t="inlineStr">
        <is>
          <t>LAIRA3</t>
        </is>
      </c>
      <c r="D186" s="2" t="inlineStr">
        <is>
          <t>編織收納籃 LAIRA3 橫式半格型</t>
        </is>
      </c>
      <c r="E186" s="2" t="inlineStr">
        <is>
          <t>8420812/8420845</t>
        </is>
      </c>
      <c r="F186" s="2" t="n">
        <v>38</v>
      </c>
      <c r="G186" s="2" t="n">
        <v>26</v>
      </c>
      <c r="H186" s="2" t="n">
        <v>12</v>
      </c>
      <c r="I186" s="2" t="n"/>
      <c r="J186" s="2" t="n"/>
      <c r="K186" s="2" t="n"/>
      <c r="L186" s="2" t="inlineStr">
        <is>
          <t>紙</t>
        </is>
      </c>
      <c r="M186" s="2" t="inlineStr">
        <is>
          <t>淺褐色/淺灰色</t>
        </is>
      </c>
      <c r="N186" s="2" t="inlineStr"/>
      <c r="O186" s="2" t="inlineStr">
        <is>
          <t>N</t>
        </is>
      </c>
      <c r="P186" s="2" t="n">
        <v>219</v>
      </c>
      <c r="Q186" s="2" t="inlineStr">
        <is>
          <t>2026-10-26</t>
        </is>
      </c>
      <c r="R186" s="3" t="inlineStr">
        <is>
          <t>https://www.nitori-net.tw/product/8420812</t>
        </is>
      </c>
      <c r="S186" s="2" t="inlineStr">
        <is>
          <t>官網</t>
        </is>
      </c>
      <c r="T186" s="2" t="inlineStr">
        <is>
          <t>high</t>
        </is>
      </c>
      <c r="U186" s="2" t="inlineStr">
        <is>
          <t>官網尺寸一覽：寬高型(標準型)/寬低型(橫式半格型)/窄高型(直式半格型)/窄低型(四分之一型)；價格：查詢日售價219（原價249）</t>
        </is>
      </c>
      <c r="V186" s="2" t="inlineStr"/>
    </row>
    <row r="187">
      <c r="A187" s="2" t="inlineStr">
        <is>
          <t>NITORI-071</t>
        </is>
      </c>
      <c r="B187" s="2" t="inlineStr">
        <is>
          <t>NITORI</t>
        </is>
      </c>
      <c r="C187" s="2" t="inlineStr">
        <is>
          <t>LAIRA3</t>
        </is>
      </c>
      <c r="D187" s="2" t="inlineStr">
        <is>
          <t>編織收納籃 LAIRA3 直式半格型</t>
        </is>
      </c>
      <c r="E187" s="2" t="inlineStr">
        <is>
          <t>8420813/8420829</t>
        </is>
      </c>
      <c r="F187" s="2" t="n">
        <v>19</v>
      </c>
      <c r="G187" s="2" t="n">
        <v>26</v>
      </c>
      <c r="H187" s="2" t="n">
        <v>24</v>
      </c>
      <c r="I187" s="2" t="n"/>
      <c r="J187" s="2" t="n"/>
      <c r="K187" s="2" t="n"/>
      <c r="L187" s="2" t="inlineStr">
        <is>
          <t>紙</t>
        </is>
      </c>
      <c r="M187" s="2" t="inlineStr">
        <is>
          <t>淺褐色/淺灰色</t>
        </is>
      </c>
      <c r="N187" s="2" t="inlineStr"/>
      <c r="O187" s="2" t="inlineStr">
        <is>
          <t>N</t>
        </is>
      </c>
      <c r="P187" s="2" t="n">
        <v>219</v>
      </c>
      <c r="Q187" s="2" t="inlineStr">
        <is>
          <t>2026-10-26</t>
        </is>
      </c>
      <c r="R187" s="3" t="inlineStr">
        <is>
          <t>https://www.nitori-net.tw/product/8420813</t>
        </is>
      </c>
      <c r="S187" s="2" t="inlineStr">
        <is>
          <t>官網</t>
        </is>
      </c>
      <c r="T187" s="2" t="inlineStr">
        <is>
          <t>high</t>
        </is>
      </c>
      <c r="U187" s="2" t="inlineStr">
        <is>
          <t>官網尺寸一覽：寬高型(標準型)/寬低型(橫式半格型)/窄高型(直式半格型)/窄低型(四分之一型)；價格：查詢日售價219（原價249）</t>
        </is>
      </c>
      <c r="V187" s="2" t="inlineStr"/>
    </row>
    <row r="188">
      <c r="A188" s="2" t="inlineStr">
        <is>
          <t>NITORI-072</t>
        </is>
      </c>
      <c r="B188" s="2" t="inlineStr">
        <is>
          <t>NITORI</t>
        </is>
      </c>
      <c r="C188" s="2" t="inlineStr">
        <is>
          <t>LAIRA3</t>
        </is>
      </c>
      <c r="D188" s="2" t="inlineStr">
        <is>
          <t>編織收納籃 LAIRA3 四分之一型</t>
        </is>
      </c>
      <c r="E188" s="2" t="inlineStr">
        <is>
          <t>8420814/8420846</t>
        </is>
      </c>
      <c r="F188" s="2" t="n">
        <v>19</v>
      </c>
      <c r="G188" s="2" t="n">
        <v>26</v>
      </c>
      <c r="H188" s="2" t="n">
        <v>12</v>
      </c>
      <c r="I188" s="2" t="n"/>
      <c r="J188" s="2" t="n"/>
      <c r="K188" s="2" t="n"/>
      <c r="L188" s="2" t="inlineStr">
        <is>
          <t>紙</t>
        </is>
      </c>
      <c r="M188" s="2" t="inlineStr">
        <is>
          <t>淺褐色/淺灰色</t>
        </is>
      </c>
      <c r="N188" s="2" t="inlineStr"/>
      <c r="O188" s="2" t="inlineStr">
        <is>
          <t>N</t>
        </is>
      </c>
      <c r="P188" s="2" t="n">
        <v>179</v>
      </c>
      <c r="Q188" s="2" t="inlineStr">
        <is>
          <t>2026-10-26</t>
        </is>
      </c>
      <c r="R188" s="3" t="inlineStr">
        <is>
          <t>https://www.nitori-net.tw/product/8420814</t>
        </is>
      </c>
      <c r="S188" s="2" t="inlineStr">
        <is>
          <t>官網</t>
        </is>
      </c>
      <c r="T188" s="2" t="inlineStr">
        <is>
          <t>high</t>
        </is>
      </c>
      <c r="U188" s="2" t="inlineStr">
        <is>
          <t>官網尺寸一覽：寬高型(標準型)/寬低型(橫式半格型)/窄高型(直式半格型)/窄低型(四分之一型)；價格：查詢日售價179（原價199）</t>
        </is>
      </c>
      <c r="V188" s="2" t="inlineStr"/>
    </row>
    <row r="189">
      <c r="A189" s="2" t="inlineStr">
        <is>
          <t>NITORI-073</t>
        </is>
      </c>
      <c r="B189" s="2" t="inlineStr">
        <is>
          <t>NITORI</t>
        </is>
      </c>
      <c r="C189" s="2" t="inlineStr">
        <is>
          <t>TI02</t>
        </is>
      </c>
      <c r="D189" s="2" t="inlineStr">
        <is>
          <t>編織收納籃 TI02 寬高型</t>
        </is>
      </c>
      <c r="E189" s="2" t="inlineStr">
        <is>
          <t>2113200010194/2113200010231/2113200010279</t>
        </is>
      </c>
      <c r="F189" s="2" t="n">
        <v>38</v>
      </c>
      <c r="G189" s="2" t="n">
        <v>26</v>
      </c>
      <c r="H189" s="2" t="n">
        <v>24</v>
      </c>
      <c r="I189" s="2" t="n"/>
      <c r="J189" s="2" t="n"/>
      <c r="K189" s="2" t="n"/>
      <c r="L189" s="2" t="inlineStr">
        <is>
          <t>聚丙烯、鋼</t>
        </is>
      </c>
      <c r="M189" s="2" t="inlineStr">
        <is>
          <t>白色/米色/暗褐色</t>
        </is>
      </c>
      <c r="N189" s="2" t="inlineStr"/>
      <c r="O189" s="2" t="inlineStr">
        <is>
          <t>N</t>
        </is>
      </c>
      <c r="P189" s="2" t="n">
        <v>249</v>
      </c>
      <c r="Q189" s="2" t="inlineStr">
        <is>
          <t>2026-10-26</t>
        </is>
      </c>
      <c r="R189" s="3" t="inlineStr">
        <is>
          <t>https://www.nitori-net.tw/product/2113200010194</t>
        </is>
      </c>
      <c r="S189" s="2" t="inlineStr">
        <is>
          <t>官網</t>
        </is>
      </c>
      <c r="T189" s="2" t="inlineStr">
        <is>
          <t>high</t>
        </is>
      </c>
      <c r="U189" s="2" t="inlineStr">
        <is>
          <t>官網：適合放入一格收納櫃；另有上寬高型(49×35×26)超過40公分不列</t>
        </is>
      </c>
      <c r="V189" s="2" t="inlineStr"/>
    </row>
    <row r="190">
      <c r="A190" s="2" t="inlineStr">
        <is>
          <t>NITORI-074</t>
        </is>
      </c>
      <c r="B190" s="2" t="inlineStr">
        <is>
          <t>NITORI</t>
        </is>
      </c>
      <c r="C190" s="2" t="inlineStr">
        <is>
          <t>TI02</t>
        </is>
      </c>
      <c r="D190" s="2" t="inlineStr">
        <is>
          <t>編織收納籃 TI02 寬低型</t>
        </is>
      </c>
      <c r="E190" s="2" t="inlineStr">
        <is>
          <t>2113200010200/2113200010248/2113200010286</t>
        </is>
      </c>
      <c r="F190" s="2" t="n">
        <v>38</v>
      </c>
      <c r="G190" s="2" t="n">
        <v>26</v>
      </c>
      <c r="H190" s="2" t="n">
        <v>12</v>
      </c>
      <c r="I190" s="2" t="n"/>
      <c r="J190" s="2" t="n"/>
      <c r="K190" s="2" t="n"/>
      <c r="L190" s="2" t="inlineStr">
        <is>
          <t>聚丙烯、鋼</t>
        </is>
      </c>
      <c r="M190" s="2" t="inlineStr">
        <is>
          <t>白色/米色/暗褐色</t>
        </is>
      </c>
      <c r="N190" s="2" t="inlineStr"/>
      <c r="O190" s="2" t="inlineStr">
        <is>
          <t>N</t>
        </is>
      </c>
      <c r="P190" s="2" t="n">
        <v>199</v>
      </c>
      <c r="Q190" s="2" t="inlineStr">
        <is>
          <t>2026-10-26</t>
        </is>
      </c>
      <c r="R190" s="3" t="inlineStr">
        <is>
          <t>https://www.nitori-net.tw/product/2113200010200</t>
        </is>
      </c>
      <c r="S190" s="2" t="inlineStr">
        <is>
          <t>官網</t>
        </is>
      </c>
      <c r="T190" s="2" t="inlineStr">
        <is>
          <t>high</t>
        </is>
      </c>
      <c r="U190" s="2" t="inlineStr">
        <is>
          <t>官網：適合放入一格收納櫃；另有上寬高型(49×35×26)超過40公分不列</t>
        </is>
      </c>
      <c r="V190" s="2" t="inlineStr"/>
    </row>
    <row r="191">
      <c r="A191" s="2" t="inlineStr">
        <is>
          <t>NITORI-075</t>
        </is>
      </c>
      <c r="B191" s="2" t="inlineStr">
        <is>
          <t>NITORI</t>
        </is>
      </c>
      <c r="C191" s="2" t="inlineStr">
        <is>
          <t>TI02</t>
        </is>
      </c>
      <c r="D191" s="2" t="inlineStr">
        <is>
          <t>編織收納籃 TI02 窄高型</t>
        </is>
      </c>
      <c r="E191" s="2" t="inlineStr">
        <is>
          <t>2113200010217/2113200010255/2113200010293</t>
        </is>
      </c>
      <c r="F191" s="2" t="n">
        <v>19</v>
      </c>
      <c r="G191" s="2" t="n">
        <v>26</v>
      </c>
      <c r="H191" s="2" t="n">
        <v>24</v>
      </c>
      <c r="I191" s="2" t="n"/>
      <c r="J191" s="2" t="n"/>
      <c r="K191" s="2" t="n"/>
      <c r="L191" s="2" t="inlineStr">
        <is>
          <t>聚丙烯、鋼</t>
        </is>
      </c>
      <c r="M191" s="2" t="inlineStr">
        <is>
          <t>白色/米色/暗褐色</t>
        </is>
      </c>
      <c r="N191" s="2" t="inlineStr"/>
      <c r="O191" s="2" t="inlineStr">
        <is>
          <t>N</t>
        </is>
      </c>
      <c r="P191" s="2" t="n">
        <v>199</v>
      </c>
      <c r="Q191" s="2" t="inlineStr">
        <is>
          <t>2026-10-26</t>
        </is>
      </c>
      <c r="R191" s="3" t="inlineStr">
        <is>
          <t>https://www.nitori-net.tw/product/2113200010217</t>
        </is>
      </c>
      <c r="S191" s="2" t="inlineStr">
        <is>
          <t>官網</t>
        </is>
      </c>
      <c r="T191" s="2" t="inlineStr">
        <is>
          <t>high</t>
        </is>
      </c>
      <c r="U191" s="2" t="inlineStr">
        <is>
          <t>官網：適合放入一格收納櫃；另有上寬高型(49×35×26)超過40公分不列</t>
        </is>
      </c>
      <c r="V191" s="2" t="inlineStr"/>
    </row>
    <row r="192">
      <c r="A192" s="2" t="inlineStr">
        <is>
          <t>NITORI-076</t>
        </is>
      </c>
      <c r="B192" s="2" t="inlineStr">
        <is>
          <t>NITORI</t>
        </is>
      </c>
      <c r="C192" s="2" t="inlineStr">
        <is>
          <t>TI02</t>
        </is>
      </c>
      <c r="D192" s="2" t="inlineStr">
        <is>
          <t>編織收納籃 TI02 窄低型</t>
        </is>
      </c>
      <c r="E192" s="2" t="inlineStr">
        <is>
          <t>2113200010224/2113200010262/2113200010309</t>
        </is>
      </c>
      <c r="F192" s="2" t="n">
        <v>19</v>
      </c>
      <c r="G192" s="2" t="n">
        <v>26</v>
      </c>
      <c r="H192" s="2" t="n">
        <v>12</v>
      </c>
      <c r="I192" s="2" t="n"/>
      <c r="J192" s="2" t="n"/>
      <c r="K192" s="2" t="n"/>
      <c r="L192" s="2" t="inlineStr">
        <is>
          <t>聚丙烯、鋼</t>
        </is>
      </c>
      <c r="M192" s="2" t="inlineStr">
        <is>
          <t>白色/米色/暗褐色</t>
        </is>
      </c>
      <c r="N192" s="2" t="inlineStr"/>
      <c r="O192" s="2" t="inlineStr">
        <is>
          <t>N</t>
        </is>
      </c>
      <c r="P192" s="2" t="n">
        <v>149</v>
      </c>
      <c r="Q192" s="2" t="inlineStr">
        <is>
          <t>2026-10-26</t>
        </is>
      </c>
      <c r="R192" s="3" t="inlineStr">
        <is>
          <t>https://www.nitori-net.tw/product/2113200010224</t>
        </is>
      </c>
      <c r="S192" s="2" t="inlineStr">
        <is>
          <t>官網</t>
        </is>
      </c>
      <c r="T192" s="2" t="inlineStr">
        <is>
          <t>high</t>
        </is>
      </c>
      <c r="U192" s="2" t="inlineStr">
        <is>
          <t>官網：適合放入一格收納櫃；另有上寬高型(49×35×26)超過40公分不列</t>
        </is>
      </c>
      <c r="V192" s="2" t="inlineStr"/>
    </row>
    <row r="193">
      <c r="A193" s="2" t="inlineStr">
        <is>
          <t>NITORI-077</t>
        </is>
      </c>
      <c r="B193" s="2" t="inlineStr">
        <is>
          <t>NITORI</t>
        </is>
      </c>
      <c r="C193" s="2" t="inlineStr">
        <is>
          <t>MUSCA</t>
        </is>
      </c>
      <c r="D193" s="2" t="inlineStr">
        <is>
          <t>(網購限定)收納籃 MUSCA 寬高型(EC)</t>
        </is>
      </c>
      <c r="E193" s="2" t="inlineStr">
        <is>
          <t>8161063</t>
        </is>
      </c>
      <c r="F193" s="2" t="n">
        <v>38</v>
      </c>
      <c r="G193" s="2" t="n">
        <v>27</v>
      </c>
      <c r="H193" s="2" t="n">
        <v>23.5</v>
      </c>
      <c r="I193" s="2" t="n"/>
      <c r="J193" s="2" t="n"/>
      <c r="K193" s="2" t="n"/>
      <c r="L193" s="2" t="inlineStr">
        <is>
          <t>布袋蓮</t>
        </is>
      </c>
      <c r="M193" s="2" t="inlineStr">
        <is>
          <t>原木色</t>
        </is>
      </c>
      <c r="N193" s="2" t="inlineStr"/>
      <c r="O193" s="2" t="inlineStr">
        <is>
          <t>N</t>
        </is>
      </c>
      <c r="P193" s="2" t="n">
        <v>399</v>
      </c>
      <c r="Q193" s="2" t="inlineStr">
        <is>
          <t>2026-10-26</t>
        </is>
      </c>
      <c r="R193" s="3" t="inlineStr">
        <is>
          <t>https://www.nitori-net.tw/product/8161063</t>
        </is>
      </c>
      <c r="S193" s="2" t="inlineStr">
        <is>
          <t>官網</t>
        </is>
      </c>
      <c r="T193" s="2" t="inlineStr">
        <is>
          <t>high</t>
        </is>
      </c>
      <c r="U193" s="2" t="inlineStr">
        <is>
          <t>網購限定；天然素材，顏色、形狀及尺寸可能略有差異（官網說明）</t>
        </is>
      </c>
      <c r="V193" s="2" t="inlineStr"/>
    </row>
    <row r="194">
      <c r="A194" s="2" t="inlineStr">
        <is>
          <t>NITORI-078</t>
        </is>
      </c>
      <c r="B194" s="2" t="inlineStr">
        <is>
          <t>NITORI</t>
        </is>
      </c>
      <c r="C194" s="2" t="inlineStr">
        <is>
          <t>MUSCA</t>
        </is>
      </c>
      <c r="D194" s="2" t="inlineStr">
        <is>
          <t>(網購限定)收納籃 MUSCA 寬低型(EC)</t>
        </is>
      </c>
      <c r="E194" s="2" t="inlineStr">
        <is>
          <t>8161064</t>
        </is>
      </c>
      <c r="F194" s="2" t="n">
        <v>38</v>
      </c>
      <c r="G194" s="2" t="n">
        <v>27</v>
      </c>
      <c r="H194" s="2" t="n">
        <v>12</v>
      </c>
      <c r="I194" s="2" t="n"/>
      <c r="J194" s="2" t="n"/>
      <c r="K194" s="2" t="n"/>
      <c r="L194" s="2" t="inlineStr">
        <is>
          <t>布袋蓮</t>
        </is>
      </c>
      <c r="M194" s="2" t="inlineStr">
        <is>
          <t>原木色</t>
        </is>
      </c>
      <c r="N194" s="2" t="inlineStr"/>
      <c r="O194" s="2" t="inlineStr">
        <is>
          <t>N</t>
        </is>
      </c>
      <c r="P194" s="2" t="n">
        <v>299</v>
      </c>
      <c r="Q194" s="2" t="inlineStr">
        <is>
          <t>2026-10-26</t>
        </is>
      </c>
      <c r="R194" s="3" t="inlineStr">
        <is>
          <t>https://www.nitori-net.tw/product/8161064</t>
        </is>
      </c>
      <c r="S194" s="2" t="inlineStr">
        <is>
          <t>官網</t>
        </is>
      </c>
      <c r="T194" s="2" t="inlineStr">
        <is>
          <t>high</t>
        </is>
      </c>
      <c r="U194" s="2" t="inlineStr">
        <is>
          <t>網購限定；天然素材，顏色、形狀及尺寸可能略有差異（官網說明）</t>
        </is>
      </c>
      <c r="V194" s="2" t="inlineStr"/>
    </row>
    <row r="195">
      <c r="A195" s="2" t="inlineStr">
        <is>
          <t>NITORI-079</t>
        </is>
      </c>
      <c r="B195" s="2" t="inlineStr">
        <is>
          <t>NITORI</t>
        </is>
      </c>
      <c r="C195" s="2" t="inlineStr">
        <is>
          <t>MUSCA</t>
        </is>
      </c>
      <c r="D195" s="2" t="inlineStr">
        <is>
          <t>(網購限定)收納籃 MUSCA 窄高型(EC)</t>
        </is>
      </c>
      <c r="E195" s="2" t="inlineStr">
        <is>
          <t>8161065</t>
        </is>
      </c>
      <c r="F195" s="2" t="n">
        <v>19</v>
      </c>
      <c r="G195" s="2" t="n">
        <v>27</v>
      </c>
      <c r="H195" s="2" t="n">
        <v>23.5</v>
      </c>
      <c r="I195" s="2" t="n"/>
      <c r="J195" s="2" t="n"/>
      <c r="K195" s="2" t="n"/>
      <c r="L195" s="2" t="inlineStr">
        <is>
          <t>布袋蓮</t>
        </is>
      </c>
      <c r="M195" s="2" t="inlineStr">
        <is>
          <t>原木色</t>
        </is>
      </c>
      <c r="N195" s="2" t="inlineStr"/>
      <c r="O195" s="2" t="inlineStr">
        <is>
          <t>N</t>
        </is>
      </c>
      <c r="P195" s="2" t="n">
        <v>299</v>
      </c>
      <c r="Q195" s="2" t="inlineStr">
        <is>
          <t>2026-10-26</t>
        </is>
      </c>
      <c r="R195" s="3" t="inlineStr">
        <is>
          <t>https://www.nitori-net.tw/product/8161065</t>
        </is>
      </c>
      <c r="S195" s="2" t="inlineStr">
        <is>
          <t>官網</t>
        </is>
      </c>
      <c r="T195" s="2" t="inlineStr">
        <is>
          <t>high</t>
        </is>
      </c>
      <c r="U195" s="2" t="inlineStr">
        <is>
          <t>網購限定；天然素材，顏色、形狀及尺寸可能略有差異（官網說明）</t>
        </is>
      </c>
      <c r="V195" s="2" t="inlineStr"/>
    </row>
    <row r="196">
      <c r="A196" s="2" t="inlineStr">
        <is>
          <t>NITORI-080</t>
        </is>
      </c>
      <c r="B196" s="2" t="inlineStr">
        <is>
          <t>NITORI</t>
        </is>
      </c>
      <c r="C196" s="2" t="inlineStr">
        <is>
          <t>MUSCA</t>
        </is>
      </c>
      <c r="D196" s="2" t="inlineStr">
        <is>
          <t>(網購限定)收納籃 MUSCA 窄低型(EC)</t>
        </is>
      </c>
      <c r="E196" s="2" t="inlineStr">
        <is>
          <t>8161066</t>
        </is>
      </c>
      <c r="F196" s="2" t="n">
        <v>19</v>
      </c>
      <c r="G196" s="2" t="n">
        <v>27</v>
      </c>
      <c r="H196" s="2" t="n">
        <v>12</v>
      </c>
      <c r="I196" s="2" t="n"/>
      <c r="J196" s="2" t="n"/>
      <c r="K196" s="2" t="n"/>
      <c r="L196" s="2" t="inlineStr">
        <is>
          <t>布袋蓮</t>
        </is>
      </c>
      <c r="M196" s="2" t="inlineStr">
        <is>
          <t>原木色</t>
        </is>
      </c>
      <c r="N196" s="2" t="inlineStr"/>
      <c r="O196" s="2" t="inlineStr">
        <is>
          <t>N</t>
        </is>
      </c>
      <c r="P196" s="2" t="n">
        <v>199</v>
      </c>
      <c r="Q196" s="2" t="inlineStr">
        <is>
          <t>2026-10-26</t>
        </is>
      </c>
      <c r="R196" s="3" t="inlineStr">
        <is>
          <t>https://www.nitori-net.tw/product/8161066</t>
        </is>
      </c>
      <c r="S196" s="2" t="inlineStr">
        <is>
          <t>官網</t>
        </is>
      </c>
      <c r="T196" s="2" t="inlineStr">
        <is>
          <t>high</t>
        </is>
      </c>
      <c r="U196" s="2" t="inlineStr">
        <is>
          <t>網購限定；天然素材，顏色、形狀及尺寸可能略有差異（官網說明）</t>
        </is>
      </c>
      <c r="V196" s="2" t="inlineStr"/>
    </row>
    <row r="197">
      <c r="A197" s="2" t="inlineStr">
        <is>
          <t>NITORI-081</t>
        </is>
      </c>
      <c r="B197" s="2" t="inlineStr">
        <is>
          <t>NITORI</t>
        </is>
      </c>
      <c r="C197" s="2" t="inlineStr">
        <is>
          <t>NN01</t>
        </is>
      </c>
      <c r="D197" s="2" t="inlineStr">
        <is>
          <t>(網購限定)木紋收納籃 寬高型 NN01(EC)</t>
        </is>
      </c>
      <c r="E197" s="2" t="inlineStr">
        <is>
          <t>2113200003523/2113200003585</t>
        </is>
      </c>
      <c r="F197" s="2" t="n">
        <v>38</v>
      </c>
      <c r="G197" s="2" t="n">
        <v>26</v>
      </c>
      <c r="H197" s="2" t="n">
        <v>24</v>
      </c>
      <c r="I197" s="2" t="n"/>
      <c r="J197" s="2" t="n"/>
      <c r="K197" s="2" t="n"/>
      <c r="L197" s="2" t="inlineStr">
        <is>
          <t>紙</t>
        </is>
      </c>
      <c r="M197" s="2" t="inlineStr">
        <is>
          <t>石灰白/中褐色</t>
        </is>
      </c>
      <c r="N197" s="2" t="inlineStr"/>
      <c r="O197" s="2" t="inlineStr">
        <is>
          <t>N</t>
        </is>
      </c>
      <c r="P197" s="2" t="n">
        <v>349</v>
      </c>
      <c r="Q197" s="2" t="inlineStr">
        <is>
          <t>2026-10-26</t>
        </is>
      </c>
      <c r="R197" s="3" t="inlineStr">
        <is>
          <t>https://www.nitori-net.tw/product/2113200003523</t>
        </is>
      </c>
      <c r="S197" s="2" t="inlineStr">
        <is>
          <t>官網</t>
        </is>
      </c>
      <c r="T197" s="2" t="inlineStr">
        <is>
          <t>high</t>
        </is>
      </c>
      <c r="U197" s="2" t="inlineStr">
        <is>
          <t>網購限定；價格：查詢日售價349（原價399）</t>
        </is>
      </c>
      <c r="V197" s="2" t="inlineStr"/>
    </row>
    <row r="198">
      <c r="A198" s="2" t="inlineStr">
        <is>
          <t>NITORI-082</t>
        </is>
      </c>
      <c r="B198" s="2" t="inlineStr">
        <is>
          <t>NITORI</t>
        </is>
      </c>
      <c r="C198" s="2" t="inlineStr">
        <is>
          <t>NN01</t>
        </is>
      </c>
      <c r="D198" s="2" t="inlineStr">
        <is>
          <t>(網購限定)木紋收納籃 寬低型 NN01(EC)</t>
        </is>
      </c>
      <c r="E198" s="2" t="inlineStr">
        <is>
          <t>2113200003530/2113200003592</t>
        </is>
      </c>
      <c r="F198" s="2" t="n">
        <v>38</v>
      </c>
      <c r="G198" s="2" t="n">
        <v>26</v>
      </c>
      <c r="H198" s="2" t="n">
        <v>12</v>
      </c>
      <c r="I198" s="2" t="n"/>
      <c r="J198" s="2" t="n"/>
      <c r="K198" s="2" t="n"/>
      <c r="L198" s="2" t="inlineStr">
        <is>
          <t>紙</t>
        </is>
      </c>
      <c r="M198" s="2" t="inlineStr">
        <is>
          <t>石灰白/中褐色</t>
        </is>
      </c>
      <c r="N198" s="2" t="inlineStr"/>
      <c r="O198" s="2" t="inlineStr">
        <is>
          <t>N</t>
        </is>
      </c>
      <c r="P198" s="2" t="n">
        <v>299</v>
      </c>
      <c r="Q198" s="2" t="inlineStr">
        <is>
          <t>2026-10-26</t>
        </is>
      </c>
      <c r="R198" s="3" t="inlineStr">
        <is>
          <t>https://www.nitori-net.tw/product/2113200003530</t>
        </is>
      </c>
      <c r="S198" s="2" t="inlineStr">
        <is>
          <t>官網</t>
        </is>
      </c>
      <c r="T198" s="2" t="inlineStr">
        <is>
          <t>high</t>
        </is>
      </c>
      <c r="U198" s="2" t="inlineStr">
        <is>
          <t>網購限定；價格：查詢日售價299（原價349）</t>
        </is>
      </c>
      <c r="V198" s="2" t="inlineStr"/>
    </row>
    <row r="199">
      <c r="A199" s="2" t="inlineStr">
        <is>
          <t>NITORI-083</t>
        </is>
      </c>
      <c r="B199" s="2" t="inlineStr">
        <is>
          <t>NITORI</t>
        </is>
      </c>
      <c r="C199" s="2" t="inlineStr">
        <is>
          <t>NN01</t>
        </is>
      </c>
      <c r="D199" s="2" t="inlineStr">
        <is>
          <t>(網購限定)木紋收納籃 窄高型 NN01(EC)</t>
        </is>
      </c>
      <c r="E199" s="2" t="inlineStr">
        <is>
          <t>2113200003547/2113200003608</t>
        </is>
      </c>
      <c r="F199" s="2" t="n">
        <v>19</v>
      </c>
      <c r="G199" s="2" t="n">
        <v>26</v>
      </c>
      <c r="H199" s="2" t="n">
        <v>24</v>
      </c>
      <c r="I199" s="2" t="n"/>
      <c r="J199" s="2" t="n"/>
      <c r="K199" s="2" t="n"/>
      <c r="L199" s="2" t="inlineStr">
        <is>
          <t>紙</t>
        </is>
      </c>
      <c r="M199" s="2" t="inlineStr">
        <is>
          <t>石灰白/中褐色</t>
        </is>
      </c>
      <c r="N199" s="2" t="inlineStr"/>
      <c r="O199" s="2" t="inlineStr">
        <is>
          <t>N</t>
        </is>
      </c>
      <c r="P199" s="2" t="n">
        <v>299</v>
      </c>
      <c r="Q199" s="2" t="inlineStr">
        <is>
          <t>2026-10-26</t>
        </is>
      </c>
      <c r="R199" s="3" t="inlineStr">
        <is>
          <t>https://www.nitori-net.tw/product/2113200003547</t>
        </is>
      </c>
      <c r="S199" s="2" t="inlineStr">
        <is>
          <t>官網</t>
        </is>
      </c>
      <c r="T199" s="2" t="inlineStr">
        <is>
          <t>high</t>
        </is>
      </c>
      <c r="U199" s="2" t="inlineStr">
        <is>
          <t>網購限定；價格：查詢日售價299（原價349）</t>
        </is>
      </c>
      <c r="V199" s="2" t="inlineStr"/>
    </row>
    <row r="200">
      <c r="A200" s="2" t="inlineStr">
        <is>
          <t>NITORI-084</t>
        </is>
      </c>
      <c r="B200" s="2" t="inlineStr">
        <is>
          <t>NITORI</t>
        </is>
      </c>
      <c r="C200" s="2" t="inlineStr">
        <is>
          <t>NN01</t>
        </is>
      </c>
      <c r="D200" s="2" t="inlineStr">
        <is>
          <t>(網購限定)木紋收納籃 窄低型 NN01(EC)</t>
        </is>
      </c>
      <c r="E200" s="2" t="inlineStr">
        <is>
          <t>2113200003554/2113200003615</t>
        </is>
      </c>
      <c r="F200" s="2" t="n">
        <v>19</v>
      </c>
      <c r="G200" s="2" t="n">
        <v>26</v>
      </c>
      <c r="H200" s="2" t="n">
        <v>12</v>
      </c>
      <c r="I200" s="2" t="n"/>
      <c r="J200" s="2" t="n"/>
      <c r="K200" s="2" t="n"/>
      <c r="L200" s="2" t="inlineStr">
        <is>
          <t>紙</t>
        </is>
      </c>
      <c r="M200" s="2" t="inlineStr">
        <is>
          <t>石灰白/中褐色</t>
        </is>
      </c>
      <c r="N200" s="2" t="inlineStr"/>
      <c r="O200" s="2" t="inlineStr">
        <is>
          <t>N</t>
        </is>
      </c>
      <c r="P200" s="2" t="n">
        <v>179</v>
      </c>
      <c r="Q200" s="2" t="inlineStr">
        <is>
          <t>2026-10-26</t>
        </is>
      </c>
      <c r="R200" s="3" t="inlineStr">
        <is>
          <t>https://www.nitori-net.tw/product/2113200003554</t>
        </is>
      </c>
      <c r="S200" s="2" t="inlineStr">
        <is>
          <t>官網</t>
        </is>
      </c>
      <c r="T200" s="2" t="inlineStr">
        <is>
          <t>high</t>
        </is>
      </c>
      <c r="U200" s="2" t="inlineStr">
        <is>
          <t>網購限定；價格：查詢日售價179（原價249）、中褐色 199元</t>
        </is>
      </c>
      <c r="V200" s="2" t="inlineStr"/>
    </row>
    <row r="201">
      <c r="A201" s="2" t="inlineStr">
        <is>
          <t>NITORI-085</t>
        </is>
      </c>
      <c r="B201" s="2" t="inlineStr">
        <is>
          <t>NITORI</t>
        </is>
      </c>
      <c r="C201" s="2" t="inlineStr">
        <is>
          <t>N COLOBO</t>
        </is>
      </c>
      <c r="D201" s="2" t="inlineStr">
        <is>
          <t>N COLOBO用抽屜 寬高型</t>
        </is>
      </c>
      <c r="E201" s="2" t="inlineStr">
        <is>
          <t>8440412</t>
        </is>
      </c>
      <c r="F201" s="2" t="n">
        <v>39</v>
      </c>
      <c r="G201" s="2" t="n">
        <v>27.6</v>
      </c>
      <c r="H201" s="2" t="n">
        <v>23.1</v>
      </c>
      <c r="I201" s="2" t="n"/>
      <c r="J201" s="2" t="n"/>
      <c r="K201" s="2" t="n"/>
      <c r="L201" s="2" t="inlineStr">
        <is>
          <t>MDF、聚脂纖維</t>
        </is>
      </c>
      <c r="M201" s="2" t="inlineStr">
        <is>
          <t>石灰白</t>
        </is>
      </c>
      <c r="N201" s="2" t="inlineStr"/>
      <c r="O201" s="2" t="inlineStr">
        <is>
          <t>N</t>
        </is>
      </c>
      <c r="P201" s="2" t="n">
        <v>219</v>
      </c>
      <c r="Q201" s="2" t="inlineStr">
        <is>
          <t>2026-10-26</t>
        </is>
      </c>
      <c r="R201" s="3" t="inlineStr">
        <is>
          <t>https://www.nitori-net.tw/product/8440412</t>
        </is>
      </c>
      <c r="S201" s="2" t="inlineStr">
        <is>
          <t>官網</t>
        </is>
      </c>
      <c r="T201" s="2" t="inlineStr">
        <is>
          <t>high</t>
        </is>
      </c>
      <c r="U201" s="2" t="inlineStr">
        <is>
          <t>彩色櫃N COLOBO專用抽屜（置入櫃格使用）；價格：查詢日售價219（原價249）</t>
        </is>
      </c>
      <c r="V201" s="2" t="inlineStr"/>
    </row>
    <row r="202">
      <c r="A202" s="2" t="inlineStr">
        <is>
          <t>NITORI-086</t>
        </is>
      </c>
      <c r="B202" s="2" t="inlineStr">
        <is>
          <t>NITORI</t>
        </is>
      </c>
      <c r="C202" s="2" t="inlineStr">
        <is>
          <t>N-FLATTE</t>
        </is>
      </c>
      <c r="D202" s="2" t="inlineStr">
        <is>
          <t>窄型堆疊收納籃 N-FLATTE HALF</t>
        </is>
      </c>
      <c r="E202" s="2" t="inlineStr">
        <is>
          <t>8430757</t>
        </is>
      </c>
      <c r="F202" s="2" t="n">
        <v>25.5</v>
      </c>
      <c r="G202" s="2" t="n">
        <v>39</v>
      </c>
      <c r="H202" s="2" t="n">
        <v>23</v>
      </c>
      <c r="I202" s="2" t="n"/>
      <c r="J202" s="2" t="n"/>
      <c r="K202" s="2" t="n"/>
      <c r="L202" s="2" t="inlineStr">
        <is>
          <t>聚丙烯</t>
        </is>
      </c>
      <c r="M202" s="2" t="inlineStr">
        <is>
          <t>淺灰色</t>
        </is>
      </c>
      <c r="N202" s="2" t="inlineStr">
        <is>
          <t>Y</t>
        </is>
      </c>
      <c r="O202" s="2" t="inlineStr">
        <is>
          <t>N</t>
        </is>
      </c>
      <c r="P202" s="2" t="n">
        <v>129</v>
      </c>
      <c r="Q202" s="2" t="inlineStr">
        <is>
          <t>2026-10-26</t>
        </is>
      </c>
      <c r="R202" s="3" t="inlineStr">
        <is>
          <t>https://www.nitori-net.tw/product/8430757</t>
        </is>
      </c>
      <c r="S202" s="2" t="inlineStr">
        <is>
          <t>官網</t>
        </is>
      </c>
      <c r="T202" s="2" t="inlineStr">
        <is>
          <t>high</t>
        </is>
      </c>
      <c r="U202" s="2" t="inlineStr">
        <is>
          <t>官網：搭配另售用蓋可堆疊，最多4層；另售蓋：窄型堆疊收納籃用蓋 N-FLATTE-DS HALF(8430815)；寬型N-FLATTE(寬51)超過40公分不列；價格：查詢日售價129（原價159）</t>
        </is>
      </c>
      <c r="V202" s="2" t="inlineStr"/>
    </row>
    <row r="203">
      <c r="A203" s="2" t="inlineStr">
        <is>
          <t>NITORI-087</t>
        </is>
      </c>
      <c r="B203" s="2" t="inlineStr">
        <is>
          <t>NITORI</t>
        </is>
      </c>
      <c r="C203" s="2" t="inlineStr">
        <is>
          <t>N-FLATTE</t>
        </is>
      </c>
      <c r="D203" s="2" t="inlineStr">
        <is>
          <t>窄型堆疊收納籃 抽屜式 N-FLATTE-DS HALF</t>
        </is>
      </c>
      <c r="E203" s="2" t="inlineStr">
        <is>
          <t>8430848</t>
        </is>
      </c>
      <c r="F203" s="2" t="n">
        <v>25.5</v>
      </c>
      <c r="G203" s="2" t="n">
        <v>39.5</v>
      </c>
      <c r="H203" s="2" t="n">
        <v>23.5</v>
      </c>
      <c r="I203" s="2" t="n"/>
      <c r="J203" s="2" t="n"/>
      <c r="K203" s="2" t="n"/>
      <c r="L203" s="2" t="inlineStr">
        <is>
          <t>聚丙烯</t>
        </is>
      </c>
      <c r="M203" s="2" t="inlineStr">
        <is>
          <t>透明色</t>
        </is>
      </c>
      <c r="N203" s="2" t="inlineStr">
        <is>
          <t>Y</t>
        </is>
      </c>
      <c r="O203" s="2" t="inlineStr">
        <is>
          <t>N</t>
        </is>
      </c>
      <c r="P203" s="2" t="n">
        <v>299</v>
      </c>
      <c r="Q203" s="2" t="inlineStr">
        <is>
          <t>2026-10-26</t>
        </is>
      </c>
      <c r="R203" s="3" t="inlineStr">
        <is>
          <t>https://www.nitori-net.tw/product/8430848</t>
        </is>
      </c>
      <c r="S203" s="2" t="inlineStr">
        <is>
          <t>官網</t>
        </is>
      </c>
      <c r="T203" s="2" t="inlineStr">
        <is>
          <t>high</t>
        </is>
      </c>
      <c r="U203" s="2" t="inlineStr">
        <is>
          <t>抽屜式；官網：可堆疊使用；寬型(寬51)超過40公分不列</t>
        </is>
      </c>
      <c r="V203" s="2" t="inlineStr"/>
    </row>
    <row r="204">
      <c r="A204" s="2" t="inlineStr">
        <is>
          <t>NITORI-088</t>
        </is>
      </c>
      <c r="B204" s="2" t="inlineStr">
        <is>
          <t>NITORI</t>
        </is>
      </c>
      <c r="C204" s="2" t="inlineStr">
        <is>
          <t>N-ROBIN</t>
        </is>
      </c>
      <c r="D204" s="2" t="inlineStr">
        <is>
          <t>附蓋塑膠收納盒 N-ROBIN REGULAR</t>
        </is>
      </c>
      <c r="E204" s="2" t="inlineStr">
        <is>
          <t>8430798</t>
        </is>
      </c>
      <c r="F204" s="2" t="n">
        <v>35</v>
      </c>
      <c r="G204" s="2" t="n">
        <v>37</v>
      </c>
      <c r="H204" s="2" t="n">
        <v>20</v>
      </c>
      <c r="I204" s="2" t="n"/>
      <c r="J204" s="2" t="n"/>
      <c r="K204" s="2" t="n"/>
      <c r="L204" s="2" t="inlineStr">
        <is>
          <t>聚丙烯</t>
        </is>
      </c>
      <c r="M204" s="2" t="inlineStr">
        <is>
          <t>純白色</t>
        </is>
      </c>
      <c r="N204" s="2" t="inlineStr">
        <is>
          <t>Y</t>
        </is>
      </c>
      <c r="O204" s="2" t="inlineStr">
        <is>
          <t>Y</t>
        </is>
      </c>
      <c r="P204" s="2" t="n">
        <v>199</v>
      </c>
      <c r="Q204" s="2" t="inlineStr">
        <is>
          <t>2026-10-26</t>
        </is>
      </c>
      <c r="R204" s="3" t="inlineStr">
        <is>
          <t>https://www.nitori-net.tw/product/8430798</t>
        </is>
      </c>
      <c r="S204" s="2" t="inlineStr">
        <is>
          <t>官網</t>
        </is>
      </c>
      <c r="T204" s="2" t="inlineStr">
        <is>
          <t>high</t>
        </is>
      </c>
      <c r="U204" s="2" t="inlineStr">
        <is>
          <t>官網：底部凹槽設計堆疊不易錯開；放吊衣桿下最多2層</t>
        </is>
      </c>
      <c r="V204" s="2" t="inlineStr"/>
    </row>
    <row r="205">
      <c r="A205" s="2" t="inlineStr">
        <is>
          <t>NITORI-089</t>
        </is>
      </c>
      <c r="B205" s="2" t="inlineStr">
        <is>
          <t>NITORI</t>
        </is>
      </c>
      <c r="C205" s="2" t="inlineStr">
        <is>
          <t>透明收納盒</t>
        </is>
      </c>
      <c r="D205" s="2" t="inlineStr">
        <is>
          <t>透明收納盒 寬高型</t>
        </is>
      </c>
      <c r="E205" s="2" t="inlineStr">
        <is>
          <t>2113200003233</t>
        </is>
      </c>
      <c r="F205" s="2" t="n">
        <v>38.5</v>
      </c>
      <c r="G205" s="2" t="n">
        <v>26.4</v>
      </c>
      <c r="H205" s="2" t="n">
        <v>23.6</v>
      </c>
      <c r="I205" s="2" t="n"/>
      <c r="J205" s="2" t="n"/>
      <c r="K205" s="2" t="n"/>
      <c r="L205" s="2" t="inlineStr">
        <is>
          <t>聚苯乙烯</t>
        </is>
      </c>
      <c r="M205" s="2" t="inlineStr">
        <is>
          <t>透明</t>
        </is>
      </c>
      <c r="N205" s="2" t="inlineStr">
        <is>
          <t>Y</t>
        </is>
      </c>
      <c r="O205" s="2" t="inlineStr">
        <is>
          <t>N</t>
        </is>
      </c>
      <c r="P205" s="2" t="n">
        <v>349</v>
      </c>
      <c r="Q205" s="2" t="inlineStr">
        <is>
          <t>2026-10-26</t>
        </is>
      </c>
      <c r="R205" s="3" t="inlineStr">
        <is>
          <t>https://www.nitori-net.tw/product/2113200003233</t>
        </is>
      </c>
      <c r="S205" s="2" t="inlineStr">
        <is>
          <t>官網</t>
        </is>
      </c>
      <c r="T205" s="2" t="inlineStr">
        <is>
          <t>high</t>
        </is>
      </c>
      <c r="U205" s="2" t="inlineStr">
        <is>
          <t>官網：同系列透明收納盒可堆疊；無法與N INBOX系列堆疊</t>
        </is>
      </c>
      <c r="V205" s="2" t="inlineStr"/>
    </row>
    <row r="206">
      <c r="A206" s="2" t="inlineStr">
        <is>
          <t>NITORI-090</t>
        </is>
      </c>
      <c r="B206" s="2" t="inlineStr">
        <is>
          <t>NITORI</t>
        </is>
      </c>
      <c r="C206" s="2" t="inlineStr">
        <is>
          <t>透明收納盒</t>
        </is>
      </c>
      <c r="D206" s="2" t="inlineStr">
        <is>
          <t>透明收納盒 寬低型</t>
        </is>
      </c>
      <c r="E206" s="2" t="inlineStr">
        <is>
          <t>2113200003240</t>
        </is>
      </c>
      <c r="F206" s="2" t="n">
        <v>38.5</v>
      </c>
      <c r="G206" s="2" t="n">
        <v>26.4</v>
      </c>
      <c r="H206" s="2" t="n">
        <v>12.1</v>
      </c>
      <c r="I206" s="2" t="n"/>
      <c r="J206" s="2" t="n"/>
      <c r="K206" s="2" t="n"/>
      <c r="L206" s="2" t="inlineStr">
        <is>
          <t>聚苯乙烯</t>
        </is>
      </c>
      <c r="M206" s="2" t="inlineStr">
        <is>
          <t>透明</t>
        </is>
      </c>
      <c r="N206" s="2" t="inlineStr">
        <is>
          <t>Y</t>
        </is>
      </c>
      <c r="O206" s="2" t="inlineStr">
        <is>
          <t>N</t>
        </is>
      </c>
      <c r="P206" s="2" t="n">
        <v>249</v>
      </c>
      <c r="Q206" s="2" t="inlineStr">
        <is>
          <t>2026-10-26</t>
        </is>
      </c>
      <c r="R206" s="3" t="inlineStr">
        <is>
          <t>https://www.nitori-net.tw/product/2113200003240</t>
        </is>
      </c>
      <c r="S206" s="2" t="inlineStr">
        <is>
          <t>官網</t>
        </is>
      </c>
      <c r="T206" s="2" t="inlineStr">
        <is>
          <t>high</t>
        </is>
      </c>
      <c r="U206" s="2" t="inlineStr">
        <is>
          <t>官網：同系列透明收納盒可堆疊；無法與N INBOX系列堆疊；說明欄標示高12公分</t>
        </is>
      </c>
      <c r="V206" s="2" t="inlineStr"/>
    </row>
    <row r="207">
      <c r="A207" s="2" t="inlineStr">
        <is>
          <t>NITORI-091</t>
        </is>
      </c>
      <c r="B207" s="2" t="inlineStr">
        <is>
          <t>NITORI</t>
        </is>
      </c>
      <c r="C207" s="2" t="inlineStr">
        <is>
          <t>透明收納盒</t>
        </is>
      </c>
      <c r="D207" s="2" t="inlineStr">
        <is>
          <t>透明收納盒 托盤型</t>
        </is>
      </c>
      <c r="E207" s="2" t="inlineStr">
        <is>
          <t>2113200003257</t>
        </is>
      </c>
      <c r="F207" s="2" t="n">
        <v>38.5</v>
      </c>
      <c r="G207" s="2" t="n">
        <v>26.4</v>
      </c>
      <c r="H207" s="2" t="n">
        <v>12.1</v>
      </c>
      <c r="I207" s="2" t="n"/>
      <c r="J207" s="2" t="n"/>
      <c r="K207" s="2" t="n"/>
      <c r="L207" s="2" t="inlineStr">
        <is>
          <t>聚苯乙烯</t>
        </is>
      </c>
      <c r="M207" s="2" t="inlineStr">
        <is>
          <t>透明</t>
        </is>
      </c>
      <c r="N207" s="2" t="inlineStr">
        <is>
          <t>Y</t>
        </is>
      </c>
      <c r="O207" s="2" t="inlineStr">
        <is>
          <t>N</t>
        </is>
      </c>
      <c r="P207" s="2" t="n">
        <v>249</v>
      </c>
      <c r="Q207" s="2" t="inlineStr">
        <is>
          <t>2026-10-26</t>
        </is>
      </c>
      <c r="R207" s="3" t="inlineStr">
        <is>
          <t>https://www.nitori-net.tw/product/2113200003257</t>
        </is>
      </c>
      <c r="S207" s="2" t="inlineStr">
        <is>
          <t>官網</t>
        </is>
      </c>
      <c r="T207" s="2" t="inlineStr">
        <is>
          <t>high</t>
        </is>
      </c>
      <c r="U207" s="2" t="inlineStr">
        <is>
          <t>官網：同系列透明收納盒可堆疊；無法與N INBOX系列堆疊</t>
        </is>
      </c>
      <c r="V207" s="2" t="inlineStr"/>
    </row>
    <row r="208">
      <c r="A208" s="2" t="inlineStr">
        <is>
          <t>NITORI-092</t>
        </is>
      </c>
      <c r="B208" s="2" t="inlineStr">
        <is>
          <t>NITORI</t>
        </is>
      </c>
      <c r="C208" s="2" t="inlineStr">
        <is>
          <t>堆疊式收納籃</t>
        </is>
      </c>
      <c r="D208" s="2" t="inlineStr">
        <is>
          <t>堆疊式收納籃 L-UP</t>
        </is>
      </c>
      <c r="E208" s="2" t="inlineStr">
        <is>
          <t>8161015</t>
        </is>
      </c>
      <c r="F208" s="2" t="n">
        <v>39</v>
      </c>
      <c r="G208" s="2" t="n">
        <v>27</v>
      </c>
      <c r="H208" s="2" t="n">
        <v>22</v>
      </c>
      <c r="I208" s="2" t="n"/>
      <c r="J208" s="2" t="n"/>
      <c r="K208" s="2" t="n"/>
      <c r="L208" s="2" t="inlineStr">
        <is>
          <t>鐵(噴漆)</t>
        </is>
      </c>
      <c r="M208" s="2" t="inlineStr">
        <is>
          <t>深褐色</t>
        </is>
      </c>
      <c r="N208" s="2" t="inlineStr">
        <is>
          <t>Y</t>
        </is>
      </c>
      <c r="O208" s="2" t="inlineStr">
        <is>
          <t>N</t>
        </is>
      </c>
      <c r="P208" s="2" t="n">
        <v>239</v>
      </c>
      <c r="Q208" s="2" t="inlineStr">
        <is>
          <t>2026-10-26</t>
        </is>
      </c>
      <c r="R208" s="3" t="inlineStr">
        <is>
          <t>https://www.nitori-net.tw/product/8161015</t>
        </is>
      </c>
      <c r="S208" s="2" t="inlineStr">
        <is>
          <t>官網</t>
        </is>
      </c>
      <c r="T208" s="2" t="inlineStr">
        <is>
          <t>medium</t>
        </is>
      </c>
      <c r="U208" s="2" t="inlineStr">
        <is>
          <t>官網：手把收至內側可向上堆疊最高3層，堆疊後整體耐重5kg；資料衝突：說明欄標示S約30.5×16.5×14、L約40×26.5×22公分，此列依規格欄；價格：查詢日售價239（原價299）</t>
        </is>
      </c>
      <c r="V208" s="2" t="inlineStr"/>
    </row>
    <row r="209">
      <c r="A209" s="2" t="inlineStr">
        <is>
          <t>NITORI-093</t>
        </is>
      </c>
      <c r="B209" s="2" t="inlineStr">
        <is>
          <t>NITORI</t>
        </is>
      </c>
      <c r="C209" s="2" t="inlineStr">
        <is>
          <t>堆疊式收納籃</t>
        </is>
      </c>
      <c r="D209" s="2" t="inlineStr">
        <is>
          <t>堆疊式收納籃 S-UP</t>
        </is>
      </c>
      <c r="E209" s="2" t="inlineStr">
        <is>
          <t>8161013</t>
        </is>
      </c>
      <c r="F209" s="2" t="n">
        <v>31</v>
      </c>
      <c r="G209" s="2" t="n">
        <v>17</v>
      </c>
      <c r="H209" s="2" t="n">
        <v>15</v>
      </c>
      <c r="I209" s="2" t="n"/>
      <c r="J209" s="2" t="n"/>
      <c r="K209" s="2" t="n"/>
      <c r="L209" s="2" t="inlineStr">
        <is>
          <t>鐵(噴漆)</t>
        </is>
      </c>
      <c r="M209" s="2" t="inlineStr">
        <is>
          <t>深褐色</t>
        </is>
      </c>
      <c r="N209" s="2" t="inlineStr">
        <is>
          <t>Y</t>
        </is>
      </c>
      <c r="O209" s="2" t="inlineStr">
        <is>
          <t>N</t>
        </is>
      </c>
      <c r="P209" s="2" t="n">
        <v>159</v>
      </c>
      <c r="Q209" s="2" t="inlineStr">
        <is>
          <t>2026-10-26</t>
        </is>
      </c>
      <c r="R209" s="3" t="inlineStr">
        <is>
          <t>https://www.nitori-net.tw/product/8161013</t>
        </is>
      </c>
      <c r="S209" s="2" t="inlineStr">
        <is>
          <t>官網</t>
        </is>
      </c>
      <c r="T209" s="2" t="inlineStr">
        <is>
          <t>medium</t>
        </is>
      </c>
      <c r="U209" s="2" t="inlineStr">
        <is>
          <t>官網：手把收至內側可向上堆疊最高3層，堆疊後整體耐重5kg；資料衝突：說明欄標示S約30.5×16.5×14、L約40×26.5×22公分，此列依規格欄；價格：查詢日售價159（原價199）</t>
        </is>
      </c>
      <c r="V209" s="2" t="inlineStr"/>
    </row>
    <row r="210">
      <c r="A210" s="2" t="inlineStr">
        <is>
          <t>NITORI-094</t>
        </is>
      </c>
      <c r="B210" s="2" t="inlineStr">
        <is>
          <t>NITORI</t>
        </is>
      </c>
      <c r="C210" s="2" t="inlineStr">
        <is>
          <t>堆疊式收納籃</t>
        </is>
      </c>
      <c r="D210" s="2" t="inlineStr">
        <is>
          <t>堆疊式收納籃 前開式 L-DOWN</t>
        </is>
      </c>
      <c r="E210" s="2" t="inlineStr">
        <is>
          <t>8161016</t>
        </is>
      </c>
      <c r="F210" s="2" t="n">
        <v>39</v>
      </c>
      <c r="G210" s="2" t="n">
        <v>27</v>
      </c>
      <c r="H210" s="2" t="n">
        <v>22</v>
      </c>
      <c r="I210" s="2" t="n"/>
      <c r="J210" s="2" t="n"/>
      <c r="K210" s="2" t="n"/>
      <c r="L210" s="2" t="inlineStr">
        <is>
          <t>鐵(噴漆)</t>
        </is>
      </c>
      <c r="M210" s="2" t="inlineStr">
        <is>
          <t>深褐色</t>
        </is>
      </c>
      <c r="N210" s="2" t="inlineStr">
        <is>
          <t>Y</t>
        </is>
      </c>
      <c r="O210" s="2" t="inlineStr">
        <is>
          <t>N</t>
        </is>
      </c>
      <c r="P210" s="2" t="n">
        <v>239</v>
      </c>
      <c r="Q210" s="2" t="inlineStr">
        <is>
          <t>2026-10-26</t>
        </is>
      </c>
      <c r="R210" s="3" t="inlineStr">
        <is>
          <t>https://www.nitori-net.tw/product/8161016</t>
        </is>
      </c>
      <c r="S210" s="2" t="inlineStr">
        <is>
          <t>官網</t>
        </is>
      </c>
      <c r="T210" s="2" t="inlineStr">
        <is>
          <t>medium</t>
        </is>
      </c>
      <c r="U210" s="2" t="inlineStr">
        <is>
          <t>前開式；官網：手把收至內側可向上堆疊最高3層，堆疊後整體耐重5kg；資料衝突：說明欄標示S約30.5×16.5×14、L約40×26.5×22公分，此列依規格欄；價格：查詢日售價239（原價299）</t>
        </is>
      </c>
      <c r="V210" s="2" t="inlineStr"/>
    </row>
    <row r="211">
      <c r="A211" s="2" t="inlineStr">
        <is>
          <t>NITORI-095</t>
        </is>
      </c>
      <c r="B211" s="2" t="inlineStr">
        <is>
          <t>NITORI</t>
        </is>
      </c>
      <c r="C211" s="2" t="inlineStr">
        <is>
          <t>堆疊式收納籃</t>
        </is>
      </c>
      <c r="D211" s="2" t="inlineStr">
        <is>
          <t>堆疊式收納籃 前開式 S-DOWN</t>
        </is>
      </c>
      <c r="E211" s="2" t="inlineStr">
        <is>
          <t>8161014</t>
        </is>
      </c>
      <c r="F211" s="2" t="n">
        <v>31</v>
      </c>
      <c r="G211" s="2" t="n">
        <v>17</v>
      </c>
      <c r="H211" s="2" t="n">
        <v>15</v>
      </c>
      <c r="I211" s="2" t="n"/>
      <c r="J211" s="2" t="n"/>
      <c r="K211" s="2" t="n"/>
      <c r="L211" s="2" t="inlineStr">
        <is>
          <t>鐵(噴漆)</t>
        </is>
      </c>
      <c r="M211" s="2" t="inlineStr">
        <is>
          <t>深褐色</t>
        </is>
      </c>
      <c r="N211" s="2" t="inlineStr">
        <is>
          <t>Y</t>
        </is>
      </c>
      <c r="O211" s="2" t="inlineStr">
        <is>
          <t>N</t>
        </is>
      </c>
      <c r="P211" s="2" t="n">
        <v>159</v>
      </c>
      <c r="Q211" s="2" t="inlineStr">
        <is>
          <t>2026-10-26</t>
        </is>
      </c>
      <c r="R211" s="3" t="inlineStr">
        <is>
          <t>https://www.nitori-net.tw/product/8161014</t>
        </is>
      </c>
      <c r="S211" s="2" t="inlineStr">
        <is>
          <t>官網</t>
        </is>
      </c>
      <c r="T211" s="2" t="inlineStr">
        <is>
          <t>medium</t>
        </is>
      </c>
      <c r="U211" s="2" t="inlineStr">
        <is>
          <t>前開式；官網：手把收至內側可向上堆疊最高3層，堆疊後整體耐重5kg；資料衝突：說明欄標示S約30.5×16.5×14、L約40×26.5×22公分，此列依規格欄；價格：查詢日售價159（原價199）</t>
        </is>
      </c>
      <c r="V211" s="2" t="inlineStr"/>
    </row>
    <row r="212">
      <c r="A212" s="2" t="inlineStr">
        <is>
          <t>NITORI-096</t>
        </is>
      </c>
      <c r="B212" s="2" t="inlineStr">
        <is>
          <t>NITORI</t>
        </is>
      </c>
      <c r="C212" s="2" t="inlineStr">
        <is>
          <t>JS</t>
        </is>
      </c>
      <c r="D212" s="2" t="inlineStr">
        <is>
          <t>櫥櫃收納盒 S JS</t>
        </is>
      </c>
      <c r="E212" s="2" t="inlineStr">
        <is>
          <t>8988261/8988263</t>
        </is>
      </c>
      <c r="F212" s="2" t="n">
        <v>18</v>
      </c>
      <c r="G212" s="2" t="n">
        <v>30.8</v>
      </c>
      <c r="H212" s="2" t="n">
        <v>22.3</v>
      </c>
      <c r="I212" s="2" t="n">
        <v>15.7</v>
      </c>
      <c r="J212" s="2" t="n">
        <v>24.2</v>
      </c>
      <c r="K212" s="2" t="n">
        <v>21.8</v>
      </c>
      <c r="L212" s="2" t="inlineStr">
        <is>
          <t>聚丙烯</t>
        </is>
      </c>
      <c r="M212" s="2" t="inlineStr">
        <is>
          <t>純白色/透明</t>
        </is>
      </c>
      <c r="N212" s="2" t="inlineStr">
        <is>
          <t>Y</t>
        </is>
      </c>
      <c r="O212" s="2" t="inlineStr">
        <is>
          <t>N</t>
        </is>
      </c>
      <c r="P212" s="2" t="n">
        <v>179</v>
      </c>
      <c r="Q212" s="2" t="inlineStr">
        <is>
          <t>2026-10-26</t>
        </is>
      </c>
      <c r="R212" s="3" t="inlineStr">
        <is>
          <t>https://www.nitori-net.tw/product/8988261</t>
        </is>
      </c>
      <c r="S212" s="2" t="inlineStr">
        <is>
          <t>官網</t>
        </is>
      </c>
      <c r="T212" s="2" t="inlineStr">
        <is>
          <t>high</t>
        </is>
      </c>
      <c r="U212" s="2" t="inlineStr">
        <is>
          <t>官網：可與相同尺寸堆疊，最多3層；白色JS61/透明JS63</t>
        </is>
      </c>
      <c r="V212" s="2" t="inlineStr"/>
    </row>
    <row r="213">
      <c r="A213" s="2" t="inlineStr">
        <is>
          <t>NITORI-097</t>
        </is>
      </c>
      <c r="B213" s="2" t="inlineStr">
        <is>
          <t>NITORI</t>
        </is>
      </c>
      <c r="C213" s="2" t="inlineStr">
        <is>
          <t>JS</t>
        </is>
      </c>
      <c r="D213" s="2" t="inlineStr">
        <is>
          <t>櫥櫃收納盒 M JS</t>
        </is>
      </c>
      <c r="E213" s="2" t="inlineStr">
        <is>
          <t>8988262/8988264</t>
        </is>
      </c>
      <c r="F213" s="2" t="n">
        <v>22.5</v>
      </c>
      <c r="G213" s="2" t="n">
        <v>30.8</v>
      </c>
      <c r="H213" s="2" t="n">
        <v>22.3</v>
      </c>
      <c r="I213" s="2" t="n">
        <v>20.2</v>
      </c>
      <c r="J213" s="2" t="n">
        <v>24.2</v>
      </c>
      <c r="K213" s="2" t="n">
        <v>21.8</v>
      </c>
      <c r="L213" s="2" t="inlineStr">
        <is>
          <t>聚丙烯</t>
        </is>
      </c>
      <c r="M213" s="2" t="inlineStr">
        <is>
          <t>純白色/透明</t>
        </is>
      </c>
      <c r="N213" s="2" t="inlineStr">
        <is>
          <t>Y</t>
        </is>
      </c>
      <c r="O213" s="2" t="inlineStr">
        <is>
          <t>N</t>
        </is>
      </c>
      <c r="P213" s="2" t="n">
        <v>199</v>
      </c>
      <c r="Q213" s="2" t="inlineStr">
        <is>
          <t>2026-10-26</t>
        </is>
      </c>
      <c r="R213" s="3" t="inlineStr">
        <is>
          <t>https://www.nitori-net.tw/product/8988262</t>
        </is>
      </c>
      <c r="S213" s="2" t="inlineStr">
        <is>
          <t>官網</t>
        </is>
      </c>
      <c r="T213" s="2" t="inlineStr">
        <is>
          <t>high</t>
        </is>
      </c>
      <c r="U213" s="2" t="inlineStr">
        <is>
          <t>官網：可與相同尺寸堆疊，最多3層；白色JS62/透明JS64</t>
        </is>
      </c>
      <c r="V213" s="2" t="inlineStr"/>
    </row>
    <row r="214">
      <c r="A214" s="2" t="inlineStr">
        <is>
          <t>NITORI-098</t>
        </is>
      </c>
      <c r="B214" s="2" t="inlineStr">
        <is>
          <t>NITORI</t>
        </is>
      </c>
      <c r="C214" s="2" t="inlineStr">
        <is>
          <t>N BRANC</t>
        </is>
      </c>
      <c r="D214" s="2" t="inlineStr">
        <is>
          <t>櫥櫃收納盒CL N BRANC S</t>
        </is>
      </c>
      <c r="E214" s="2" t="inlineStr">
        <is>
          <t>8987921</t>
        </is>
      </c>
      <c r="F214" s="2" t="n">
        <v>18</v>
      </c>
      <c r="G214" s="2" t="n">
        <v>30</v>
      </c>
      <c r="H214" s="2" t="n">
        <v>22</v>
      </c>
      <c r="I214" s="2" t="n"/>
      <c r="J214" s="2" t="n"/>
      <c r="K214" s="2" t="n"/>
      <c r="L214" s="2" t="inlineStr">
        <is>
          <t>聚丙烯</t>
        </is>
      </c>
      <c r="M214" s="2" t="inlineStr">
        <is>
          <t>透明</t>
        </is>
      </c>
      <c r="N214" s="2" t="inlineStr">
        <is>
          <t>Y</t>
        </is>
      </c>
      <c r="O214" s="2" t="inlineStr">
        <is>
          <t>N</t>
        </is>
      </c>
      <c r="P214" s="2" t="n">
        <v>179</v>
      </c>
      <c r="Q214" s="2" t="inlineStr">
        <is>
          <t>2026-10-26</t>
        </is>
      </c>
      <c r="R214" s="3" t="inlineStr">
        <is>
          <t>https://www.nitori-net.tw/product/8987921</t>
        </is>
      </c>
      <c r="S214" s="2" t="inlineStr">
        <is>
          <t>官網</t>
        </is>
      </c>
      <c r="T214" s="2" t="inlineStr">
        <is>
          <t>high</t>
        </is>
      </c>
      <c r="U214" s="2" t="inlineStr">
        <is>
          <t>官網：可與同尺寸收納盒堆疊</t>
        </is>
      </c>
      <c r="V214" s="2" t="inlineStr"/>
    </row>
    <row r="215">
      <c r="A215" s="2" t="inlineStr">
        <is>
          <t>NITORI-099</t>
        </is>
      </c>
      <c r="B215" s="2" t="inlineStr">
        <is>
          <t>NITORI</t>
        </is>
      </c>
      <c r="C215" s="2" t="inlineStr">
        <is>
          <t>N BRANC</t>
        </is>
      </c>
      <c r="D215" s="2" t="inlineStr">
        <is>
          <t>櫥櫃收納盒CL N BRANC M</t>
        </is>
      </c>
      <c r="E215" s="2" t="inlineStr">
        <is>
          <t>8987922</t>
        </is>
      </c>
      <c r="F215" s="2" t="n">
        <v>22.5</v>
      </c>
      <c r="G215" s="2" t="n">
        <v>30</v>
      </c>
      <c r="H215" s="2" t="n">
        <v>22</v>
      </c>
      <c r="I215" s="2" t="n"/>
      <c r="J215" s="2" t="n"/>
      <c r="K215" s="2" t="n"/>
      <c r="L215" s="2" t="inlineStr">
        <is>
          <t>聚丙烯</t>
        </is>
      </c>
      <c r="M215" s="2" t="inlineStr">
        <is>
          <t>透明</t>
        </is>
      </c>
      <c r="N215" s="2" t="inlineStr">
        <is>
          <t>Y</t>
        </is>
      </c>
      <c r="O215" s="2" t="inlineStr">
        <is>
          <t>N</t>
        </is>
      </c>
      <c r="P215" s="2" t="n">
        <v>199</v>
      </c>
      <c r="Q215" s="2" t="inlineStr">
        <is>
          <t>2026-10-26</t>
        </is>
      </c>
      <c r="R215" s="3" t="inlineStr">
        <is>
          <t>https://www.nitori-net.tw/product/8987922</t>
        </is>
      </c>
      <c r="S215" s="2" t="inlineStr">
        <is>
          <t>官網</t>
        </is>
      </c>
      <c r="T215" s="2" t="inlineStr">
        <is>
          <t>medium</t>
        </is>
      </c>
      <c r="U215" s="2" t="inlineStr">
        <is>
          <t>官網：可與同尺寸收納盒堆疊；資料衝突：說明欄M尺寸寬22公分，規格欄22.5公分，此列依規格欄</t>
        </is>
      </c>
      <c r="V215" s="2" t="inlineStr"/>
    </row>
    <row r="216">
      <c r="A216" s="2" t="inlineStr">
        <is>
          <t>NITORI-100</t>
        </is>
      </c>
      <c r="B216" s="2" t="inlineStr">
        <is>
          <t>NITORI</t>
        </is>
      </c>
      <c r="C216" s="2" t="inlineStr">
        <is>
          <t>F（DECO HOME）</t>
        </is>
      </c>
      <c r="D216" s="2" t="inlineStr">
        <is>
          <t>【DECO HOME商品】櫥櫃收納盒 窄 F105</t>
        </is>
      </c>
      <c r="E216" s="2" t="inlineStr">
        <is>
          <t>5898407</t>
        </is>
      </c>
      <c r="F216" s="2" t="n">
        <v>18.5</v>
      </c>
      <c r="G216" s="2" t="n">
        <v>33.4</v>
      </c>
      <c r="H216" s="2" t="n">
        <v>22</v>
      </c>
      <c r="I216" s="2" t="n"/>
      <c r="J216" s="2" t="n"/>
      <c r="K216" s="2" t="n"/>
      <c r="L216" s="2" t="inlineStr">
        <is>
          <t>聚丙烯</t>
        </is>
      </c>
      <c r="M216" s="2" t="inlineStr">
        <is>
          <t>白色</t>
        </is>
      </c>
      <c r="N216" s="2" t="inlineStr"/>
      <c r="O216" s="2" t="inlineStr">
        <is>
          <t>N</t>
        </is>
      </c>
      <c r="P216" s="2" t="n">
        <v>179</v>
      </c>
      <c r="Q216" s="2" t="inlineStr">
        <is>
          <t>2026-10-26</t>
        </is>
      </c>
      <c r="R216" s="3" t="inlineStr">
        <is>
          <t>https://www.nitori-net.tw/product/5898407</t>
        </is>
      </c>
      <c r="S216" s="2" t="inlineStr">
        <is>
          <t>官網</t>
        </is>
      </c>
      <c r="T216" s="2" t="inlineStr">
        <is>
          <t>high</t>
        </is>
      </c>
      <c r="U216" s="2" t="inlineStr">
        <is>
          <t>DECO HOME商品</t>
        </is>
      </c>
      <c r="V216" s="2" t="inlineStr"/>
    </row>
    <row r="217">
      <c r="A217" s="2" t="inlineStr">
        <is>
          <t>NITORI-101</t>
        </is>
      </c>
      <c r="B217" s="2" t="inlineStr">
        <is>
          <t>NITORI</t>
        </is>
      </c>
      <c r="C217" s="2" t="inlineStr">
        <is>
          <t>F（DECO HOME）</t>
        </is>
      </c>
      <c r="D217" s="2" t="inlineStr">
        <is>
          <t>【DECO HOME商品】櫥櫃收納盒 寬 F001</t>
        </is>
      </c>
      <c r="E217" s="2" t="inlineStr">
        <is>
          <t>5898406</t>
        </is>
      </c>
      <c r="F217" s="2" t="n">
        <v>24</v>
      </c>
      <c r="G217" s="2" t="n">
        <v>33.4</v>
      </c>
      <c r="H217" s="2" t="n">
        <v>22</v>
      </c>
      <c r="I217" s="2" t="n"/>
      <c r="J217" s="2" t="n"/>
      <c r="K217" s="2" t="n"/>
      <c r="L217" s="2" t="inlineStr">
        <is>
          <t>聚丙烯</t>
        </is>
      </c>
      <c r="M217" s="2" t="inlineStr">
        <is>
          <t>白色</t>
        </is>
      </c>
      <c r="N217" s="2" t="inlineStr"/>
      <c r="O217" s="2" t="inlineStr">
        <is>
          <t>N</t>
        </is>
      </c>
      <c r="P217" s="2" t="n">
        <v>199</v>
      </c>
      <c r="Q217" s="2" t="inlineStr">
        <is>
          <t>2026-10-26</t>
        </is>
      </c>
      <c r="R217" s="3" t="inlineStr">
        <is>
          <t>https://www.nitori-net.tw/product/5898406</t>
        </is>
      </c>
      <c r="S217" s="2" t="inlineStr">
        <is>
          <t>官網</t>
        </is>
      </c>
      <c r="T217" s="2" t="inlineStr">
        <is>
          <t>high</t>
        </is>
      </c>
      <c r="U217" s="2" t="inlineStr">
        <is>
          <t>DECO HOME商品</t>
        </is>
      </c>
      <c r="V217" s="2" t="inlineStr"/>
    </row>
    <row r="218">
      <c r="A218" s="2" t="inlineStr">
        <is>
          <t>NITORI-102</t>
        </is>
      </c>
      <c r="B218" s="2" t="inlineStr">
        <is>
          <t>NITORI</t>
        </is>
      </c>
      <c r="C218" s="2" t="inlineStr">
        <is>
          <t>N BRANC</t>
        </is>
      </c>
      <c r="D218" s="2" t="inlineStr">
        <is>
          <t>整理托盤 S N BRANC</t>
        </is>
      </c>
      <c r="E218" s="2" t="inlineStr">
        <is>
          <t>8920341/8920361</t>
        </is>
      </c>
      <c r="F218" s="2" t="n">
        <v>8.5</v>
      </c>
      <c r="G218" s="2" t="n">
        <v>8.5</v>
      </c>
      <c r="H218" s="2" t="n">
        <v>4.5</v>
      </c>
      <c r="I218" s="2" t="n"/>
      <c r="J218" s="2" t="n"/>
      <c r="K218" s="2" t="n"/>
      <c r="L218" s="2" t="inlineStr">
        <is>
          <t>聚對苯二甲酸乙二酯(PET)塑膠</t>
        </is>
      </c>
      <c r="M218" s="2" t="inlineStr">
        <is>
          <t>白色/透明</t>
        </is>
      </c>
      <c r="N218" s="2" t="inlineStr"/>
      <c r="O218" s="2" t="inlineStr">
        <is>
          <t>N</t>
        </is>
      </c>
      <c r="P218" s="2" t="n">
        <v>39</v>
      </c>
      <c r="Q218" s="2" t="inlineStr">
        <is>
          <t>2026-10-26</t>
        </is>
      </c>
      <c r="R218" s="3" t="inlineStr">
        <is>
          <t>https://www.nitori-net.tw/product/8920341</t>
        </is>
      </c>
      <c r="S218" s="2" t="inlineStr">
        <is>
          <t>官網</t>
        </is>
      </c>
      <c r="T218" s="2" t="inlineStr">
        <is>
          <t>high</t>
        </is>
      </c>
      <c r="U218" s="2" t="inlineStr">
        <is>
          <t>官網：同系列不同尺寸可組合搭配；依官方尺寸，寬度為8.5公分倍數(S8.5/M17/L25.5/LL34)</t>
        </is>
      </c>
      <c r="V218" s="2" t="inlineStr"/>
    </row>
    <row r="219">
      <c r="A219" s="2" t="inlineStr">
        <is>
          <t>NITORI-103</t>
        </is>
      </c>
      <c r="B219" s="2" t="inlineStr">
        <is>
          <t>NITORI</t>
        </is>
      </c>
      <c r="C219" s="2" t="inlineStr">
        <is>
          <t>N BRANC</t>
        </is>
      </c>
      <c r="D219" s="2" t="inlineStr">
        <is>
          <t>整理托盤 M N BRANC</t>
        </is>
      </c>
      <c r="E219" s="2" t="inlineStr">
        <is>
          <t>8920342/8920362</t>
        </is>
      </c>
      <c r="F219" s="2" t="n">
        <v>17</v>
      </c>
      <c r="G219" s="2" t="n">
        <v>8.5</v>
      </c>
      <c r="H219" s="2" t="n">
        <v>4.5</v>
      </c>
      <c r="I219" s="2" t="n"/>
      <c r="J219" s="2" t="n"/>
      <c r="K219" s="2" t="n"/>
      <c r="L219" s="2" t="inlineStr">
        <is>
          <t>聚對苯二甲酸乙二酯(PET)塑膠</t>
        </is>
      </c>
      <c r="M219" s="2" t="inlineStr">
        <is>
          <t>白色/透明</t>
        </is>
      </c>
      <c r="N219" s="2" t="inlineStr"/>
      <c r="O219" s="2" t="inlineStr">
        <is>
          <t>N</t>
        </is>
      </c>
      <c r="P219" s="2" t="n">
        <v>49</v>
      </c>
      <c r="Q219" s="2" t="inlineStr">
        <is>
          <t>2026-10-26</t>
        </is>
      </c>
      <c r="R219" s="3" t="inlineStr">
        <is>
          <t>https://www.nitori-net.tw/product/8920342</t>
        </is>
      </c>
      <c r="S219" s="2" t="inlineStr">
        <is>
          <t>官網</t>
        </is>
      </c>
      <c r="T219" s="2" t="inlineStr">
        <is>
          <t>high</t>
        </is>
      </c>
      <c r="U219" s="2" t="inlineStr">
        <is>
          <t>官網：同系列不同尺寸可組合搭配；依官方尺寸，寬度為8.5公分倍數(S8.5/M17/L25.5/LL34)；價格：查詢日售價49（原價59）、透明 59元</t>
        </is>
      </c>
      <c r="V219" s="2" t="inlineStr"/>
    </row>
    <row r="220">
      <c r="A220" s="2" t="inlineStr">
        <is>
          <t>NITORI-104</t>
        </is>
      </c>
      <c r="B220" s="2" t="inlineStr">
        <is>
          <t>NITORI</t>
        </is>
      </c>
      <c r="C220" s="2" t="inlineStr">
        <is>
          <t>N BRANC</t>
        </is>
      </c>
      <c r="D220" s="2" t="inlineStr">
        <is>
          <t>整理托盤 L N BRANC</t>
        </is>
      </c>
      <c r="E220" s="2" t="inlineStr">
        <is>
          <t>8920343/8920363</t>
        </is>
      </c>
      <c r="F220" s="2" t="n">
        <v>25.5</v>
      </c>
      <c r="G220" s="2" t="n">
        <v>8.5</v>
      </c>
      <c r="H220" s="2" t="n">
        <v>4.5</v>
      </c>
      <c r="I220" s="2" t="n"/>
      <c r="J220" s="2" t="n"/>
      <c r="K220" s="2" t="n"/>
      <c r="L220" s="2" t="inlineStr">
        <is>
          <t>聚對苯二甲酸乙二酯(PET)塑膠</t>
        </is>
      </c>
      <c r="M220" s="2" t="inlineStr">
        <is>
          <t>白色/透明</t>
        </is>
      </c>
      <c r="N220" s="2" t="inlineStr"/>
      <c r="O220" s="2" t="inlineStr">
        <is>
          <t>N</t>
        </is>
      </c>
      <c r="P220" s="2" t="n">
        <v>71</v>
      </c>
      <c r="Q220" s="2" t="inlineStr">
        <is>
          <t>2026-10-26</t>
        </is>
      </c>
      <c r="R220" s="3" t="inlineStr">
        <is>
          <t>https://www.nitori-net.tw/product/8920343</t>
        </is>
      </c>
      <c r="S220" s="2" t="inlineStr">
        <is>
          <t>官網</t>
        </is>
      </c>
      <c r="T220" s="2" t="inlineStr">
        <is>
          <t>high</t>
        </is>
      </c>
      <c r="U220" s="2" t="inlineStr">
        <is>
          <t>官網：同系列不同尺寸可組合搭配；依官方尺寸，寬度為8.5公分倍數(S8.5/M17/L25.5/LL34)；價格：查詢日售價71（原價79）</t>
        </is>
      </c>
      <c r="V220" s="2" t="inlineStr"/>
    </row>
    <row r="221">
      <c r="A221" s="2" t="inlineStr">
        <is>
          <t>NITORI-105</t>
        </is>
      </c>
      <c r="B221" s="2" t="inlineStr">
        <is>
          <t>NITORI</t>
        </is>
      </c>
      <c r="C221" s="2" t="inlineStr">
        <is>
          <t>N BRANC</t>
        </is>
      </c>
      <c r="D221" s="2" t="inlineStr">
        <is>
          <t>整理托盤 LL N BRANC</t>
        </is>
      </c>
      <c r="E221" s="2" t="inlineStr">
        <is>
          <t>8920443</t>
        </is>
      </c>
      <c r="F221" s="2" t="n">
        <v>34</v>
      </c>
      <c r="G221" s="2" t="n">
        <v>8.5</v>
      </c>
      <c r="H221" s="2" t="n">
        <v>4.5</v>
      </c>
      <c r="I221" s="2" t="n"/>
      <c r="J221" s="2" t="n"/>
      <c r="K221" s="2" t="n"/>
      <c r="L221" s="2" t="inlineStr">
        <is>
          <t>PET塑膠</t>
        </is>
      </c>
      <c r="M221" s="2" t="inlineStr">
        <is>
          <t>純白色</t>
        </is>
      </c>
      <c r="N221" s="2" t="inlineStr"/>
      <c r="O221" s="2" t="inlineStr">
        <is>
          <t>N</t>
        </is>
      </c>
      <c r="P221" s="2" t="n">
        <v>99</v>
      </c>
      <c r="Q221" s="2" t="inlineStr">
        <is>
          <t>2026-10-26</t>
        </is>
      </c>
      <c r="R221" s="3" t="inlineStr">
        <is>
          <t>https://www.nitori-net.tw/product/8920443</t>
        </is>
      </c>
      <c r="S221" s="2" t="inlineStr">
        <is>
          <t>官網</t>
        </is>
      </c>
      <c r="T221" s="2" t="inlineStr">
        <is>
          <t>high</t>
        </is>
      </c>
      <c r="U221" s="2" t="inlineStr">
        <is>
          <t>官網：同系列不同尺寸可組合搭配；依官方尺寸，寬度為8.5公分倍數(S8.5/M17/L25.5/LL34)</t>
        </is>
      </c>
      <c r="V221" s="2" t="inlineStr"/>
    </row>
    <row r="222">
      <c r="A222" s="2" t="inlineStr">
        <is>
          <t>NITORI-106</t>
        </is>
      </c>
      <c r="B222" s="2" t="inlineStr">
        <is>
          <t>NITORI</t>
        </is>
      </c>
      <c r="C222" s="2" t="inlineStr">
        <is>
          <t>N BRANC</t>
        </is>
      </c>
      <c r="D222" s="2" t="inlineStr">
        <is>
          <t>方形置物盒 S N BRANC</t>
        </is>
      </c>
      <c r="E222" s="2" t="inlineStr">
        <is>
          <t>8920371</t>
        </is>
      </c>
      <c r="F222" s="2" t="n">
        <v>8.5</v>
      </c>
      <c r="G222" s="2" t="n">
        <v>8.5</v>
      </c>
      <c r="H222" s="2" t="n">
        <v>9</v>
      </c>
      <c r="I222" s="2" t="n"/>
      <c r="J222" s="2" t="n"/>
      <c r="K222" s="2" t="n"/>
      <c r="L222" s="2" t="inlineStr">
        <is>
          <t>聚對苯二甲酸乙二酯(PET)塑膠</t>
        </is>
      </c>
      <c r="M222" s="2" t="inlineStr">
        <is>
          <t>白色</t>
        </is>
      </c>
      <c r="N222" s="2" t="inlineStr"/>
      <c r="O222" s="2" t="inlineStr">
        <is>
          <t>N</t>
        </is>
      </c>
      <c r="P222" s="2" t="n">
        <v>79</v>
      </c>
      <c r="Q222" s="2" t="inlineStr">
        <is>
          <t>2026-10-26</t>
        </is>
      </c>
      <c r="R222" s="3" t="inlineStr">
        <is>
          <t>https://www.nitori-net.tw/product/8920371</t>
        </is>
      </c>
      <c r="S222" s="2" t="inlineStr">
        <is>
          <t>官網</t>
        </is>
      </c>
      <c r="T222" s="2" t="inlineStr">
        <is>
          <t>high</t>
        </is>
      </c>
      <c r="U222" s="2" t="inlineStr">
        <is>
          <t>底面8.5×8.5與整理托盤S相同</t>
        </is>
      </c>
      <c r="V222" s="2" t="inlineStr"/>
    </row>
    <row r="223">
      <c r="A223" s="2" t="inlineStr">
        <is>
          <t>NITORI-107</t>
        </is>
      </c>
      <c r="B223" s="2" t="inlineStr">
        <is>
          <t>NITORI</t>
        </is>
      </c>
      <c r="C223" s="2" t="inlineStr">
        <is>
          <t>N BRANC</t>
        </is>
      </c>
      <c r="D223" s="2" t="inlineStr">
        <is>
          <t>餐具整理盒 N BRANC</t>
        </is>
      </c>
      <c r="E223" s="2" t="inlineStr">
        <is>
          <t>8920348</t>
        </is>
      </c>
      <c r="F223" s="2" t="n">
        <v>34</v>
      </c>
      <c r="G223" s="2" t="n">
        <v>25.5</v>
      </c>
      <c r="H223" s="2" t="n">
        <v>4.5</v>
      </c>
      <c r="I223" s="2" t="n"/>
      <c r="J223" s="2" t="n"/>
      <c r="K223" s="2" t="n"/>
      <c r="L223" s="2" t="inlineStr">
        <is>
          <t>聚對苯二甲酸乙二酯(PET)塑膠</t>
        </is>
      </c>
      <c r="M223" s="2" t="inlineStr">
        <is>
          <t>白色</t>
        </is>
      </c>
      <c r="N223" s="2" t="inlineStr"/>
      <c r="O223" s="2" t="inlineStr">
        <is>
          <t>N</t>
        </is>
      </c>
      <c r="P223" s="2" t="n">
        <v>199</v>
      </c>
      <c r="Q223" s="2" t="inlineStr">
        <is>
          <t>2026-10-26</t>
        </is>
      </c>
      <c r="R223" s="3" t="inlineStr">
        <is>
          <t>https://www.nitori-net.tw/product/8920348</t>
        </is>
      </c>
      <c r="S223" s="2" t="inlineStr">
        <is>
          <t>官網</t>
        </is>
      </c>
      <c r="T223" s="2" t="inlineStr">
        <is>
          <t>high</t>
        </is>
      </c>
      <c r="U223" s="2" t="inlineStr">
        <is>
          <t>抽屜用餐具分格盒</t>
        </is>
      </c>
      <c r="V223" s="2" t="inlineStr"/>
    </row>
    <row r="224">
      <c r="A224" s="2" t="inlineStr">
        <is>
          <t>NITORI-108</t>
        </is>
      </c>
      <c r="B224" s="2" t="inlineStr">
        <is>
          <t>NITORI</t>
        </is>
      </c>
      <c r="C224" s="2" t="inlineStr">
        <is>
          <t>NT（DECO HOME）</t>
        </is>
      </c>
      <c r="D224" s="2" t="inlineStr">
        <is>
          <t>【DECO HOME商品】二層桌上收納盒 NT347(DH)</t>
        </is>
      </c>
      <c r="E224" s="2" t="inlineStr">
        <is>
          <t>5870132</t>
        </is>
      </c>
      <c r="F224" s="2" t="n">
        <v>18</v>
      </c>
      <c r="G224" s="2" t="n">
        <v>24</v>
      </c>
      <c r="H224" s="2" t="n">
        <v>15</v>
      </c>
      <c r="I224" s="2" t="n"/>
      <c r="J224" s="2" t="n"/>
      <c r="K224" s="2" t="n"/>
      <c r="L224" s="2" t="inlineStr">
        <is>
          <t>PVC、聚酯纖維、紙</t>
        </is>
      </c>
      <c r="M224" s="2" t="inlineStr">
        <is>
          <t>摩卡色</t>
        </is>
      </c>
      <c r="N224" s="2" t="inlineStr"/>
      <c r="O224" s="2" t="inlineStr">
        <is>
          <t>N</t>
        </is>
      </c>
      <c r="P224" s="2" t="n">
        <v>299</v>
      </c>
      <c r="Q224" s="2" t="inlineStr">
        <is>
          <t>2026-10-26</t>
        </is>
      </c>
      <c r="R224" s="3" t="inlineStr">
        <is>
          <t>https://www.nitori-net.tw/product/5870132</t>
        </is>
      </c>
      <c r="S224" s="2" t="inlineStr">
        <is>
          <t>官網</t>
        </is>
      </c>
      <c r="T224" s="2" t="inlineStr">
        <is>
          <t>high</t>
        </is>
      </c>
      <c r="U224" s="2" t="inlineStr">
        <is>
          <t>桌上小物盒；DECO HOME商品</t>
        </is>
      </c>
      <c r="V224" s="2" t="inlineStr"/>
    </row>
    <row r="225">
      <c r="A225" s="2" t="inlineStr">
        <is>
          <t>NITORI-109</t>
        </is>
      </c>
      <c r="B225" s="2" t="inlineStr">
        <is>
          <t>NITORI</t>
        </is>
      </c>
      <c r="C225" s="2" t="inlineStr">
        <is>
          <t>NT（DECO HOME）</t>
        </is>
      </c>
      <c r="D225" s="2" t="inlineStr">
        <is>
          <t>【DECO HOME商品】二層抽屜收納盒 NT346(DH)</t>
        </is>
      </c>
      <c r="E225" s="2" t="inlineStr">
        <is>
          <t>5870134</t>
        </is>
      </c>
      <c r="F225" s="2" t="n">
        <v>35.3</v>
      </c>
      <c r="G225" s="2" t="n">
        <v>24</v>
      </c>
      <c r="H225" s="2" t="n">
        <v>15</v>
      </c>
      <c r="I225" s="2" t="n"/>
      <c r="J225" s="2" t="n"/>
      <c r="K225" s="2" t="n"/>
      <c r="L225" s="2" t="inlineStr">
        <is>
          <t>PVC、聚酯纖維、紙</t>
        </is>
      </c>
      <c r="M225" s="2" t="inlineStr">
        <is>
          <t>摩卡色</t>
        </is>
      </c>
      <c r="N225" s="2" t="inlineStr"/>
      <c r="O225" s="2" t="inlineStr">
        <is>
          <t>N</t>
        </is>
      </c>
      <c r="P225" s="2" t="n">
        <v>399</v>
      </c>
      <c r="Q225" s="2" t="inlineStr">
        <is>
          <t>2026-10-26</t>
        </is>
      </c>
      <c r="R225" s="3" t="inlineStr">
        <is>
          <t>https://www.nitori-net.tw/product/5870134</t>
        </is>
      </c>
      <c r="S225" s="2" t="inlineStr">
        <is>
          <t>官網</t>
        </is>
      </c>
      <c r="T225" s="2" t="inlineStr">
        <is>
          <t>high</t>
        </is>
      </c>
      <c r="U225" s="2" t="inlineStr">
        <is>
          <t>桌上抽屜盒；DECO HOME商品</t>
        </is>
      </c>
      <c r="V225" s="2" t="inlineStr"/>
    </row>
    <row r="226">
      <c r="A226" s="2" t="inlineStr">
        <is>
          <t>NITORI-110</t>
        </is>
      </c>
      <c r="B226" s="2" t="inlineStr">
        <is>
          <t>NITORI</t>
        </is>
      </c>
      <c r="C226" s="2" t="inlineStr">
        <is>
          <t>NT（DECO HOME）</t>
        </is>
      </c>
      <c r="D226" s="2" t="inlineStr">
        <is>
          <t>【DECO HOME商品】多格收納盒 NT344(DH)</t>
        </is>
      </c>
      <c r="E226" s="2" t="inlineStr">
        <is>
          <t>5870136</t>
        </is>
      </c>
      <c r="F226" s="2" t="n">
        <v>15</v>
      </c>
      <c r="G226" s="2" t="n">
        <v>14.4</v>
      </c>
      <c r="H226" s="2" t="n">
        <v>13.2</v>
      </c>
      <c r="I226" s="2" t="n"/>
      <c r="J226" s="2" t="n"/>
      <c r="K226" s="2" t="n"/>
      <c r="L226" s="2" t="inlineStr">
        <is>
          <t>PVC、紙</t>
        </is>
      </c>
      <c r="M226" s="2" t="inlineStr">
        <is>
          <t>摩卡色</t>
        </is>
      </c>
      <c r="N226" s="2" t="inlineStr"/>
      <c r="O226" s="2" t="inlineStr">
        <is>
          <t>N</t>
        </is>
      </c>
      <c r="P226" s="2" t="n">
        <v>149</v>
      </c>
      <c r="Q226" s="2" t="inlineStr">
        <is>
          <t>2026-10-26</t>
        </is>
      </c>
      <c r="R226" s="3" t="inlineStr">
        <is>
          <t>https://www.nitori-net.tw/product/5870136</t>
        </is>
      </c>
      <c r="S226" s="2" t="inlineStr">
        <is>
          <t>官網</t>
        </is>
      </c>
      <c r="T226" s="2" t="inlineStr">
        <is>
          <t>high</t>
        </is>
      </c>
      <c r="U226" s="2" t="inlineStr">
        <is>
          <t>桌上小物盒；DECO HOME商品</t>
        </is>
      </c>
      <c r="V226" s="2" t="inlineStr"/>
    </row>
    <row r="227">
      <c r="A227" s="2" t="inlineStr">
        <is>
          <t>NITORI-111</t>
        </is>
      </c>
      <c r="B227" s="2" t="inlineStr">
        <is>
          <t>NITORI</t>
        </is>
      </c>
      <c r="C227" s="2" t="inlineStr">
        <is>
          <t>DECO HOME</t>
        </is>
      </c>
      <c r="D227" s="2" t="inlineStr">
        <is>
          <t>【DECO HOME商品】3層收納盒 全白</t>
        </is>
      </c>
      <c r="E227" s="2" t="inlineStr">
        <is>
          <t>8732195</t>
        </is>
      </c>
      <c r="F227" s="2" t="n">
        <v>25</v>
      </c>
      <c r="G227" s="2" t="n">
        <v>35</v>
      </c>
      <c r="H227" s="2" t="n">
        <v>28</v>
      </c>
      <c r="I227" s="2" t="n"/>
      <c r="J227" s="2" t="n"/>
      <c r="K227" s="2" t="n"/>
      <c r="L227" s="2" t="inlineStr">
        <is>
          <t>PP</t>
        </is>
      </c>
      <c r="M227" s="2" t="inlineStr">
        <is>
          <t>白色</t>
        </is>
      </c>
      <c r="N227" s="2" t="inlineStr">
        <is>
          <t>Y</t>
        </is>
      </c>
      <c r="O227" s="2" t="inlineStr">
        <is>
          <t>N</t>
        </is>
      </c>
      <c r="P227" s="2" t="n">
        <v>199</v>
      </c>
      <c r="Q227" s="2" t="inlineStr">
        <is>
          <t>2026-10-26</t>
        </is>
      </c>
      <c r="R227" s="3" t="inlineStr">
        <is>
          <t>https://www.nitori-net.tw/product/8732195</t>
        </is>
      </c>
      <c r="S227" s="2" t="inlineStr">
        <is>
          <t>官網</t>
        </is>
      </c>
      <c r="T227" s="2" t="inlineStr">
        <is>
          <t>high</t>
        </is>
      </c>
      <c r="U227" s="2" t="inlineStr">
        <is>
          <t>官網：可堆疊至3層</t>
        </is>
      </c>
      <c r="V227" s="2" t="inlineStr"/>
    </row>
    <row r="228">
      <c r="A228" s="2" t="inlineStr">
        <is>
          <t>NITORI-112</t>
        </is>
      </c>
      <c r="B228" s="2" t="inlineStr">
        <is>
          <t>NITORI</t>
        </is>
      </c>
      <c r="C228" s="2" t="inlineStr">
        <is>
          <t>NN01</t>
        </is>
      </c>
      <c r="D228" s="2" t="inlineStr">
        <is>
          <t>(網購限定)小物收納盒 三層 NN01(EC)</t>
        </is>
      </c>
      <c r="E228" s="2" t="inlineStr">
        <is>
          <t>2113200003318/2113200003431</t>
        </is>
      </c>
      <c r="F228" s="2" t="n">
        <v>8.800000000000001</v>
      </c>
      <c r="G228" s="2" t="n">
        <v>18</v>
      </c>
      <c r="H228" s="2" t="n">
        <v>26.3</v>
      </c>
      <c r="I228" s="2" t="n"/>
      <c r="J228" s="2" t="n"/>
      <c r="K228" s="2" t="n"/>
      <c r="L228" s="2" t="inlineStr">
        <is>
          <t>紙</t>
        </is>
      </c>
      <c r="M228" s="2" t="inlineStr">
        <is>
          <t>石灰白/中褐色</t>
        </is>
      </c>
      <c r="N228" s="2" t="inlineStr"/>
      <c r="O228" s="2" t="inlineStr">
        <is>
          <t>N</t>
        </is>
      </c>
      <c r="P228" s="2" t="n">
        <v>349</v>
      </c>
      <c r="Q228" s="2" t="inlineStr">
        <is>
          <t>2026-10-26</t>
        </is>
      </c>
      <c r="R228" s="3" t="inlineStr">
        <is>
          <t>https://www.nitori-net.tw/product/2113200003318</t>
        </is>
      </c>
      <c r="S228" s="2" t="inlineStr">
        <is>
          <t>官網</t>
        </is>
      </c>
      <c r="T228" s="2" t="inlineStr">
        <is>
          <t>high</t>
        </is>
      </c>
      <c r="U228" s="2" t="inlineStr">
        <is>
          <t>網購限定；桌上小物盒；價格：中褐色 319元</t>
        </is>
      </c>
      <c r="V228" s="2" t="inlineStr"/>
    </row>
    <row r="229">
      <c r="A229" s="2" t="inlineStr">
        <is>
          <t>NITORI-113</t>
        </is>
      </c>
      <c r="B229" s="2" t="inlineStr">
        <is>
          <t>NITORI</t>
        </is>
      </c>
      <c r="C229" s="2" t="inlineStr">
        <is>
          <t>NN01</t>
        </is>
      </c>
      <c r="D229" s="2" t="inlineStr">
        <is>
          <t>(網購限定)抽屜收納盒一層 2D NN01(EC)</t>
        </is>
      </c>
      <c r="E229" s="2" t="inlineStr">
        <is>
          <t>2113200003370/2113200003493</t>
        </is>
      </c>
      <c r="F229" s="2" t="n">
        <v>38</v>
      </c>
      <c r="G229" s="2" t="n">
        <v>26</v>
      </c>
      <c r="H229" s="2" t="n">
        <v>15</v>
      </c>
      <c r="I229" s="2" t="n"/>
      <c r="J229" s="2" t="n"/>
      <c r="K229" s="2" t="n"/>
      <c r="L229" s="2" t="inlineStr">
        <is>
          <t>紙</t>
        </is>
      </c>
      <c r="M229" s="2" t="inlineStr">
        <is>
          <t>石灰白/中褐色</t>
        </is>
      </c>
      <c r="N229" s="2" t="inlineStr"/>
      <c r="O229" s="2" t="inlineStr">
        <is>
          <t>N</t>
        </is>
      </c>
      <c r="P229" s="2" t="n">
        <v>499</v>
      </c>
      <c r="Q229" s="2" t="inlineStr">
        <is>
          <t>2026-10-26</t>
        </is>
      </c>
      <c r="R229" s="3" t="inlineStr">
        <is>
          <t>https://www.nitori-net.tw/product/2113200003370</t>
        </is>
      </c>
      <c r="S229" s="2" t="inlineStr">
        <is>
          <t>官網</t>
        </is>
      </c>
      <c r="T229" s="2" t="inlineStr">
        <is>
          <t>high</t>
        </is>
      </c>
      <c r="U229" s="2" t="inlineStr">
        <is>
          <t>網購限定</t>
        </is>
      </c>
      <c r="V229" s="2" t="inlineStr"/>
    </row>
    <row r="230">
      <c r="A230" s="2" t="inlineStr">
        <is>
          <t>NITORI-114</t>
        </is>
      </c>
      <c r="B230" s="2" t="inlineStr">
        <is>
          <t>NITORI</t>
        </is>
      </c>
      <c r="C230" s="2" t="inlineStr">
        <is>
          <t>NN01</t>
        </is>
      </c>
      <c r="D230" s="2" t="inlineStr">
        <is>
          <t>(網購限定)A5二層文件盒 NN01(EC)</t>
        </is>
      </c>
      <c r="E230" s="2" t="inlineStr">
        <is>
          <t>2113200003356</t>
        </is>
      </c>
      <c r="F230" s="2" t="n">
        <v>19</v>
      </c>
      <c r="G230" s="2" t="n">
        <v>26</v>
      </c>
      <c r="H230" s="2" t="n">
        <v>15</v>
      </c>
      <c r="I230" s="2" t="n"/>
      <c r="J230" s="2" t="n"/>
      <c r="K230" s="2" t="n"/>
      <c r="L230" s="2" t="inlineStr">
        <is>
          <t>紙</t>
        </is>
      </c>
      <c r="M230" s="2" t="inlineStr">
        <is>
          <t>石灰白</t>
        </is>
      </c>
      <c r="N230" s="2" t="inlineStr"/>
      <c r="O230" s="2" t="inlineStr">
        <is>
          <t>N</t>
        </is>
      </c>
      <c r="P230" s="2" t="n">
        <v>349</v>
      </c>
      <c r="Q230" s="2" t="inlineStr">
        <is>
          <t>2026-10-26</t>
        </is>
      </c>
      <c r="R230" s="3" t="inlineStr">
        <is>
          <t>https://www.nitori-net.tw/product/2113200003356</t>
        </is>
      </c>
      <c r="S230" s="2" t="inlineStr">
        <is>
          <t>官網</t>
        </is>
      </c>
      <c r="T230" s="2" t="inlineStr">
        <is>
          <t>high</t>
        </is>
      </c>
      <c r="U230" s="2" t="inlineStr">
        <is>
          <t>網購限定</t>
        </is>
      </c>
      <c r="V230" s="2" t="inlineStr"/>
    </row>
    <row r="231">
      <c r="A231" s="2" t="inlineStr">
        <is>
          <t>NITORI-115</t>
        </is>
      </c>
      <c r="B231" s="2" t="inlineStr">
        <is>
          <t>NITORI</t>
        </is>
      </c>
      <c r="C231" s="2" t="inlineStr">
        <is>
          <t>NN01</t>
        </is>
      </c>
      <c r="D231" s="2" t="inlineStr">
        <is>
          <t>(網購限定)A4二層文件盒 NN01(EC)</t>
        </is>
      </c>
      <c r="E231" s="2" t="inlineStr">
        <is>
          <t>2113200003349</t>
        </is>
      </c>
      <c r="F231" s="2" t="n">
        <v>38</v>
      </c>
      <c r="G231" s="2" t="n">
        <v>26</v>
      </c>
      <c r="H231" s="2" t="n">
        <v>15</v>
      </c>
      <c r="I231" s="2" t="n"/>
      <c r="J231" s="2" t="n"/>
      <c r="K231" s="2" t="n"/>
      <c r="L231" s="2" t="inlineStr">
        <is>
          <t>紙</t>
        </is>
      </c>
      <c r="M231" s="2" t="inlineStr">
        <is>
          <t>石灰白</t>
        </is>
      </c>
      <c r="N231" s="2" t="inlineStr"/>
      <c r="O231" s="2" t="inlineStr">
        <is>
          <t>N</t>
        </is>
      </c>
      <c r="P231" s="2" t="n">
        <v>449</v>
      </c>
      <c r="Q231" s="2" t="inlineStr">
        <is>
          <t>2026-10-26</t>
        </is>
      </c>
      <c r="R231" s="3" t="inlineStr">
        <is>
          <t>https://www.nitori-net.tw/product/2113200003349</t>
        </is>
      </c>
      <c r="S231" s="2" t="inlineStr">
        <is>
          <t>官網</t>
        </is>
      </c>
      <c r="T231" s="2" t="inlineStr">
        <is>
          <t>high</t>
        </is>
      </c>
      <c r="U231" s="2" t="inlineStr">
        <is>
          <t>網購限定；二層/三層官網標示同外寸；價格：查詢日售價449（原價499）</t>
        </is>
      </c>
      <c r="V231" s="2" t="inlineStr"/>
    </row>
    <row r="232">
      <c r="A232" s="2" t="inlineStr">
        <is>
          <t>NITORI-116</t>
        </is>
      </c>
      <c r="B232" s="2" t="inlineStr">
        <is>
          <t>NITORI</t>
        </is>
      </c>
      <c r="C232" s="2" t="inlineStr">
        <is>
          <t>NN01</t>
        </is>
      </c>
      <c r="D232" s="2" t="inlineStr">
        <is>
          <t>(網購限定)A4三層文件盒 NN01(EC)</t>
        </is>
      </c>
      <c r="E232" s="2" t="inlineStr">
        <is>
          <t>2113200003363/2113200003486</t>
        </is>
      </c>
      <c r="F232" s="2" t="n">
        <v>38</v>
      </c>
      <c r="G232" s="2" t="n">
        <v>26</v>
      </c>
      <c r="H232" s="2" t="n">
        <v>15</v>
      </c>
      <c r="I232" s="2" t="n"/>
      <c r="J232" s="2" t="n"/>
      <c r="K232" s="2" t="n"/>
      <c r="L232" s="2" t="inlineStr">
        <is>
          <t>紙</t>
        </is>
      </c>
      <c r="M232" s="2" t="inlineStr">
        <is>
          <t>石灰白/中褐色</t>
        </is>
      </c>
      <c r="N232" s="2" t="inlineStr"/>
      <c r="O232" s="2" t="inlineStr">
        <is>
          <t>N</t>
        </is>
      </c>
      <c r="P232" s="2" t="n">
        <v>499</v>
      </c>
      <c r="Q232" s="2" t="inlineStr">
        <is>
          <t>2026-10-26</t>
        </is>
      </c>
      <c r="R232" s="3" t="inlineStr">
        <is>
          <t>https://www.nitori-net.tw/product/2113200003363</t>
        </is>
      </c>
      <c r="S232" s="2" t="inlineStr">
        <is>
          <t>官網</t>
        </is>
      </c>
      <c r="T232" s="2" t="inlineStr">
        <is>
          <t>high</t>
        </is>
      </c>
      <c r="U232" s="2" t="inlineStr">
        <is>
          <t>網購限定；二層/三層官網標示同外寸</t>
        </is>
      </c>
      <c r="V232" s="2" t="inlineStr"/>
    </row>
    <row r="233">
      <c r="A233" s="2" t="inlineStr">
        <is>
          <t>NITORI-117</t>
        </is>
      </c>
      <c r="B233" s="2" t="inlineStr">
        <is>
          <t>NITORI</t>
        </is>
      </c>
      <c r="C233" s="2" t="inlineStr">
        <is>
          <t>LUCENT（DECO HOME）</t>
        </is>
      </c>
      <c r="D233" s="2" t="inlineStr">
        <is>
          <t>【DECO HOME商品】二層小物收納盒 化妝架LUCENT 5716</t>
        </is>
      </c>
      <c r="E233" s="2" t="inlineStr">
        <is>
          <t>8130589</t>
        </is>
      </c>
      <c r="F233" s="2" t="n">
        <v>21.5</v>
      </c>
      <c r="G233" s="2" t="n">
        <v>14.5</v>
      </c>
      <c r="H233" s="2" t="n">
        <v>9.5</v>
      </c>
      <c r="I233" s="2" t="n"/>
      <c r="J233" s="2" t="n"/>
      <c r="K233" s="2" t="n"/>
      <c r="L233" s="2" t="inlineStr">
        <is>
          <t>聚甲基丙烯酸甲酯樹脂（壓克力）</t>
        </is>
      </c>
      <c r="M233" s="2" t="inlineStr">
        <is>
          <t>透明</t>
        </is>
      </c>
      <c r="N233" s="2" t="inlineStr">
        <is>
          <t>Y</t>
        </is>
      </c>
      <c r="O233" s="2" t="inlineStr">
        <is>
          <t>N</t>
        </is>
      </c>
      <c r="P233" s="2" t="n">
        <v>499</v>
      </c>
      <c r="Q233" s="2" t="inlineStr">
        <is>
          <t>2026-10-26</t>
        </is>
      </c>
      <c r="R233" s="3" t="inlineStr">
        <is>
          <t>https://www.nitori-net.tw/product/8130589</t>
        </is>
      </c>
      <c r="S233" s="2" t="inlineStr">
        <is>
          <t>官網</t>
        </is>
      </c>
      <c r="T233" s="2" t="inlineStr">
        <is>
          <t>high</t>
        </is>
      </c>
      <c r="U233" s="2" t="inlineStr">
        <is>
          <t>官網：可與同系列化妝品小物收納架堆疊</t>
        </is>
      </c>
      <c r="V233" s="2" t="inlineStr"/>
    </row>
    <row r="234">
      <c r="A234" s="2" t="inlineStr">
        <is>
          <t>NITORI-118</t>
        </is>
      </c>
      <c r="B234" s="2" t="inlineStr">
        <is>
          <t>NITORI</t>
        </is>
      </c>
      <c r="C234" s="2" t="inlineStr">
        <is>
          <t>LUCENT（DECO HOME）</t>
        </is>
      </c>
      <c r="D234" s="2" t="inlineStr">
        <is>
          <t>【DECO HOME商品】三層小物收納盒 化妝架LUCENT 5715</t>
        </is>
      </c>
      <c r="E234" s="2" t="inlineStr">
        <is>
          <t>8130608</t>
        </is>
      </c>
      <c r="F234" s="2" t="n">
        <v>10.5</v>
      </c>
      <c r="G234" s="2" t="n">
        <v>14.5</v>
      </c>
      <c r="H234" s="2" t="n">
        <v>13.5</v>
      </c>
      <c r="I234" s="2" t="n"/>
      <c r="J234" s="2" t="n"/>
      <c r="K234" s="2" t="n"/>
      <c r="L234" s="2" t="inlineStr">
        <is>
          <t>聚甲基丙烯酸甲酯樹脂（壓克力）</t>
        </is>
      </c>
      <c r="M234" s="2" t="inlineStr">
        <is>
          <t>透明</t>
        </is>
      </c>
      <c r="N234" s="2" t="inlineStr"/>
      <c r="O234" s="2" t="inlineStr">
        <is>
          <t>N</t>
        </is>
      </c>
      <c r="P234" s="2" t="n">
        <v>399</v>
      </c>
      <c r="Q234" s="2" t="inlineStr">
        <is>
          <t>2026-10-26</t>
        </is>
      </c>
      <c r="R234" s="3" t="inlineStr">
        <is>
          <t>https://www.nitori-net.tw/product/8130608</t>
        </is>
      </c>
      <c r="S234" s="2" t="inlineStr">
        <is>
          <t>官網</t>
        </is>
      </c>
      <c r="T234" s="2" t="inlineStr">
        <is>
          <t>high</t>
        </is>
      </c>
      <c r="U234" s="2" t="inlineStr">
        <is>
          <t>DECO HOME商品</t>
        </is>
      </c>
      <c r="V234" s="2" t="inlineStr"/>
    </row>
    <row r="235">
      <c r="A235" s="2" t="inlineStr">
        <is>
          <t>NITORI-119</t>
        </is>
      </c>
      <c r="B235" s="2" t="inlineStr">
        <is>
          <t>NITORI</t>
        </is>
      </c>
      <c r="C235" s="2" t="inlineStr">
        <is>
          <t>檔案整理架</t>
        </is>
      </c>
      <c r="D235" s="2" t="inlineStr">
        <is>
          <t>A4 檔案整理架2</t>
        </is>
      </c>
      <c r="E235" s="2" t="inlineStr">
        <is>
          <t>2113200012389/2113200012426</t>
        </is>
      </c>
      <c r="F235" s="2" t="n">
        <v>9.699999999999999</v>
      </c>
      <c r="G235" s="2" t="n">
        <v>32</v>
      </c>
      <c r="H235" s="2" t="n">
        <v>24</v>
      </c>
      <c r="I235" s="2" t="n"/>
      <c r="J235" s="2" t="n"/>
      <c r="K235" s="2" t="n"/>
      <c r="L235" s="2" t="inlineStr">
        <is>
          <t>聚丙烯</t>
        </is>
      </c>
      <c r="M235" s="2" t="inlineStr">
        <is>
          <t>透明/黑色</t>
        </is>
      </c>
      <c r="N235" s="2" t="inlineStr"/>
      <c r="O235" s="2" t="inlineStr">
        <is>
          <t>N</t>
        </is>
      </c>
      <c r="P235" s="2" t="n">
        <v>129</v>
      </c>
      <c r="Q235" s="2" t="inlineStr">
        <is>
          <t>2026-10-26</t>
        </is>
      </c>
      <c r="R235" s="3" t="inlineStr">
        <is>
          <t>https://www.nitori-net.tw/product/2113200012389</t>
        </is>
      </c>
      <c r="S235" s="2" t="inlineStr">
        <is>
          <t>官網</t>
        </is>
      </c>
      <c r="T235" s="2" t="inlineStr">
        <is>
          <t>high</t>
        </is>
      </c>
      <c r="U235" s="2" t="inlineStr">
        <is>
          <t>文件匣（立式檔案盒）；官網：可收納A4檔案尺寸；產地日本</t>
        </is>
      </c>
      <c r="V235" s="2" t="inlineStr"/>
    </row>
    <row r="236">
      <c r="A236" s="2" t="inlineStr">
        <is>
          <t>NITORI-120</t>
        </is>
      </c>
      <c r="B236" s="2" t="inlineStr">
        <is>
          <t>NITORI</t>
        </is>
      </c>
      <c r="C236" s="2" t="inlineStr">
        <is>
          <t>檔案整理架</t>
        </is>
      </c>
      <c r="D236" s="2" t="inlineStr">
        <is>
          <t>A4 檔案整理架加寬2</t>
        </is>
      </c>
      <c r="E236" s="2" t="inlineStr">
        <is>
          <t>2113200012402/2113200012440</t>
        </is>
      </c>
      <c r="F236" s="2" t="n">
        <v>14.5</v>
      </c>
      <c r="G236" s="2" t="n">
        <v>32</v>
      </c>
      <c r="H236" s="2" t="n">
        <v>24</v>
      </c>
      <c r="I236" s="2" t="n"/>
      <c r="J236" s="2" t="n"/>
      <c r="K236" s="2" t="n"/>
      <c r="L236" s="2" t="inlineStr">
        <is>
          <t>聚丙烯</t>
        </is>
      </c>
      <c r="M236" s="2" t="inlineStr">
        <is>
          <t>透明/黑色</t>
        </is>
      </c>
      <c r="N236" s="2" t="inlineStr"/>
      <c r="O236" s="2" t="inlineStr">
        <is>
          <t>N</t>
        </is>
      </c>
      <c r="P236" s="2" t="n">
        <v>199</v>
      </c>
      <c r="Q236" s="2" t="inlineStr">
        <is>
          <t>2026-10-26</t>
        </is>
      </c>
      <c r="R236" s="3" t="inlineStr">
        <is>
          <t>https://www.nitori-net.tw/product/2113200012402</t>
        </is>
      </c>
      <c r="S236" s="2" t="inlineStr">
        <is>
          <t>官網</t>
        </is>
      </c>
      <c r="T236" s="2" t="inlineStr">
        <is>
          <t>high</t>
        </is>
      </c>
      <c r="U236" s="2" t="inlineStr">
        <is>
          <t>文件匣（立式檔案盒）；官網：可收納A4檔案尺寸；產地日本</t>
        </is>
      </c>
      <c r="V236" s="2" t="inlineStr"/>
    </row>
    <row r="237">
      <c r="A237" s="2" t="inlineStr">
        <is>
          <t>NITORI-121</t>
        </is>
      </c>
      <c r="B237" s="2" t="inlineStr">
        <is>
          <t>NITORI</t>
        </is>
      </c>
      <c r="C237" s="2" t="inlineStr">
        <is>
          <t>檔案整理架</t>
        </is>
      </c>
      <c r="D237" s="2" t="inlineStr">
        <is>
          <t>A4 檔案整理架2 SN</t>
        </is>
      </c>
      <c r="E237" s="2" t="inlineStr">
        <is>
          <t>2113200012327</t>
        </is>
      </c>
      <c r="F237" s="2" t="n">
        <v>9.699999999999999</v>
      </c>
      <c r="G237" s="2" t="n">
        <v>32</v>
      </c>
      <c r="H237" s="2" t="n">
        <v>24</v>
      </c>
      <c r="I237" s="2" t="n"/>
      <c r="J237" s="2" t="n"/>
      <c r="K237" s="2" t="n"/>
      <c r="L237" s="2" t="inlineStr">
        <is>
          <t>聚丙烯樹脂</t>
        </is>
      </c>
      <c r="M237" s="2" t="inlineStr">
        <is>
          <t>白色</t>
        </is>
      </c>
      <c r="N237" s="2" t="inlineStr"/>
      <c r="O237" s="2" t="inlineStr">
        <is>
          <t>N</t>
        </is>
      </c>
      <c r="P237" s="2" t="n">
        <v>129</v>
      </c>
      <c r="Q237" s="2" t="inlineStr">
        <is>
          <t>2026-10-26</t>
        </is>
      </c>
      <c r="R237" s="3" t="inlineStr">
        <is>
          <t>https://www.nitori-net.tw/product/2113200012327</t>
        </is>
      </c>
      <c r="S237" s="2" t="inlineStr">
        <is>
          <t>官網</t>
        </is>
      </c>
      <c r="T237" s="2" t="inlineStr">
        <is>
          <t>high</t>
        </is>
      </c>
      <c r="U237" s="2" t="inlineStr">
        <is>
          <t>文件匣（立式檔案盒）；官網：可收納A4檔案尺寸</t>
        </is>
      </c>
      <c r="V237" s="2" t="inlineStr"/>
    </row>
    <row r="238">
      <c r="A238" s="2" t="inlineStr">
        <is>
          <t>NITORI-122</t>
        </is>
      </c>
      <c r="B238" s="2" t="inlineStr">
        <is>
          <t>NITORI</t>
        </is>
      </c>
      <c r="C238" s="2" t="inlineStr">
        <is>
          <t>檔案整理架</t>
        </is>
      </c>
      <c r="D238" s="2" t="inlineStr">
        <is>
          <t>A4 檔案整理架加寬2 SN</t>
        </is>
      </c>
      <c r="E238" s="2" t="inlineStr">
        <is>
          <t>2113200012976</t>
        </is>
      </c>
      <c r="F238" s="2" t="n">
        <v>14.5</v>
      </c>
      <c r="G238" s="2" t="n">
        <v>32</v>
      </c>
      <c r="H238" s="2" t="n">
        <v>24</v>
      </c>
      <c r="I238" s="2" t="n"/>
      <c r="J238" s="2" t="n"/>
      <c r="K238" s="2" t="n"/>
      <c r="L238" s="2" t="inlineStr">
        <is>
          <t>聚丙烯樹脂</t>
        </is>
      </c>
      <c r="M238" s="2" t="inlineStr">
        <is>
          <t>白色</t>
        </is>
      </c>
      <c r="N238" s="2" t="inlineStr"/>
      <c r="O238" s="2" t="inlineStr">
        <is>
          <t>N</t>
        </is>
      </c>
      <c r="P238" s="2" t="n">
        <v>199</v>
      </c>
      <c r="Q238" s="2" t="inlineStr">
        <is>
          <t>2026-10-26</t>
        </is>
      </c>
      <c r="R238" s="3" t="inlineStr">
        <is>
          <t>https://www.nitori-net.tw/product/2113200012976</t>
        </is>
      </c>
      <c r="S238" s="2" t="inlineStr">
        <is>
          <t>官網</t>
        </is>
      </c>
      <c r="T238" s="2" t="inlineStr">
        <is>
          <t>high</t>
        </is>
      </c>
      <c r="U238" s="2" t="inlineStr">
        <is>
          <t>文件匣（立式檔案盒）；官網：可收納A4檔案尺寸</t>
        </is>
      </c>
      <c r="V238" s="2" t="inlineStr"/>
    </row>
    <row r="239">
      <c r="A239" s="2" t="inlineStr">
        <is>
          <t>NITORI-123</t>
        </is>
      </c>
      <c r="B239" s="2" t="inlineStr">
        <is>
          <t>NITORI</t>
        </is>
      </c>
      <c r="C239" s="2" t="inlineStr">
        <is>
          <t>檔案整理架</t>
        </is>
      </c>
      <c r="D239" s="2" t="inlineStr">
        <is>
          <t>A4 L型檔案整理架2</t>
        </is>
      </c>
      <c r="E239" s="2" t="inlineStr">
        <is>
          <t>2113200012372/2113200012419</t>
        </is>
      </c>
      <c r="F239" s="2" t="n">
        <v>9.699999999999999</v>
      </c>
      <c r="G239" s="2" t="n">
        <v>27.5</v>
      </c>
      <c r="H239" s="2" t="n">
        <v>32</v>
      </c>
      <c r="I239" s="2" t="n"/>
      <c r="J239" s="2" t="n"/>
      <c r="K239" s="2" t="n"/>
      <c r="L239" s="2" t="inlineStr">
        <is>
          <t>聚丙烯</t>
        </is>
      </c>
      <c r="M239" s="2" t="inlineStr">
        <is>
          <t>透明/黑色</t>
        </is>
      </c>
      <c r="N239" s="2" t="inlineStr"/>
      <c r="O239" s="2" t="inlineStr">
        <is>
          <t>N</t>
        </is>
      </c>
      <c r="P239" s="2" t="n">
        <v>129</v>
      </c>
      <c r="Q239" s="2" t="inlineStr">
        <is>
          <t>2026-10-26</t>
        </is>
      </c>
      <c r="R239" s="3" t="inlineStr">
        <is>
          <t>https://www.nitori-net.tw/product/2113200012372</t>
        </is>
      </c>
      <c r="S239" s="2" t="inlineStr">
        <is>
          <t>官網</t>
        </is>
      </c>
      <c r="T239" s="2" t="inlineStr">
        <is>
          <t>high</t>
        </is>
      </c>
      <c r="U239" s="2" t="inlineStr">
        <is>
          <t>雜誌匣／文件匣（L型斜口立式檔案盒）；官網：可剛好放入4個A4款收納盒（標準尺寸）</t>
        </is>
      </c>
      <c r="V239" s="2" t="inlineStr"/>
    </row>
    <row r="240">
      <c r="A240" s="2" t="inlineStr">
        <is>
          <t>NITORI-124</t>
        </is>
      </c>
      <c r="B240" s="2" t="inlineStr">
        <is>
          <t>NITORI</t>
        </is>
      </c>
      <c r="C240" s="2" t="inlineStr">
        <is>
          <t>檔案整理架</t>
        </is>
      </c>
      <c r="D240" s="2" t="inlineStr">
        <is>
          <t>A4 L型檔案整理架加寬2</t>
        </is>
      </c>
      <c r="E240" s="2" t="inlineStr">
        <is>
          <t>2113200012396/2113200012433</t>
        </is>
      </c>
      <c r="F240" s="2" t="n">
        <v>14.5</v>
      </c>
      <c r="G240" s="2" t="n">
        <v>27.5</v>
      </c>
      <c r="H240" s="2" t="n">
        <v>32</v>
      </c>
      <c r="I240" s="2" t="n"/>
      <c r="J240" s="2" t="n"/>
      <c r="K240" s="2" t="n"/>
      <c r="L240" s="2" t="inlineStr">
        <is>
          <t>聚丙烯</t>
        </is>
      </c>
      <c r="M240" s="2" t="inlineStr">
        <is>
          <t>透明/黑色</t>
        </is>
      </c>
      <c r="N240" s="2" t="inlineStr"/>
      <c r="O240" s="2" t="inlineStr">
        <is>
          <t>N</t>
        </is>
      </c>
      <c r="P240" s="2" t="n">
        <v>199</v>
      </c>
      <c r="Q240" s="2" t="inlineStr">
        <is>
          <t>2026-10-26</t>
        </is>
      </c>
      <c r="R240" s="3" t="inlineStr">
        <is>
          <t>https://www.nitori-net.tw/product/2113200012396</t>
        </is>
      </c>
      <c r="S240" s="2" t="inlineStr">
        <is>
          <t>官網</t>
        </is>
      </c>
      <c r="T240" s="2" t="inlineStr">
        <is>
          <t>high</t>
        </is>
      </c>
      <c r="U240" s="2" t="inlineStr">
        <is>
          <t>雜誌匣／文件匣（L型斜口立式檔案盒）</t>
        </is>
      </c>
      <c r="V240" s="2" t="inlineStr"/>
    </row>
    <row r="241">
      <c r="A241" s="2" t="inlineStr">
        <is>
          <t>NITORI-125</t>
        </is>
      </c>
      <c r="B241" s="2" t="inlineStr">
        <is>
          <t>NITORI</t>
        </is>
      </c>
      <c r="C241" s="2" t="inlineStr">
        <is>
          <t>檔案整理架</t>
        </is>
      </c>
      <c r="D241" s="2" t="inlineStr">
        <is>
          <t>A4 L型檔案整理架2 SN</t>
        </is>
      </c>
      <c r="E241" s="2" t="inlineStr">
        <is>
          <t>2113200010729</t>
        </is>
      </c>
      <c r="F241" s="2" t="n">
        <v>9.699999999999999</v>
      </c>
      <c r="G241" s="2" t="n">
        <v>27.5</v>
      </c>
      <c r="H241" s="2" t="n">
        <v>32</v>
      </c>
      <c r="I241" s="2" t="n"/>
      <c r="J241" s="2" t="n"/>
      <c r="K241" s="2" t="n"/>
      <c r="L241" s="2" t="inlineStr">
        <is>
          <t>聚丙烯樹脂</t>
        </is>
      </c>
      <c r="M241" s="2" t="inlineStr">
        <is>
          <t>白色</t>
        </is>
      </c>
      <c r="N241" s="2" t="inlineStr"/>
      <c r="O241" s="2" t="inlineStr">
        <is>
          <t>N</t>
        </is>
      </c>
      <c r="P241" s="2" t="n">
        <v>129</v>
      </c>
      <c r="Q241" s="2" t="inlineStr">
        <is>
          <t>2026-10-26</t>
        </is>
      </c>
      <c r="R241" s="3" t="inlineStr">
        <is>
          <t>https://www.nitori-net.tw/product/2113200010729</t>
        </is>
      </c>
      <c r="S241" s="2" t="inlineStr">
        <is>
          <t>官網</t>
        </is>
      </c>
      <c r="T241" s="2" t="inlineStr">
        <is>
          <t>high</t>
        </is>
      </c>
      <c r="U241" s="2" t="inlineStr">
        <is>
          <t>雜誌匣／文件匣（L型斜口立式檔案盒）</t>
        </is>
      </c>
      <c r="V241" s="2" t="inlineStr"/>
    </row>
    <row r="242">
      <c r="A242" s="2" t="inlineStr">
        <is>
          <t>NITORI-126</t>
        </is>
      </c>
      <c r="B242" s="2" t="inlineStr">
        <is>
          <t>NITORI</t>
        </is>
      </c>
      <c r="C242" s="2" t="inlineStr">
        <is>
          <t>檔案整理架</t>
        </is>
      </c>
      <c r="D242" s="2" t="inlineStr">
        <is>
          <t>A4 L型檔案整理架加寬2 SN</t>
        </is>
      </c>
      <c r="E242" s="2" t="inlineStr">
        <is>
          <t>2113200012938</t>
        </is>
      </c>
      <c r="F242" s="2" t="n">
        <v>14.5</v>
      </c>
      <c r="G242" s="2" t="n">
        <v>27.5</v>
      </c>
      <c r="H242" s="2" t="n">
        <v>32</v>
      </c>
      <c r="I242" s="2" t="n"/>
      <c r="J242" s="2" t="n"/>
      <c r="K242" s="2" t="n"/>
      <c r="L242" s="2" t="inlineStr">
        <is>
          <t>聚丙烯樹脂</t>
        </is>
      </c>
      <c r="M242" s="2" t="inlineStr">
        <is>
          <t>白色</t>
        </is>
      </c>
      <c r="N242" s="2" t="inlineStr"/>
      <c r="O242" s="2" t="inlineStr">
        <is>
          <t>N</t>
        </is>
      </c>
      <c r="P242" s="2" t="n">
        <v>169</v>
      </c>
      <c r="Q242" s="2" t="inlineStr">
        <is>
          <t>2026-10-26</t>
        </is>
      </c>
      <c r="R242" s="3" t="inlineStr">
        <is>
          <t>https://www.nitori-net.tw/product/2113200012938</t>
        </is>
      </c>
      <c r="S242" s="2" t="inlineStr">
        <is>
          <t>官網</t>
        </is>
      </c>
      <c r="T242" s="2" t="inlineStr">
        <is>
          <t>high</t>
        </is>
      </c>
      <c r="U242" s="2" t="inlineStr">
        <is>
          <t>雜誌匣／文件匣（L型斜口立式檔案盒）；價格：查詢日售價169（原價199）</t>
        </is>
      </c>
      <c r="V242" s="2" t="inlineStr"/>
    </row>
    <row r="243">
      <c r="A243" s="2" t="inlineStr">
        <is>
          <t>NITORI-127</t>
        </is>
      </c>
      <c r="B243" s="2" t="inlineStr">
        <is>
          <t>NITORI</t>
        </is>
      </c>
      <c r="C243" s="2" t="inlineStr">
        <is>
          <t>NN01</t>
        </is>
      </c>
      <c r="D243" s="2" t="inlineStr">
        <is>
          <t>(網購限定)A4 L型檔案整理架 NN01(EC)</t>
        </is>
      </c>
      <c r="E243" s="2" t="inlineStr">
        <is>
          <t>2113200003264</t>
        </is>
      </c>
      <c r="F243" s="2" t="n">
        <v>10</v>
      </c>
      <c r="G243" s="2" t="n">
        <v>26</v>
      </c>
      <c r="H243" s="2" t="n">
        <v>33</v>
      </c>
      <c r="I243" s="2" t="n"/>
      <c r="J243" s="2" t="n"/>
      <c r="K243" s="2" t="n"/>
      <c r="L243" s="2" t="inlineStr">
        <is>
          <t>紙、鋼（本體）；紙（芯材）</t>
        </is>
      </c>
      <c r="M243" s="2" t="inlineStr">
        <is>
          <t>石灰白</t>
        </is>
      </c>
      <c r="N243" s="2" t="inlineStr"/>
      <c r="O243" s="2" t="inlineStr">
        <is>
          <t>N</t>
        </is>
      </c>
      <c r="P243" s="2" t="n">
        <v>199</v>
      </c>
      <c r="Q243" s="2" t="inlineStr">
        <is>
          <t>2026-10-26</t>
        </is>
      </c>
      <c r="R243" s="3" t="inlineStr">
        <is>
          <t>https://www.nitori-net.tw/product/2113200003264</t>
        </is>
      </c>
      <c r="S243" s="2" t="inlineStr">
        <is>
          <t>官網</t>
        </is>
      </c>
      <c r="T243" s="2" t="inlineStr">
        <is>
          <t>high</t>
        </is>
      </c>
      <c r="U243" s="2" t="inlineStr">
        <is>
          <t>雜誌匣／文件匣（L型斜口立式檔案盒）；網購限定；官網：可完美搭配收納櫃；價格：查詢日售價199（原價249）</t>
        </is>
      </c>
      <c r="V243" s="2" t="inlineStr"/>
    </row>
    <row r="244">
      <c r="A244" s="2" t="inlineStr">
        <is>
          <t>NITORI-128</t>
        </is>
      </c>
      <c r="B244" s="2" t="inlineStr">
        <is>
          <t>NITORI</t>
        </is>
      </c>
      <c r="C244" s="2" t="inlineStr">
        <is>
          <t>N BRANC</t>
        </is>
      </c>
      <c r="D244" s="2" t="inlineStr">
        <is>
          <t>整理托盤7件組 WH N BRANC（拆件 8.5x8.5x4.5）</t>
        </is>
      </c>
      <c r="E244" s="2" t="inlineStr">
        <is>
          <t>8920341-8920342set7</t>
        </is>
      </c>
      <c r="F244" s="2" t="n">
        <v>8.5</v>
      </c>
      <c r="G244" s="2" t="n">
        <v>8.5</v>
      </c>
      <c r="H244" s="2" t="n">
        <v>4.5</v>
      </c>
      <c r="I244" s="2" t="n"/>
      <c r="J244" s="2" t="n"/>
      <c r="K244" s="2" t="n"/>
      <c r="L244" s="2" t="inlineStr">
        <is>
          <t>PET塑膠</t>
        </is>
      </c>
      <c r="M244" s="2" t="inlineStr">
        <is>
          <t>白色</t>
        </is>
      </c>
      <c r="N244" s="2" t="inlineStr"/>
      <c r="O244" s="2" t="inlineStr">
        <is>
          <t>N</t>
        </is>
      </c>
      <c r="P244" s="2" t="n"/>
      <c r="Q244" s="2" t="inlineStr">
        <is>
          <t>2026-10-26</t>
        </is>
      </c>
      <c r="R244" s="3" t="inlineStr">
        <is>
          <t>https://www.nitori-net.tw/product/8920341-8920342set7</t>
        </is>
      </c>
      <c r="S244" s="2" t="inlineStr">
        <is>
          <t>官網</t>
        </is>
      </c>
      <c r="T244" s="2" t="inlineStr">
        <is>
          <t>high</t>
        </is>
      </c>
      <c r="U244" s="2" t="inlineStr">
        <is>
          <t>SET:8920341-8920342set7|347|4|7;內含整理托盤 S WH(8920341)×4；尺寸取自套組頁【組合內容】與【尺寸】；查詢日套組售價347（原價373）</t>
        </is>
      </c>
      <c r="V244" s="2" t="inlineStr">
        <is>
          <t>整組 NT$347，此尺寸 4 件／共 7 件</t>
        </is>
      </c>
    </row>
    <row r="245">
      <c r="A245" s="2" t="inlineStr">
        <is>
          <t>NITORI-129</t>
        </is>
      </c>
      <c r="B245" s="2" t="inlineStr">
        <is>
          <t>NITORI</t>
        </is>
      </c>
      <c r="C245" s="2" t="inlineStr">
        <is>
          <t>N BRANC</t>
        </is>
      </c>
      <c r="D245" s="2" t="inlineStr">
        <is>
          <t>整理托盤7件組 WH N BRANC（拆件 17x8.5x4.5）</t>
        </is>
      </c>
      <c r="E245" s="2" t="inlineStr">
        <is>
          <t>8920341-8920342set7</t>
        </is>
      </c>
      <c r="F245" s="2" t="n">
        <v>17</v>
      </c>
      <c r="G245" s="2" t="n">
        <v>8.5</v>
      </c>
      <c r="H245" s="2" t="n">
        <v>4.5</v>
      </c>
      <c r="I245" s="2" t="n"/>
      <c r="J245" s="2" t="n"/>
      <c r="K245" s="2" t="n"/>
      <c r="L245" s="2" t="inlineStr">
        <is>
          <t>PET塑膠</t>
        </is>
      </c>
      <c r="M245" s="2" t="inlineStr">
        <is>
          <t>白色</t>
        </is>
      </c>
      <c r="N245" s="2" t="inlineStr"/>
      <c r="O245" s="2" t="inlineStr">
        <is>
          <t>N</t>
        </is>
      </c>
      <c r="P245" s="2" t="n"/>
      <c r="Q245" s="2" t="inlineStr">
        <is>
          <t>2026-10-26</t>
        </is>
      </c>
      <c r="R245" s="3" t="inlineStr">
        <is>
          <t>https://www.nitori-net.tw/product/8920341-8920342set7</t>
        </is>
      </c>
      <c r="S245" s="2" t="inlineStr">
        <is>
          <t>官網</t>
        </is>
      </c>
      <c r="T245" s="2" t="inlineStr">
        <is>
          <t>high</t>
        </is>
      </c>
      <c r="U245" s="2" t="inlineStr">
        <is>
          <t>SET:8920341-8920342set7|347|1|7;內含整理托盤 M WH(8920342)×1；尺寸取自套組頁【組合內容】與【尺寸】；查詢日套組售價347（原價373）</t>
        </is>
      </c>
      <c r="V245" s="2" t="inlineStr">
        <is>
          <t>整組 NT$347，此尺寸 1 件／共 7 件</t>
        </is>
      </c>
    </row>
    <row r="246">
      <c r="A246" s="2" t="inlineStr">
        <is>
          <t>NITORI-130</t>
        </is>
      </c>
      <c r="B246" s="2" t="inlineStr">
        <is>
          <t>NITORI</t>
        </is>
      </c>
      <c r="C246" s="2" t="inlineStr">
        <is>
          <t>N BRANC</t>
        </is>
      </c>
      <c r="D246" s="2" t="inlineStr">
        <is>
          <t>整理托盤7件組 WH N BRANC（拆件 25.5x8.5x4.5）</t>
        </is>
      </c>
      <c r="E246" s="2" t="inlineStr">
        <is>
          <t>8920341-8920342set7</t>
        </is>
      </c>
      <c r="F246" s="2" t="n">
        <v>25.5</v>
      </c>
      <c r="G246" s="2" t="n">
        <v>8.5</v>
      </c>
      <c r="H246" s="2" t="n">
        <v>4.5</v>
      </c>
      <c r="I246" s="2" t="n"/>
      <c r="J246" s="2" t="n"/>
      <c r="K246" s="2" t="n"/>
      <c r="L246" s="2" t="inlineStr">
        <is>
          <t>PET塑膠</t>
        </is>
      </c>
      <c r="M246" s="2" t="inlineStr">
        <is>
          <t>白色</t>
        </is>
      </c>
      <c r="N246" s="2" t="inlineStr"/>
      <c r="O246" s="2" t="inlineStr">
        <is>
          <t>N</t>
        </is>
      </c>
      <c r="P246" s="2" t="n"/>
      <c r="Q246" s="2" t="inlineStr">
        <is>
          <t>2026-10-26</t>
        </is>
      </c>
      <c r="R246" s="3" t="inlineStr">
        <is>
          <t>https://www.nitori-net.tw/product/8920341-8920342set7</t>
        </is>
      </c>
      <c r="S246" s="2" t="inlineStr">
        <is>
          <t>官網</t>
        </is>
      </c>
      <c r="T246" s="2" t="inlineStr">
        <is>
          <t>high</t>
        </is>
      </c>
      <c r="U246" s="2" t="inlineStr">
        <is>
          <t>SET:8920341-8920342set7|347|2|7;內含整理托盤 L WH(8920343)×2；尺寸取自套組頁【組合內容】與【尺寸】；查詢日套組售價347（原價373）</t>
        </is>
      </c>
      <c r="V246" s="2" t="inlineStr">
        <is>
          <t>整組 NT$347，此尺寸 2 件／共 7 件</t>
        </is>
      </c>
    </row>
    <row r="247">
      <c r="A247" s="2" t="inlineStr">
        <is>
          <t>NITORI-131</t>
        </is>
      </c>
      <c r="B247" s="2" t="inlineStr">
        <is>
          <t>NITORI</t>
        </is>
      </c>
      <c r="C247" s="2" t="inlineStr">
        <is>
          <t>冰箱整理收納</t>
        </is>
      </c>
      <c r="D247" s="2" t="inlineStr">
        <is>
          <t>冰箱用整理收納6件組（拆件 12x29.5x5）</t>
        </is>
      </c>
      <c r="E247" s="2" t="inlineStr">
        <is>
          <t>8920423-8920433set</t>
        </is>
      </c>
      <c r="F247" s="2" t="n">
        <v>12</v>
      </c>
      <c r="G247" s="2" t="n">
        <v>29.5</v>
      </c>
      <c r="H247" s="2" t="n">
        <v>5</v>
      </c>
      <c r="I247" s="2" t="n"/>
      <c r="J247" s="2" t="n"/>
      <c r="K247" s="2" t="n"/>
      <c r="L247" s="2" t="inlineStr">
        <is>
          <t>PET</t>
        </is>
      </c>
      <c r="M247" s="2" t="inlineStr">
        <is>
          <t>透明</t>
        </is>
      </c>
      <c r="N247" s="2" t="inlineStr"/>
      <c r="O247" s="2" t="inlineStr">
        <is>
          <t>N</t>
        </is>
      </c>
      <c r="P247" s="2" t="n"/>
      <c r="Q247" s="2" t="inlineStr">
        <is>
          <t>2026-10-26</t>
        </is>
      </c>
      <c r="R247" s="3" t="inlineStr">
        <is>
          <t>https://www.nitori-net.tw/product/8920423-8920433set</t>
        </is>
      </c>
      <c r="S247" s="2" t="inlineStr">
        <is>
          <t>官網</t>
        </is>
      </c>
      <c r="T247" s="2" t="inlineStr">
        <is>
          <t>high</t>
        </is>
      </c>
      <c r="U247" s="2" t="inlineStr">
        <is>
          <t>SET:8920423-8920433set|774|2|6;內含冰箱用整理托盤 窄淺型 S W120(8920423)×2；尺寸取自套組頁【組合內容】與【尺寸】；套組另含冰箱用整理架 窄淺型×2、窄深型×1（開放式架，本次不收）；官網：整理架與托盤組合可作抽屜使用，堆疊最多4層</t>
        </is>
      </c>
      <c r="V247" s="2" t="inlineStr">
        <is>
          <t>整組 NT$774，此尺寸 2 件／共 6 件</t>
        </is>
      </c>
    </row>
    <row r="248">
      <c r="A248" s="2" t="inlineStr">
        <is>
          <t>NITORI-132</t>
        </is>
      </c>
      <c r="B248" s="2" t="inlineStr">
        <is>
          <t>NITORI</t>
        </is>
      </c>
      <c r="C248" s="2" t="inlineStr">
        <is>
          <t>冰箱整理收納</t>
        </is>
      </c>
      <c r="D248" s="2" t="inlineStr">
        <is>
          <t>冰箱用整理收納6件組（拆件 12x29.5x10）</t>
        </is>
      </c>
      <c r="E248" s="2" t="inlineStr">
        <is>
          <t>8920423-8920433set</t>
        </is>
      </c>
      <c r="F248" s="2" t="n">
        <v>12</v>
      </c>
      <c r="G248" s="2" t="n">
        <v>29.5</v>
      </c>
      <c r="H248" s="2" t="n">
        <v>10</v>
      </c>
      <c r="I248" s="2" t="n"/>
      <c r="J248" s="2" t="n"/>
      <c r="K248" s="2" t="n"/>
      <c r="L248" s="2" t="inlineStr">
        <is>
          <t>PET</t>
        </is>
      </c>
      <c r="M248" s="2" t="inlineStr">
        <is>
          <t>透明</t>
        </is>
      </c>
      <c r="N248" s="2" t="inlineStr"/>
      <c r="O248" s="2" t="inlineStr">
        <is>
          <t>N</t>
        </is>
      </c>
      <c r="P248" s="2" t="n"/>
      <c r="Q248" s="2" t="inlineStr">
        <is>
          <t>2026-10-26</t>
        </is>
      </c>
      <c r="R248" s="3" t="inlineStr">
        <is>
          <t>https://www.nitori-net.tw/product/8920423-8920433set</t>
        </is>
      </c>
      <c r="S248" s="2" t="inlineStr">
        <is>
          <t>官網</t>
        </is>
      </c>
      <c r="T248" s="2" t="inlineStr">
        <is>
          <t>high</t>
        </is>
      </c>
      <c r="U248" s="2" t="inlineStr">
        <is>
          <t>SET:8920423-8920433set|774|1|6;內含冰箱用整理托盤 窄深型 S W120(8920424)×1；尺寸取自套組頁【組合內容】與【尺寸】；套組另含冰箱用整理架 窄淺型×2、窄深型×1（開放式架，本次不收）；官網：整理架與托盤組合可作抽屜使用，堆疊最多4層</t>
        </is>
      </c>
      <c r="V248" s="2" t="inlineStr">
        <is>
          <t>整組 NT$774，此尺寸 1 件／共 6 件</t>
        </is>
      </c>
    </row>
    <row r="249">
      <c r="A249" s="2" t="inlineStr">
        <is>
          <t>IKEA-001</t>
        </is>
      </c>
      <c r="B249" s="2" t="inlineStr">
        <is>
          <t>IKEA</t>
        </is>
      </c>
      <c r="C249" s="2" t="inlineStr">
        <is>
          <t>BAXNA</t>
        </is>
      </c>
      <c r="D249" s="2" t="inlineStr">
        <is>
          <t>BAXNA 收納盒 26x34x10 公分</t>
        </is>
      </c>
      <c r="E249" s="2" t="inlineStr">
        <is>
          <t>204.743.71</t>
        </is>
      </c>
      <c r="F249" s="2" t="n">
        <v>34</v>
      </c>
      <c r="G249" s="2" t="n">
        <v>26</v>
      </c>
      <c r="H249" s="2" t="n">
        <v>10</v>
      </c>
      <c r="I249" s="2" t="n"/>
      <c r="J249" s="2" t="n"/>
      <c r="K249" s="2" t="n"/>
      <c r="L249" s="2" t="inlineStr">
        <is>
          <t>布料:100%聚酯纖維 (至少90%再生材料)；插入配件:聚丙烯塑膠</t>
        </is>
      </c>
      <c r="M249" s="2" t="inlineStr">
        <is>
          <t>灰色+白色</t>
        </is>
      </c>
      <c r="N249" s="2" t="inlineStr"/>
      <c r="O249" s="2" t="inlineStr">
        <is>
          <t>N</t>
        </is>
      </c>
      <c r="P249" s="2" t="n">
        <v>149</v>
      </c>
      <c r="Q249" s="2" t="inlineStr">
        <is>
          <t>2026-10-26</t>
        </is>
      </c>
      <c r="R249" s="3" t="inlineStr">
        <is>
          <t>https://www.ikea.com.tw/zh/products/boxes-and-organisers/organisers/baxna-art-20474371</t>
        </is>
      </c>
      <c r="S249" s="2" t="inlineStr">
        <is>
          <t>官網</t>
        </is>
      </c>
      <c r="T249" s="2" t="inlineStr">
        <is>
          <t>high</t>
        </is>
      </c>
      <c r="U249" s="2" t="inlineStr"/>
      <c r="V249" s="2" t="inlineStr"/>
    </row>
    <row r="250">
      <c r="A250" s="2" t="inlineStr">
        <is>
          <t>IKEA-002</t>
        </is>
      </c>
      <c r="B250" s="2" t="inlineStr">
        <is>
          <t>IKEA</t>
        </is>
      </c>
      <c r="C250" s="2" t="inlineStr">
        <is>
          <t>BAXNA</t>
        </is>
      </c>
      <c r="D250" s="2" t="inlineStr">
        <is>
          <t>BAXNA 收納盒 26x34x18 公分</t>
        </is>
      </c>
      <c r="E250" s="2" t="inlineStr">
        <is>
          <t>804.862.91</t>
        </is>
      </c>
      <c r="F250" s="2" t="n">
        <v>34</v>
      </c>
      <c r="G250" s="2" t="n">
        <v>26</v>
      </c>
      <c r="H250" s="2" t="n">
        <v>18</v>
      </c>
      <c r="I250" s="2" t="n"/>
      <c r="J250" s="2" t="n"/>
      <c r="K250" s="2" t="n"/>
      <c r="L250" s="2" t="inlineStr">
        <is>
          <t>布料:100%聚酯纖維 (至少90%再生材料)；插入配件:聚丙烯塑膠</t>
        </is>
      </c>
      <c r="M250" s="2" t="inlineStr">
        <is>
          <t>灰色+白色</t>
        </is>
      </c>
      <c r="N250" s="2" t="inlineStr"/>
      <c r="O250" s="2" t="inlineStr">
        <is>
          <t>N</t>
        </is>
      </c>
      <c r="P250" s="2" t="n">
        <v>199</v>
      </c>
      <c r="Q250" s="2" t="inlineStr">
        <is>
          <t>2026-10-26</t>
        </is>
      </c>
      <c r="R250" s="3" t="inlineStr">
        <is>
          <t>https://www.ikea.com.tw/zh/products/boxes-and-organisers/organisers/baxna-art-80486291</t>
        </is>
      </c>
      <c r="S250" s="2" t="inlineStr">
        <is>
          <t>官網</t>
        </is>
      </c>
      <c r="T250" s="2" t="inlineStr">
        <is>
          <t>high</t>
        </is>
      </c>
      <c r="U250" s="2" t="inlineStr">
        <is>
          <t>適用於較深的抽屜，方便收納T恤、毛衣及毛巾</t>
        </is>
      </c>
      <c r="V250" s="2" t="inlineStr"/>
    </row>
    <row r="251">
      <c r="A251" s="2" t="inlineStr">
        <is>
          <t>IKEA-003</t>
        </is>
      </c>
      <c r="B251" s="2" t="inlineStr">
        <is>
          <t>IKEA</t>
        </is>
      </c>
      <c r="C251" s="2" t="inlineStr">
        <is>
          <t>BEKNA</t>
        </is>
      </c>
      <c r="D251" s="2" t="inlineStr">
        <is>
          <t>BEKNA 置物籃 25x35x20 公分</t>
        </is>
      </c>
      <c r="E251" s="2" t="inlineStr">
        <is>
          <t>905.133.93</t>
        </is>
      </c>
      <c r="F251" s="2" t="n">
        <v>25</v>
      </c>
      <c r="G251" s="2" t="n">
        <v>35</v>
      </c>
      <c r="H251" s="2" t="n">
        <v>20</v>
      </c>
      <c r="I251" s="2" t="n"/>
      <c r="J251" s="2" t="n"/>
      <c r="K251" s="2" t="n"/>
      <c r="L251" s="2" t="inlineStr">
        <is>
          <t>內部框架:鋼質, 粉末塗層；主體:聚乙烯塑膠</t>
        </is>
      </c>
      <c r="M251" s="2" t="inlineStr">
        <is>
          <t>塑膠籐質</t>
        </is>
      </c>
      <c r="N251" s="2" t="inlineStr"/>
      <c r="O251" s="2" t="inlineStr">
        <is>
          <t>N</t>
        </is>
      </c>
      <c r="P251" s="2" t="n">
        <v>499</v>
      </c>
      <c r="Q251" s="2" t="inlineStr">
        <is>
          <t>2026-10-26</t>
        </is>
      </c>
      <c r="R251" s="3" t="inlineStr">
        <is>
          <t>https://www.ikea.com.tw/zh/products/boxes-and-organisers/boxes-and-baskets/bekna-art-90513393</t>
        </is>
      </c>
      <c r="S251" s="2" t="inlineStr">
        <is>
          <t>官網</t>
        </is>
      </c>
      <c r="T251" s="2" t="inlineStr">
        <is>
          <t>high</t>
        </is>
      </c>
      <c r="U251" s="2" t="inlineStr"/>
      <c r="V251" s="2" t="inlineStr"/>
    </row>
    <row r="252">
      <c r="A252" s="2" t="inlineStr">
        <is>
          <t>IKEA-004</t>
        </is>
      </c>
      <c r="B252" s="2" t="inlineStr">
        <is>
          <t>IKEA</t>
        </is>
      </c>
      <c r="C252" s="2" t="inlineStr">
        <is>
          <t>BILLINGEN</t>
        </is>
      </c>
      <c r="D252" s="2" t="inlineStr">
        <is>
          <t>BILLINGEN 抽屜收納盤 33x17 公分</t>
        </is>
      </c>
      <c r="E252" s="2" t="inlineStr">
        <is>
          <t>102.704.02</t>
        </is>
      </c>
      <c r="F252" s="2" t="n">
        <v>17</v>
      </c>
      <c r="G252" s="2" t="n">
        <v>32.5</v>
      </c>
      <c r="H252" s="2" t="n">
        <v>6</v>
      </c>
      <c r="I252" s="2" t="n"/>
      <c r="J252" s="2" t="n"/>
      <c r="K252" s="2" t="n"/>
      <c r="L252" s="2" t="inlineStr">
        <is>
          <t>聚丙烯塑膠</t>
        </is>
      </c>
      <c r="M252" s="2" t="inlineStr">
        <is>
          <t>白色</t>
        </is>
      </c>
      <c r="N252" s="2" t="inlineStr"/>
      <c r="O252" s="2" t="inlineStr">
        <is>
          <t>N</t>
        </is>
      </c>
      <c r="P252" s="2" t="n">
        <v>49</v>
      </c>
      <c r="Q252" s="2" t="inlineStr">
        <is>
          <t>2026-10-26</t>
        </is>
      </c>
      <c r="R252" s="3" t="inlineStr">
        <is>
          <t>https://www.ikea.com.tw/zh/products/boxes-and-organisers/organisers/billingen-art-10270402</t>
        </is>
      </c>
      <c r="S252" s="2" t="inlineStr">
        <is>
          <t>官網</t>
        </is>
      </c>
      <c r="T252" s="2" t="inlineStr">
        <is>
          <t>high</t>
        </is>
      </c>
      <c r="U252" s="2" t="inlineStr">
        <is>
          <t>官網標示為長度×寬度×高度，outer_d 填「長度」值</t>
        </is>
      </c>
      <c r="V252" s="2" t="inlineStr"/>
    </row>
    <row r="253">
      <c r="A253" s="2" t="inlineStr">
        <is>
          <t>IKEA-005</t>
        </is>
      </c>
      <c r="B253" s="2" t="inlineStr">
        <is>
          <t>IKEA</t>
        </is>
      </c>
      <c r="C253" s="2" t="inlineStr">
        <is>
          <t>BLÄDDRA</t>
        </is>
      </c>
      <c r="D253" s="2" t="inlineStr">
        <is>
          <t>BLÄDDRA 收納盒 33x38x33 公分</t>
        </is>
      </c>
      <c r="E253" s="2" t="inlineStr">
        <is>
          <t>305.867.78</t>
        </is>
      </c>
      <c r="F253" s="2" t="n">
        <v>33</v>
      </c>
      <c r="G253" s="2" t="n">
        <v>38</v>
      </c>
      <c r="H253" s="2" t="n">
        <v>33</v>
      </c>
      <c r="I253" s="2" t="n"/>
      <c r="J253" s="2" t="n"/>
      <c r="K253" s="2" t="n"/>
      <c r="L253" s="2" t="inlineStr">
        <is>
          <t>基本材質:100%聚酯纖維 (至少90%再生材料)；夾層材質:紙板 (至少30%再生材料)</t>
        </is>
      </c>
      <c r="M253" s="2" t="inlineStr">
        <is>
          <t>灰色</t>
        </is>
      </c>
      <c r="N253" s="2" t="inlineStr"/>
      <c r="O253" s="2" t="inlineStr">
        <is>
          <t>N</t>
        </is>
      </c>
      <c r="P253" s="2" t="n">
        <v>399</v>
      </c>
      <c r="Q253" s="2" t="inlineStr">
        <is>
          <t>2026-10-26</t>
        </is>
      </c>
      <c r="R253" s="3" t="inlineStr">
        <is>
          <t>https://www.ikea.com.tw/zh/products/boxes-and-organisers/boxes-and-baskets/bladdra-art-30586778</t>
        </is>
      </c>
      <c r="S253" s="2" t="inlineStr">
        <is>
          <t>官網</t>
        </is>
      </c>
      <c r="T253" s="2" t="inlineStr">
        <is>
          <t>high</t>
        </is>
      </c>
      <c r="U253" s="2" t="inlineStr">
        <is>
          <t>適用於KALLAX層架組；適用KALLAX層架組</t>
        </is>
      </c>
      <c r="V253" s="2" t="inlineStr"/>
    </row>
    <row r="254">
      <c r="A254" s="2" t="inlineStr">
        <is>
          <t>IKEA-006</t>
        </is>
      </c>
      <c r="B254" s="2" t="inlineStr">
        <is>
          <t>IKEA</t>
        </is>
      </c>
      <c r="C254" s="2" t="inlineStr">
        <is>
          <t>BRANÄS</t>
        </is>
      </c>
      <c r="D254" s="2" t="inlineStr">
        <is>
          <t>BRANÄS 置物籃 32x34x32 公分</t>
        </is>
      </c>
      <c r="E254" s="2" t="inlineStr">
        <is>
          <t>801.731.53</t>
        </is>
      </c>
      <c r="F254" s="2" t="n">
        <v>32</v>
      </c>
      <c r="G254" s="2" t="n">
        <v>34</v>
      </c>
      <c r="H254" s="2" t="n">
        <v>32</v>
      </c>
      <c r="I254" s="2" t="n"/>
      <c r="J254" s="2" t="n"/>
      <c r="K254" s="2" t="n"/>
      <c r="L254" s="2" t="inlineStr">
        <is>
          <t>基本材質:籐, 壓克力亮光漆；外框:實心木材；鉸鏈:聚丙烯塑膠；卡釘/ 螺絲釘:鋼質, 鍍鋅；毛氈墊:100%聚酯纖維</t>
        </is>
      </c>
      <c r="M254" s="2" t="inlineStr">
        <is>
          <t>籐製</t>
        </is>
      </c>
      <c r="N254" s="2" t="inlineStr"/>
      <c r="O254" s="2" t="inlineStr">
        <is>
          <t>N</t>
        </is>
      </c>
      <c r="P254" s="2" t="n">
        <v>499</v>
      </c>
      <c r="Q254" s="2" t="inlineStr">
        <is>
          <t>2026-10-26</t>
        </is>
      </c>
      <c r="R254" s="3" t="inlineStr">
        <is>
          <t>https://www.ikea.com.tw/zh/products/boxes-and-organisers/boxes-and-baskets/branas-art-80173153</t>
        </is>
      </c>
      <c r="S254" s="2" t="inlineStr">
        <is>
          <t>官網</t>
        </is>
      </c>
      <c r="T254" s="2" t="inlineStr">
        <is>
          <t>high</t>
        </is>
      </c>
      <c r="U254" s="2" t="inlineStr">
        <is>
          <t>適合搭配KALLAX層架組</t>
        </is>
      </c>
      <c r="V254" s="2" t="inlineStr"/>
    </row>
    <row r="255">
      <c r="A255" s="2" t="inlineStr">
        <is>
          <t>IKEA-007</t>
        </is>
      </c>
      <c r="B255" s="2" t="inlineStr">
        <is>
          <t>IKEA</t>
        </is>
      </c>
      <c r="C255" s="2" t="inlineStr">
        <is>
          <t>BULLIG</t>
        </is>
      </c>
      <c r="D255" s="2" t="inlineStr">
        <is>
          <t>BULLIG 收納盒 32x35x33 公分</t>
        </is>
      </c>
      <c r="E255" s="2" t="inlineStr">
        <is>
          <t>104.745.93</t>
        </is>
      </c>
      <c r="F255" s="2" t="n">
        <v>32</v>
      </c>
      <c r="G255" s="2" t="n">
        <v>35</v>
      </c>
      <c r="H255" s="2" t="n">
        <v>33</v>
      </c>
      <c r="I255" s="2" t="n"/>
      <c r="J255" s="2" t="n"/>
      <c r="K255" s="2" t="n"/>
      <c r="L255" s="2" t="inlineStr">
        <is>
          <t>竹, 壓克力亮光漆</t>
        </is>
      </c>
      <c r="M255" s="2" t="inlineStr">
        <is>
          <t>竹+棕色</t>
        </is>
      </c>
      <c r="N255" s="2" t="inlineStr">
        <is>
          <t>Y</t>
        </is>
      </c>
      <c r="O255" s="2" t="inlineStr">
        <is>
          <t>N</t>
        </is>
      </c>
      <c r="P255" s="2" t="n">
        <v>699</v>
      </c>
      <c r="Q255" s="2" t="inlineStr">
        <is>
          <t>2026-10-26</t>
        </is>
      </c>
      <c r="R255" s="3" t="inlineStr">
        <is>
          <t>https://www.ikea.com.tw/zh/products/boxes-and-organisers/boxes-and-baskets/bullig-art-10474593</t>
        </is>
      </c>
      <c r="S255" s="2" t="inlineStr">
        <is>
          <t>官網</t>
        </is>
      </c>
      <c r="T255" s="2" t="inlineStr">
        <is>
          <t>high</t>
        </is>
      </c>
      <c r="U255" s="2" t="inlineStr">
        <is>
          <t>官網標示為長度×寬度×高度，outer_d 填「長度」值；適合搭配KALLAX層架組</t>
        </is>
      </c>
      <c r="V255" s="2" t="inlineStr"/>
    </row>
    <row r="256">
      <c r="A256" s="2" t="inlineStr">
        <is>
          <t>IKEA-008</t>
        </is>
      </c>
      <c r="B256" s="2" t="inlineStr">
        <is>
          <t>IKEA</t>
        </is>
      </c>
      <c r="C256" s="2" t="inlineStr">
        <is>
          <t>DRÖNA</t>
        </is>
      </c>
      <c r="D256" s="2" t="inlineStr">
        <is>
          <t>DRÖNA 收納盒 33x38x33 公分</t>
        </is>
      </c>
      <c r="E256" s="2" t="inlineStr">
        <is>
          <t>204.439.78</t>
        </is>
      </c>
      <c r="F256" s="2" t="n">
        <v>33</v>
      </c>
      <c r="G256" s="2" t="n">
        <v>38</v>
      </c>
      <c r="H256" s="2" t="n">
        <v>33</v>
      </c>
      <c r="I256" s="2" t="n"/>
      <c r="J256" s="2" t="n"/>
      <c r="K256" s="2" t="n"/>
      <c r="L256" s="2" t="inlineStr">
        <is>
          <t>基本材質:100%聚酯纖維 (至少90%再生材料)；夾層材質:紙板 (至少30%再生材料)；裡布:100% 聚丙烯</t>
        </is>
      </c>
      <c r="M256" s="2" t="inlineStr">
        <is>
          <t>深灰色/白色/米色+圓點/藍色/黑色/黑色+淺乳白色</t>
        </is>
      </c>
      <c r="N256" s="2" t="inlineStr"/>
      <c r="O256" s="2" t="inlineStr">
        <is>
          <t>N</t>
        </is>
      </c>
      <c r="P256" s="2" t="n">
        <v>149</v>
      </c>
      <c r="Q256" s="2" t="inlineStr">
        <is>
          <t>2026-10-26</t>
        </is>
      </c>
      <c r="R256" s="3" t="inlineStr">
        <is>
          <t>https://www.ikea.com.tw/zh/products/boxes-and-organisers/boxes-and-baskets/drona-art-20443978</t>
        </is>
      </c>
      <c r="S256" s="2" t="inlineStr">
        <is>
          <t>官網</t>
        </is>
      </c>
      <c r="T256" s="2" t="inlineStr">
        <is>
          <t>high</t>
        </is>
      </c>
      <c r="U256" s="2" t="inlineStr">
        <is>
          <t>各色商品編號：深灰色=204.439.78、白色=702.628.28、米色+圓點=303.823.90、藍色=805.808.11、黑色=102.192.82、黑色+淺乳白色=806.257.15；DRÖNA 布蓋另售（26x19、36x26、39x34 公分）；適用於KALLAX層架組，或其他深度至少38公分的層架；DRÖNA系列幫你收納大大小小的物品；尺寸依KALLAX層架組設計</t>
        </is>
      </c>
      <c r="V256" s="2" t="inlineStr"/>
    </row>
    <row r="257">
      <c r="A257" s="2" t="inlineStr">
        <is>
          <t>IKEA-009</t>
        </is>
      </c>
      <c r="B257" s="2" t="inlineStr">
        <is>
          <t>IKEA</t>
        </is>
      </c>
      <c r="C257" s="2" t="inlineStr">
        <is>
          <t>DRÖNA</t>
        </is>
      </c>
      <c r="D257" s="2" t="inlineStr">
        <is>
          <t>DRÖNA 收納盒 25x35x25 公分</t>
        </is>
      </c>
      <c r="E257" s="2" t="inlineStr">
        <is>
          <t>904.670.70</t>
        </is>
      </c>
      <c r="F257" s="2" t="n">
        <v>25</v>
      </c>
      <c r="G257" s="2" t="n">
        <v>35</v>
      </c>
      <c r="H257" s="2" t="n">
        <v>25</v>
      </c>
      <c r="I257" s="2" t="n"/>
      <c r="J257" s="2" t="n"/>
      <c r="K257" s="2" t="n"/>
      <c r="L257" s="2" t="inlineStr">
        <is>
          <t>基本材質:100%聚酯纖維 (至少90%再生材料)；夾層材質:紙板 (至少30%再生材料)；裡布:100% 聚丙烯；底部:100%聚酯纖維 (至少90%再生材料), 100 % 聚氨酯</t>
        </is>
      </c>
      <c r="M257" s="2" t="inlineStr">
        <is>
          <t>白色/黑色/深灰色</t>
        </is>
      </c>
      <c r="N257" s="2" t="inlineStr"/>
      <c r="O257" s="2" t="inlineStr">
        <is>
          <t>N</t>
        </is>
      </c>
      <c r="P257" s="2" t="n">
        <v>99</v>
      </c>
      <c r="Q257" s="2" t="inlineStr">
        <is>
          <t>2026-10-26</t>
        </is>
      </c>
      <c r="R257" s="3" t="inlineStr">
        <is>
          <t>https://www.ikea.com.tw/zh/products/boxes-and-organisers/boxes-and-baskets/drona-art-90467070</t>
        </is>
      </c>
      <c r="S257" s="2" t="inlineStr">
        <is>
          <t>官網</t>
        </is>
      </c>
      <c r="T257" s="2" t="inlineStr">
        <is>
          <t>high</t>
        </is>
      </c>
      <c r="U257" s="2" t="inlineStr">
        <is>
          <t>官網標示為長度×寬度×高度，outer_d 填「長度」值；各色商品編號：白色=904.670.70、黑色=804.670.61、深灰色=506.321.28；DRÖNA 布蓋另售（26x19、36x26、39x34 公分）；非常適合用於BILLY書櫃（深28公分）、BESTÅ收納系列（深40公分）以及其他層架最少深25公分的收納組內；DRÖNA系列幫你收納大大小小的物品；適用BESTÅ層架組(深40公分)和BILLY書櫃</t>
        </is>
      </c>
      <c r="V257" s="2" t="inlineStr"/>
    </row>
    <row r="258">
      <c r="A258" s="2" t="inlineStr">
        <is>
          <t>IKEA-010</t>
        </is>
      </c>
      <c r="B258" s="2" t="inlineStr">
        <is>
          <t>IKEA</t>
        </is>
      </c>
      <c r="C258" s="2" t="inlineStr">
        <is>
          <t>DRÖNA</t>
        </is>
      </c>
      <c r="D258" s="2" t="inlineStr">
        <is>
          <t>DRÖNA 收納盒 18x25x15 公分</t>
        </is>
      </c>
      <c r="E258" s="2" t="inlineStr">
        <is>
          <t>306.321.34</t>
        </is>
      </c>
      <c r="F258" s="2" t="n">
        <v>18</v>
      </c>
      <c r="G258" s="2" t="n">
        <v>25</v>
      </c>
      <c r="H258" s="2" t="n">
        <v>15</v>
      </c>
      <c r="I258" s="2" t="n"/>
      <c r="J258" s="2" t="n"/>
      <c r="K258" s="2" t="n"/>
      <c r="L258" s="2" t="inlineStr">
        <is>
          <t>基本材質:100%聚酯纖維 (至少90%再生材料)；夾層材質:紙板 (至少30%再生材料)；裡布:100% 聚丙烯 (至少30%再生材料)</t>
        </is>
      </c>
      <c r="M258" s="2" t="inlineStr">
        <is>
          <t>深灰色/白色/黑色</t>
        </is>
      </c>
      <c r="N258" s="2" t="inlineStr"/>
      <c r="O258" s="2" t="inlineStr">
        <is>
          <t>N</t>
        </is>
      </c>
      <c r="P258" s="2" t="n"/>
      <c r="Q258" s="2" t="inlineStr">
        <is>
          <t>2026-10-26</t>
        </is>
      </c>
      <c r="R258" s="3" t="inlineStr">
        <is>
          <t>https://www.ikea.com.tw/zh/products/boxes-and-organisers/boxes-and-baskets/drona-art-30632134</t>
        </is>
      </c>
      <c r="S258" s="2" t="inlineStr">
        <is>
          <t>官網</t>
        </is>
      </c>
      <c r="T258" s="2" t="inlineStr">
        <is>
          <t>high</t>
        </is>
      </c>
      <c r="U258" s="2" t="inlineStr">
        <is>
          <t>SET:306.321.34|249|3|3;同尺寸3件裝，整包價249；包裝內含 3件裝；各色商品編號：深灰色=306.321.34、白色=506.321.33、黑色=006.321.35；DRÖNA 布蓋另售（26x19、36x26、39x34 公分）；尺寸適用於BILLY書櫃和其他最少深18公分的層架組；DRÖNA系列幫你收納大大小小的物品；適用於BILLY書櫃</t>
        </is>
      </c>
      <c r="V258" s="2" t="inlineStr">
        <is>
          <t>整組 NT$249，此尺寸 3 件／共 3 件</t>
        </is>
      </c>
    </row>
    <row r="259">
      <c r="A259" s="2" t="inlineStr">
        <is>
          <t>IKEA-011</t>
        </is>
      </c>
      <c r="B259" s="2" t="inlineStr">
        <is>
          <t>IKEA</t>
        </is>
      </c>
      <c r="C259" s="2" t="inlineStr">
        <is>
          <t>DRÖNA</t>
        </is>
      </c>
      <c r="D259" s="2" t="inlineStr">
        <is>
          <t>DRÖNA 附蓋收納盒 19x26x15 公分</t>
        </is>
      </c>
      <c r="E259" s="2" t="inlineStr">
        <is>
          <t>596.343.02</t>
        </is>
      </c>
      <c r="F259" s="2" t="n">
        <v>19</v>
      </c>
      <c r="G259" s="2" t="n">
        <v>26</v>
      </c>
      <c r="H259" s="2" t="n">
        <v>15</v>
      </c>
      <c r="I259" s="2" t="n"/>
      <c r="J259" s="2" t="n"/>
      <c r="K259" s="2" t="n"/>
      <c r="L259" s="2" t="inlineStr">
        <is>
          <t>收納盒；基本材質:100%聚酯纖維 (至少90%再生材料)；夾層材質:紙板 (至少30%再生材料)；裡布:100% 聚丙烯 (至少30%再生材料)；蓋子；表布:100%聚酯纖維 (至少90%再生材料)；夾層材質:聚丙烯塑膠；裡布:100% 聚丙烯 (至少30%再生材料)</t>
        </is>
      </c>
      <c r="M259" s="2" t="inlineStr">
        <is>
          <t>深灰色/黑色/白色</t>
        </is>
      </c>
      <c r="N259" s="2" t="inlineStr"/>
      <c r="O259" s="2" t="inlineStr">
        <is>
          <t>Y</t>
        </is>
      </c>
      <c r="P259" s="2" t="n">
        <v>339</v>
      </c>
      <c r="Q259" s="2" t="inlineStr">
        <is>
          <t>2026-10-26</t>
        </is>
      </c>
      <c r="R259" s="3" t="inlineStr">
        <is>
          <t>https://www.ikea.com.tw/zh/products/boxes-and-organisers/boxes-and-baskets/drona-spr-59634302</t>
        </is>
      </c>
      <c r="S259" s="2" t="inlineStr">
        <is>
          <t>官網</t>
        </is>
      </c>
      <c r="T259" s="2" t="inlineStr">
        <is>
          <t>high</t>
        </is>
      </c>
      <c r="U259" s="2" t="inlineStr">
        <is>
          <t>包裝內含 3件裝；收納盒＋蓋子組合，外寸為官網組合尺寸；內附：1 x 收納盒 DRÖNA 18x25x15 公分 3 x 蓋子 DRÖNA 26x19 公分；各色商品編號：深灰色=596.343.02、黑色=796.343.01、白色=196.345.06；尺寸適用於BILLY書櫃和其他最少深18公分的層架組；適用於BILLY書櫃</t>
        </is>
      </c>
      <c r="V259" s="2" t="inlineStr"/>
    </row>
    <row r="260">
      <c r="A260" s="2" t="inlineStr">
        <is>
          <t>IKEA-012</t>
        </is>
      </c>
      <c r="B260" s="2" t="inlineStr">
        <is>
          <t>IKEA</t>
        </is>
      </c>
      <c r="C260" s="2" t="inlineStr">
        <is>
          <t>DRÖNA</t>
        </is>
      </c>
      <c r="D260" s="2" t="inlineStr">
        <is>
          <t>DRÖNA 附蓋收納盒 26x36x25 公分</t>
        </is>
      </c>
      <c r="E260" s="2" t="inlineStr">
        <is>
          <t>596.345.09</t>
        </is>
      </c>
      <c r="F260" s="2" t="n">
        <v>26</v>
      </c>
      <c r="G260" s="2" t="n">
        <v>36</v>
      </c>
      <c r="H260" s="2" t="n">
        <v>25</v>
      </c>
      <c r="I260" s="2" t="n"/>
      <c r="J260" s="2" t="n"/>
      <c r="K260" s="2" t="n"/>
      <c r="L260" s="2" t="inlineStr">
        <is>
          <t>收納盒；基本材質:100%聚酯纖維 (至少90%再生材料)；夾層材質:紙板 (至少30%再生材料)；裡布:100% 聚丙烯；底部:100%聚酯纖維 (至少90%再生材料), 100 % 聚氨酯；蓋子；表布:100%聚酯纖維 (至少90%再生材料)；夾層材質:聚丙烯塑膠；裡布:100% 聚丙烯 (至少30%再生材料)</t>
        </is>
      </c>
      <c r="M260" s="2" t="inlineStr">
        <is>
          <t>白色/深灰色/黑色</t>
        </is>
      </c>
      <c r="N260" s="2" t="inlineStr"/>
      <c r="O260" s="2" t="inlineStr">
        <is>
          <t>Y</t>
        </is>
      </c>
      <c r="P260" s="2" t="n">
        <v>139</v>
      </c>
      <c r="Q260" s="2" t="inlineStr">
        <is>
          <t>2026-10-26</t>
        </is>
      </c>
      <c r="R260" s="3" t="inlineStr">
        <is>
          <t>https://www.ikea.com.tw/zh/products/boxes-and-organisers/boxes-and-baskets/drona-spr-59634509</t>
        </is>
      </c>
      <c r="S260" s="2" t="inlineStr">
        <is>
          <t>官網</t>
        </is>
      </c>
      <c r="T260" s="2" t="inlineStr">
        <is>
          <t>high</t>
        </is>
      </c>
      <c r="U260" s="2" t="inlineStr">
        <is>
          <t>收納盒＋蓋子組合，外寸為官網組合尺寸；內附：1 x 收納盒 DRÖNA 25x35x25 公分 1 x 蓋子 DRÖNA 36x26 公分；各色商品編號：白色=596.345.09、深灰色=796.345.08、黑色=996.345.07；非常適合用於BILLY書櫃（深28公分）、BESTÅ收納系列（深40公分）以及其他層架最少深25公分的收納組內；適用BESTÅ層架組(深40公分)和BILLY書櫃</t>
        </is>
      </c>
      <c r="V260" s="2" t="inlineStr"/>
    </row>
    <row r="261">
      <c r="A261" s="2" t="inlineStr">
        <is>
          <t>IKEA-013</t>
        </is>
      </c>
      <c r="B261" s="2" t="inlineStr">
        <is>
          <t>IKEA</t>
        </is>
      </c>
      <c r="C261" s="2" t="inlineStr">
        <is>
          <t>DRÖNA</t>
        </is>
      </c>
      <c r="D261" s="2" t="inlineStr">
        <is>
          <t>DRÖNA 附蓋收納盒 34x39x33 公分</t>
        </is>
      </c>
      <c r="E261" s="2" t="inlineStr">
        <is>
          <t>996.345.12</t>
        </is>
      </c>
      <c r="F261" s="2" t="n">
        <v>34</v>
      </c>
      <c r="G261" s="2" t="n">
        <v>39</v>
      </c>
      <c r="H261" s="2" t="n">
        <v>33</v>
      </c>
      <c r="I261" s="2" t="n"/>
      <c r="J261" s="2" t="n"/>
      <c r="K261" s="2" t="n"/>
      <c r="L261" s="2" t="inlineStr">
        <is>
          <t>收納盒；基本材質:100%聚酯纖維 (至少90%再生材料)；夾層材質:紙板 (至少30%再生材料)；裡布:100% 聚丙烯；蓋子；表布:100%聚酯纖維 (至少90%再生材料)；夾層材質:聚丙烯塑膠；裡布:100% 聚丙烯 (至少30%再生材料)</t>
        </is>
      </c>
      <c r="M261" s="2" t="inlineStr">
        <is>
          <t>白色/深灰色/黑色</t>
        </is>
      </c>
      <c r="N261" s="2" t="inlineStr"/>
      <c r="O261" s="2" t="inlineStr">
        <is>
          <t>Y</t>
        </is>
      </c>
      <c r="P261" s="2" t="n">
        <v>199</v>
      </c>
      <c r="Q261" s="2" t="inlineStr">
        <is>
          <t>2026-10-26</t>
        </is>
      </c>
      <c r="R261" s="3" t="inlineStr">
        <is>
          <t>https://www.ikea.com.tw/zh/products/boxes-and-organisers/boxes-and-baskets/drona-spr-99634512</t>
        </is>
      </c>
      <c r="S261" s="2" t="inlineStr">
        <is>
          <t>官網</t>
        </is>
      </c>
      <c r="T261" s="2" t="inlineStr">
        <is>
          <t>high</t>
        </is>
      </c>
      <c r="U261" s="2" t="inlineStr">
        <is>
          <t>收納盒＋蓋子組合，外寸為官網組合尺寸；內附：1 x 收納盒 DRÖNA 33x38x33 公分 1 x 蓋子 DRÖNA 39x34 公分；各色商品編號：白色=996.345.12、深灰色=196.345.11、黑色=396.345.10；適用於KALLAX層架組，或其他深度至少38公分的層架；尺寸依KALLAX層架組設計</t>
        </is>
      </c>
      <c r="V261" s="2" t="inlineStr"/>
    </row>
    <row r="262">
      <c r="A262" s="2" t="inlineStr">
        <is>
          <t>IKEA-014</t>
        </is>
      </c>
      <c r="B262" s="2" t="inlineStr">
        <is>
          <t>IKEA</t>
        </is>
      </c>
      <c r="C262" s="2" t="inlineStr">
        <is>
          <t>DRÖNJÖNS</t>
        </is>
      </c>
      <c r="D262" s="2" t="inlineStr">
        <is>
          <t>DRÖNJÖNS 收納盒 33x37x33 公分</t>
        </is>
      </c>
      <c r="E262" s="2" t="inlineStr">
        <is>
          <t>005.154.95</t>
        </is>
      </c>
      <c r="F262" s="2" t="n">
        <v>33</v>
      </c>
      <c r="G262" s="2" t="n">
        <v>37</v>
      </c>
      <c r="H262" s="2" t="n">
        <v>33</v>
      </c>
      <c r="I262" s="2" t="n"/>
      <c r="J262" s="2" t="n"/>
      <c r="K262" s="2" t="n"/>
      <c r="L262" s="2" t="inlineStr">
        <is>
          <t>鋼質, 環氧/聚酯粉末塗料</t>
        </is>
      </c>
      <c r="M262" s="2" t="inlineStr">
        <is>
          <t>白色</t>
        </is>
      </c>
      <c r="N262" s="2" t="inlineStr"/>
      <c r="O262" s="2" t="inlineStr">
        <is>
          <t>N</t>
        </is>
      </c>
      <c r="P262" s="2" t="n">
        <v>399</v>
      </c>
      <c r="Q262" s="2" t="inlineStr">
        <is>
          <t>2026-10-26</t>
        </is>
      </c>
      <c r="R262" s="3" t="inlineStr">
        <is>
          <t>https://www.ikea.com.tw/zh/products/boxes-and-organisers/boxes-and-baskets/dronjons-art-00515495</t>
        </is>
      </c>
      <c r="S262" s="2" t="inlineStr">
        <is>
          <t>官網</t>
        </is>
      </c>
      <c r="T262" s="2" t="inlineStr">
        <is>
          <t>high</t>
        </is>
      </c>
      <c r="U262" s="2" t="inlineStr">
        <is>
          <t>可放在KALLAX層架組合及其他最少深38公分的層架組合內</t>
        </is>
      </c>
      <c r="V262" s="2" t="inlineStr"/>
    </row>
    <row r="263">
      <c r="A263" s="2" t="inlineStr">
        <is>
          <t>IKEA-015</t>
        </is>
      </c>
      <c r="B263" s="2" t="inlineStr">
        <is>
          <t>IKEA</t>
        </is>
      </c>
      <c r="C263" s="2" t="inlineStr">
        <is>
          <t>DRÖNJÖNS</t>
        </is>
      </c>
      <c r="D263" s="2" t="inlineStr">
        <is>
          <t>DRÖNJÖNS 文具收納盒 25x20 公分</t>
        </is>
      </c>
      <c r="E263" s="2" t="inlineStr">
        <is>
          <t>804.288.28</t>
        </is>
      </c>
      <c r="F263" s="2" t="n">
        <v>25</v>
      </c>
      <c r="G263" s="2" t="n">
        <v>20</v>
      </c>
      <c r="H263" s="2" t="n">
        <v>20</v>
      </c>
      <c r="I263" s="2" t="n"/>
      <c r="J263" s="2" t="n"/>
      <c r="K263" s="2" t="n"/>
      <c r="L263" s="2" t="inlineStr">
        <is>
          <t>基本材質:鋼質, 粉末塗層；防刮痕保護:100 % 聚酯纖維</t>
        </is>
      </c>
      <c r="M263" s="2" t="inlineStr">
        <is>
          <t>白色</t>
        </is>
      </c>
      <c r="N263" s="2" t="inlineStr"/>
      <c r="O263" s="2" t="inlineStr">
        <is>
          <t>N</t>
        </is>
      </c>
      <c r="P263" s="2" t="n">
        <v>399</v>
      </c>
      <c r="Q263" s="2" t="inlineStr">
        <is>
          <t>2026-10-26</t>
        </is>
      </c>
      <c r="R263" s="3" t="inlineStr">
        <is>
          <t>https://www.ikea.com.tw/zh/products/boxes-and-organisers/organisers/dronjons-art-80428828</t>
        </is>
      </c>
      <c r="S263" s="2" t="inlineStr">
        <is>
          <t>官網</t>
        </is>
      </c>
      <c r="T263" s="2" t="inlineStr">
        <is>
          <t>high</t>
        </is>
      </c>
      <c r="U263" s="2" t="inlineStr"/>
      <c r="V263" s="2" t="inlineStr"/>
    </row>
    <row r="264">
      <c r="A264" s="2" t="inlineStr">
        <is>
          <t>IKEA-016</t>
        </is>
      </c>
      <c r="B264" s="2" t="inlineStr">
        <is>
          <t>IKEA</t>
        </is>
      </c>
      <c r="C264" s="2" t="inlineStr">
        <is>
          <t>DRÖNJÖNS</t>
        </is>
      </c>
      <c r="D264" s="2" t="inlineStr">
        <is>
          <t>DRÖNJÖNS 文件匣 34x24x7 公分</t>
        </is>
      </c>
      <c r="E264" s="2" t="inlineStr">
        <is>
          <t>404.288.25</t>
        </is>
      </c>
      <c r="F264" s="2" t="n">
        <v>34</v>
      </c>
      <c r="G264" s="2" t="n">
        <v>24</v>
      </c>
      <c r="H264" s="2" t="n">
        <v>7</v>
      </c>
      <c r="I264" s="2" t="n"/>
      <c r="J264" s="2" t="n"/>
      <c r="K264" s="2" t="n"/>
      <c r="L264" s="2" t="inlineStr">
        <is>
          <t>鋼質, 粉末塗層</t>
        </is>
      </c>
      <c r="M264" s="2" t="inlineStr">
        <is>
          <t>白色</t>
        </is>
      </c>
      <c r="N264" s="2" t="inlineStr">
        <is>
          <t>Y</t>
        </is>
      </c>
      <c r="O264" s="2" t="inlineStr">
        <is>
          <t>N</t>
        </is>
      </c>
      <c r="P264" s="2" t="n"/>
      <c r="Q264" s="2" t="inlineStr">
        <is>
          <t>2026-10-26</t>
        </is>
      </c>
      <c r="R264" s="3" t="inlineStr">
        <is>
          <t>https://www.ikea.com.tw/zh/products/boxes-and-organisers/organisers/dronjons-art-40428825</t>
        </is>
      </c>
      <c r="S264" s="2" t="inlineStr">
        <is>
          <t>官網</t>
        </is>
      </c>
      <c r="T264" s="2" t="inlineStr">
        <is>
          <t>high</t>
        </is>
      </c>
      <c r="U264" s="2" t="inlineStr">
        <is>
          <t>SET:404.288.25|299|2|2;同尺寸2件裝，整包價299；文件匣；包裝內含 2件裝；容易堆疊，也可分開使用</t>
        </is>
      </c>
      <c r="V264" s="2" t="inlineStr">
        <is>
          <t>整組 NT$299，此尺寸 2 件／共 2 件</t>
        </is>
      </c>
    </row>
    <row r="265">
      <c r="A265" s="2" t="inlineStr">
        <is>
          <t>IKEA-017</t>
        </is>
      </c>
      <c r="B265" s="2" t="inlineStr">
        <is>
          <t>IKEA</t>
        </is>
      </c>
      <c r="C265" s="2" t="inlineStr">
        <is>
          <t>FJÄDERHARV</t>
        </is>
      </c>
      <c r="D265" s="2" t="inlineStr">
        <is>
          <t>FJÄDERHARV 附蓋收納盒 25x35x16 公分</t>
        </is>
      </c>
      <c r="E265" s="2" t="inlineStr">
        <is>
          <t>105.969.24</t>
        </is>
      </c>
      <c r="F265" s="2" t="n">
        <v>25</v>
      </c>
      <c r="G265" s="2" t="n">
        <v>35</v>
      </c>
      <c r="H265" s="2" t="n">
        <v>16</v>
      </c>
      <c r="I265" s="2" t="n"/>
      <c r="J265" s="2" t="n"/>
      <c r="K265" s="2" t="n"/>
      <c r="L265" s="2" t="inlineStr">
        <is>
          <t>紙板 (至少100%再生材料), 紙</t>
        </is>
      </c>
      <c r="M265" s="2" t="inlineStr">
        <is>
          <t>白色/碳黑色</t>
        </is>
      </c>
      <c r="N265" s="2" t="inlineStr"/>
      <c r="O265" s="2" t="inlineStr">
        <is>
          <t>Y</t>
        </is>
      </c>
      <c r="P265" s="2" t="n">
        <v>149</v>
      </c>
      <c r="Q265" s="2" t="inlineStr">
        <is>
          <t>2026-10-26</t>
        </is>
      </c>
      <c r="R265" s="3" t="inlineStr">
        <is>
          <t>https://www.ikea.com.tw/zh/products/boxes-and-organisers/boxes-and-baskets/fjaderharv-art-10596924</t>
        </is>
      </c>
      <c r="S265" s="2" t="inlineStr">
        <is>
          <t>官網</t>
        </is>
      </c>
      <c r="T265" s="2" t="inlineStr">
        <is>
          <t>high</t>
        </is>
      </c>
      <c r="U265" s="2" t="inlineStr">
        <is>
          <t>官網標示為長度×寬度×高度，outer_d 填「長度」值；各色商品編號：白色=105.969.24、碳黑色=905.969.20；尺寸適用於我們大部分最少深25公分的收納系列內。BESTÅ收納組尤為合適；盒子堅固耐用，且附有裁切的把手孔，方便從層架拉出、提起；FJÄDERHARV系列的產品，容易搭配並提供相同的高度，賦予書櫃整潔的外觀</t>
        </is>
      </c>
      <c r="V265" s="2" t="inlineStr"/>
    </row>
    <row r="266">
      <c r="A266" s="2" t="inlineStr">
        <is>
          <t>IKEA-018</t>
        </is>
      </c>
      <c r="B266" s="2" t="inlineStr">
        <is>
          <t>IKEA</t>
        </is>
      </c>
      <c r="C266" s="2" t="inlineStr">
        <is>
          <t>FJÄDERHARV</t>
        </is>
      </c>
      <c r="D266" s="2" t="inlineStr">
        <is>
          <t>FJÄDERHARV 附蓋收納盒 32x35x31 公分</t>
        </is>
      </c>
      <c r="E266" s="2" t="inlineStr">
        <is>
          <t>605.969.26</t>
        </is>
      </c>
      <c r="F266" s="2" t="n">
        <v>32</v>
      </c>
      <c r="G266" s="2" t="n">
        <v>35</v>
      </c>
      <c r="H266" s="2" t="n">
        <v>31</v>
      </c>
      <c r="I266" s="2" t="n"/>
      <c r="J266" s="2" t="n"/>
      <c r="K266" s="2" t="n"/>
      <c r="L266" s="2" t="inlineStr">
        <is>
          <t>紙板 (至少100%再生材料), 紙</t>
        </is>
      </c>
      <c r="M266" s="2" t="inlineStr">
        <is>
          <t>白色/碳黑色</t>
        </is>
      </c>
      <c r="N266" s="2" t="inlineStr"/>
      <c r="O266" s="2" t="inlineStr">
        <is>
          <t>Y</t>
        </is>
      </c>
      <c r="P266" s="2" t="n">
        <v>199</v>
      </c>
      <c r="Q266" s="2" t="inlineStr">
        <is>
          <t>2026-10-26</t>
        </is>
      </c>
      <c r="R266" s="3" t="inlineStr">
        <is>
          <t>https://www.ikea.com.tw/zh/products/boxes-and-organisers/boxes-and-baskets/fjaderharv-art-60596926</t>
        </is>
      </c>
      <c r="S266" s="2" t="inlineStr">
        <is>
          <t>官網</t>
        </is>
      </c>
      <c r="T266" s="2" t="inlineStr">
        <is>
          <t>high</t>
        </is>
      </c>
      <c r="U266" s="2" t="inlineStr">
        <is>
          <t>官網標示為長度×寬度×高度，outer_d 填「長度」值；各色商品編號：白色=605.969.26、碳黑色=505.969.22；FJÄDERHARV系列的產品，容易搭配並提供相同的高度，賦予書櫃整潔的外觀；適用於KALLAX層架組，或其他深度至少38公分的層架；盒子堅固耐用，且附有裁切的把手孔，方便從層架拉出、提起</t>
        </is>
      </c>
      <c r="V266" s="2" t="inlineStr"/>
    </row>
    <row r="267">
      <c r="A267" s="2" t="inlineStr">
        <is>
          <t>IKEA-019</t>
        </is>
      </c>
      <c r="B267" s="2" t="inlineStr">
        <is>
          <t>IKEA</t>
        </is>
      </c>
      <c r="C267" s="2" t="inlineStr">
        <is>
          <t>FODERTRÅG</t>
        </is>
      </c>
      <c r="D267" s="2" t="inlineStr">
        <is>
          <t>FODERTRÅG 桌面/牆面收納盒 25x18x15 公分</t>
        </is>
      </c>
      <c r="E267" s="2" t="inlineStr">
        <is>
          <t>705.907.64</t>
        </is>
      </c>
      <c r="F267" s="2" t="n">
        <v>25</v>
      </c>
      <c r="G267" s="2" t="n">
        <v>18</v>
      </c>
      <c r="H267" s="2" t="n">
        <v>15</v>
      </c>
      <c r="I267" s="2" t="n"/>
      <c r="J267" s="2" t="n"/>
      <c r="K267" s="2" t="n"/>
      <c r="L267" s="2" t="inlineStr">
        <is>
          <t>聚丙烯塑膠 (至少50%再生材料)</t>
        </is>
      </c>
      <c r="M267" s="2" t="inlineStr">
        <is>
          <t>亮黃色/淺灰色/灰藍色</t>
        </is>
      </c>
      <c r="N267" s="2" t="inlineStr">
        <is>
          <t>Y</t>
        </is>
      </c>
      <c r="O267" s="2" t="inlineStr">
        <is>
          <t>N</t>
        </is>
      </c>
      <c r="P267" s="2" t="n">
        <v>99</v>
      </c>
      <c r="Q267" s="2" t="inlineStr">
        <is>
          <t>2026-10-26</t>
        </is>
      </c>
      <c r="R267" s="3" t="inlineStr">
        <is>
          <t>https://www.ikea.com.tw/zh/products/boxes-and-organisers/organisers/fodertrag-art-70590764</t>
        </is>
      </c>
      <c r="S267" s="2" t="inlineStr">
        <is>
          <t>官網</t>
        </is>
      </c>
      <c r="T267" s="2" t="inlineStr">
        <is>
          <t>high</t>
        </is>
      </c>
      <c r="U267" s="2" t="inlineStr">
        <is>
          <t>各色商品編號：亮黃色=705.907.64、淺灰色=405.907.65、灰藍色=905.907.63；可使放一個或多個收納架在書桌或層架上，打造實用的收納解決方案。 你也可以將它們固定在牆上(螺絲需另購)</t>
        </is>
      </c>
      <c r="V267" s="2" t="inlineStr"/>
    </row>
    <row r="268">
      <c r="A268" s="2" t="inlineStr">
        <is>
          <t>IKEA-020</t>
        </is>
      </c>
      <c r="B268" s="2" t="inlineStr">
        <is>
          <t>IKEA</t>
        </is>
      </c>
      <c r="C268" s="2" t="inlineStr">
        <is>
          <t>FÅNGGRÖDA</t>
        </is>
      </c>
      <c r="D268" s="2" t="inlineStr">
        <is>
          <t>FÅNGGRÖDA 隔層儲物格 35x24x14 公分</t>
        </is>
      </c>
      <c r="E268" s="2" t="inlineStr">
        <is>
          <t>905.595.26</t>
        </is>
      </c>
      <c r="F268" s="2" t="n">
        <v>35</v>
      </c>
      <c r="G268" s="2" t="n">
        <v>24</v>
      </c>
      <c r="H268" s="2" t="n">
        <v>14</v>
      </c>
      <c r="I268" s="2" t="n"/>
      <c r="J268" s="2" t="n"/>
      <c r="K268" s="2" t="n"/>
      <c r="L268" s="2" t="inlineStr">
        <is>
          <t>聚丙烯塑膠 (至少20%再生材料)</t>
        </is>
      </c>
      <c r="M268" s="2" t="inlineStr">
        <is>
          <t>淺灰色</t>
        </is>
      </c>
      <c r="N268" s="2" t="inlineStr"/>
      <c r="O268" s="2" t="inlineStr">
        <is>
          <t>N</t>
        </is>
      </c>
      <c r="P268" s="2" t="n">
        <v>149</v>
      </c>
      <c r="Q268" s="2" t="inlineStr">
        <is>
          <t>2026-10-26</t>
        </is>
      </c>
      <c r="R268" s="3" t="inlineStr">
        <is>
          <t>https://www.ikea.com.tw/zh/products/boxes-and-organisers/organisers/fanggroda-art-90559526</t>
        </is>
      </c>
      <c r="S268" s="2" t="inlineStr">
        <is>
          <t>官網</t>
        </is>
      </c>
      <c r="T268" s="2" t="inlineStr">
        <is>
          <t>high</t>
        </is>
      </c>
      <c r="U268" s="2" t="inlineStr">
        <is>
          <t>4個間隔讓你可以有效地用盡抽屜的空間，連較細小的配件都放得妥當；適合搭配BOAXEL和JONAXEL網籃，亦可以用於其他抽屜和收納櫃；可以將多個FÅNGGRÖDA隔層儲物架放在同一抽屜內，善用空間之餘又能井井有條</t>
        </is>
      </c>
      <c r="V268" s="2" t="inlineStr"/>
    </row>
    <row r="269">
      <c r="A269" s="2" t="inlineStr">
        <is>
          <t>IKEA-021</t>
        </is>
      </c>
      <c r="B269" s="2" t="inlineStr">
        <is>
          <t>IKEA</t>
        </is>
      </c>
      <c r="C269" s="2" t="inlineStr">
        <is>
          <t>GJÄTTA</t>
        </is>
      </c>
      <c r="D269" s="2" t="inlineStr">
        <is>
          <t>GJÄTTA 附蓋收納盒 25x35x20 公分</t>
        </is>
      </c>
      <c r="E269" s="2" t="inlineStr">
        <is>
          <t>005.996.78</t>
        </is>
      </c>
      <c r="F269" s="2" t="n">
        <v>25</v>
      </c>
      <c r="G269" s="2" t="n">
        <v>35</v>
      </c>
      <c r="H269" s="2" t="n">
        <v>20</v>
      </c>
      <c r="I269" s="2" t="n"/>
      <c r="J269" s="2" t="n"/>
      <c r="K269" s="2" t="n"/>
      <c r="L269" s="2" t="inlineStr">
        <is>
          <t>紙板 (至少100%再生材料), 100 % 聚酯纖維, 無氯漂白紙</t>
        </is>
      </c>
      <c r="M269" s="2" t="inlineStr">
        <is>
          <t>絲絨 深綠色</t>
        </is>
      </c>
      <c r="N269" s="2" t="inlineStr"/>
      <c r="O269" s="2" t="inlineStr">
        <is>
          <t>Y</t>
        </is>
      </c>
      <c r="P269" s="2" t="n">
        <v>349</v>
      </c>
      <c r="Q269" s="2" t="inlineStr">
        <is>
          <t>2026-10-26</t>
        </is>
      </c>
      <c r="R269" s="3" t="inlineStr">
        <is>
          <t>https://www.ikea.com.tw/zh/products/boxes-and-organisers/boxes-and-baskets/gjatta-art-00599678</t>
        </is>
      </c>
      <c r="S269" s="2" t="inlineStr">
        <is>
          <t>官網</t>
        </is>
      </c>
      <c r="T269" s="2" t="inlineStr">
        <is>
          <t>high</t>
        </is>
      </c>
      <c r="U269" s="2" t="inlineStr">
        <is>
          <t>官網標示為長度×寬度×高度，outer_d 填「長度」值；尺寸適用於我們大部分最少深25公分的收納系列內。BESTÅ收納組尤為合適</t>
        </is>
      </c>
      <c r="V269" s="2" t="inlineStr"/>
    </row>
    <row r="270">
      <c r="A270" s="2" t="inlineStr">
        <is>
          <t>IKEA-022</t>
        </is>
      </c>
      <c r="B270" s="2" t="inlineStr">
        <is>
          <t>IKEA</t>
        </is>
      </c>
      <c r="C270" s="2" t="inlineStr">
        <is>
          <t>GJÄTTA</t>
        </is>
      </c>
      <c r="D270" s="2" t="inlineStr">
        <is>
          <t>GJÄTTA 附蓋收納盒 32x35x32 公分</t>
        </is>
      </c>
      <c r="E270" s="2" t="inlineStr">
        <is>
          <t>005.996.83</t>
        </is>
      </c>
      <c r="F270" s="2" t="n">
        <v>32</v>
      </c>
      <c r="G270" s="2" t="n">
        <v>35</v>
      </c>
      <c r="H270" s="2" t="n">
        <v>32</v>
      </c>
      <c r="I270" s="2" t="n"/>
      <c r="J270" s="2" t="n"/>
      <c r="K270" s="2" t="n"/>
      <c r="L270" s="2" t="inlineStr">
        <is>
          <t>紙板 (至少100%再生材料), 100 % 聚酯纖維, 無氯漂白紙</t>
        </is>
      </c>
      <c r="M270" s="2" t="inlineStr">
        <is>
          <t>絲絨 深綠色</t>
        </is>
      </c>
      <c r="N270" s="2" t="inlineStr"/>
      <c r="O270" s="2" t="inlineStr">
        <is>
          <t>Y</t>
        </is>
      </c>
      <c r="P270" s="2" t="n">
        <v>499</v>
      </c>
      <c r="Q270" s="2" t="inlineStr">
        <is>
          <t>2026-10-26</t>
        </is>
      </c>
      <c r="R270" s="3" t="inlineStr">
        <is>
          <t>https://www.ikea.com.tw/zh/products/boxes-and-organisers/boxes-and-baskets/gjatta-art-00599683</t>
        </is>
      </c>
      <c r="S270" s="2" t="inlineStr">
        <is>
          <t>官網</t>
        </is>
      </c>
      <c r="T270" s="2" t="inlineStr">
        <is>
          <t>high</t>
        </is>
      </c>
      <c r="U270" s="2" t="inlineStr">
        <is>
          <t>官網標示為長度×寬度×高度，outer_d 填「長度」值；適合放入KALLAX層架組合和其他最少深35公分的層架內</t>
        </is>
      </c>
      <c r="V270" s="2" t="inlineStr"/>
    </row>
    <row r="271">
      <c r="A271" s="2" t="inlineStr">
        <is>
          <t>IKEA-023</t>
        </is>
      </c>
      <c r="B271" s="2" t="inlineStr">
        <is>
          <t>IKEA</t>
        </is>
      </c>
      <c r="C271" s="2" t="inlineStr">
        <is>
          <t>GJÄTTA</t>
        </is>
      </c>
      <c r="D271" s="2" t="inlineStr">
        <is>
          <t>GJÄTTA 附蓋收納盒 18x25x15 公分</t>
        </is>
      </c>
      <c r="E271" s="2" t="inlineStr">
        <is>
          <t>605.996.80</t>
        </is>
      </c>
      <c r="F271" s="2" t="n">
        <v>18</v>
      </c>
      <c r="G271" s="2" t="n">
        <v>25</v>
      </c>
      <c r="H271" s="2" t="n">
        <v>15</v>
      </c>
      <c r="I271" s="2" t="n"/>
      <c r="J271" s="2" t="n"/>
      <c r="K271" s="2" t="n"/>
      <c r="L271" s="2" t="inlineStr">
        <is>
          <t>紙板 (至少100%再生材料), 100 % 聚酯纖維, 無氯漂白紙</t>
        </is>
      </c>
      <c r="M271" s="2" t="inlineStr">
        <is>
          <t>絲絨 淺灰色</t>
        </is>
      </c>
      <c r="N271" s="2" t="inlineStr"/>
      <c r="O271" s="2" t="inlineStr">
        <is>
          <t>Y</t>
        </is>
      </c>
      <c r="P271" s="2" t="n">
        <v>199</v>
      </c>
      <c r="Q271" s="2" t="inlineStr">
        <is>
          <t>2026-10-26</t>
        </is>
      </c>
      <c r="R271" s="3" t="inlineStr">
        <is>
          <t>https://www.ikea.com.tw/zh/products/boxes-and-organisers/boxes-and-baskets/gjatta-art-60599680</t>
        </is>
      </c>
      <c r="S271" s="2" t="inlineStr">
        <is>
          <t>官網</t>
        </is>
      </c>
      <c r="T271" s="2" t="inlineStr">
        <is>
          <t>high</t>
        </is>
      </c>
      <c r="U271" s="2" t="inlineStr">
        <is>
          <t>官網標示為長度×寬度×高度，outer_d 填「長度」值；尺寸適用於BILLY書櫃和其他最少深18公分的層架組</t>
        </is>
      </c>
      <c r="V271" s="2" t="inlineStr"/>
    </row>
    <row r="272">
      <c r="A272" s="2" t="inlineStr">
        <is>
          <t>IKEA-024</t>
        </is>
      </c>
      <c r="B272" s="2" t="inlineStr">
        <is>
          <t>IKEA</t>
        </is>
      </c>
      <c r="C272" s="2" t="inlineStr">
        <is>
          <t>GÄRDESGÅRD</t>
        </is>
      </c>
      <c r="D272" s="2" t="inlineStr">
        <is>
          <t>GÄRDESGÅRD 附蓋收納盒 25x35x16 公分</t>
        </is>
      </c>
      <c r="E272" s="2" t="inlineStr">
        <is>
          <t>805.969.54</t>
        </is>
      </c>
      <c r="F272" s="2" t="n">
        <v>25</v>
      </c>
      <c r="G272" s="2" t="n">
        <v>35</v>
      </c>
      <c r="H272" s="2" t="n">
        <v>16</v>
      </c>
      <c r="I272" s="2" t="n"/>
      <c r="J272" s="2" t="n"/>
      <c r="K272" s="2" t="n"/>
      <c r="L272" s="2" t="inlineStr">
        <is>
          <t>紙板 (至少100%再生材料), 紙</t>
        </is>
      </c>
      <c r="M272" s="2" t="inlineStr">
        <is>
          <t>自然色</t>
        </is>
      </c>
      <c r="N272" s="2" t="inlineStr"/>
      <c r="O272" s="2" t="inlineStr">
        <is>
          <t>Y</t>
        </is>
      </c>
      <c r="P272" s="2" t="n">
        <v>179</v>
      </c>
      <c r="Q272" s="2" t="inlineStr">
        <is>
          <t>2026-10-26</t>
        </is>
      </c>
      <c r="R272" s="3" t="inlineStr">
        <is>
          <t>https://www.ikea.com.tw/zh/products/boxes-and-organisers/boxes-and-baskets/gardesgard-art-80596954</t>
        </is>
      </c>
      <c r="S272" s="2" t="inlineStr">
        <is>
          <t>官網</t>
        </is>
      </c>
      <c r="T272" s="2" t="inlineStr">
        <is>
          <t>high</t>
        </is>
      </c>
      <c r="U272" s="2" t="inlineStr">
        <is>
          <t>官網標示為長度×寬度×高度，outer_d 填「長度」值；盒子堅固耐用，且附有裁切的把手孔，方便從層架拉出、提起；GÄRDESGÅRD系列的產品，容易搭配並提供相同的高度，賦予書櫃整潔的外觀</t>
        </is>
      </c>
      <c r="V272" s="2" t="inlineStr"/>
    </row>
    <row r="273">
      <c r="A273" s="2" t="inlineStr">
        <is>
          <t>IKEA-025</t>
        </is>
      </c>
      <c r="B273" s="2" t="inlineStr">
        <is>
          <t>IKEA</t>
        </is>
      </c>
      <c r="C273" s="2" t="inlineStr">
        <is>
          <t>GÄRDESGÅRD</t>
        </is>
      </c>
      <c r="D273" s="2" t="inlineStr">
        <is>
          <t>GÄRDESGÅRD 附蓋收納盒 32x35x31 公分</t>
        </is>
      </c>
      <c r="E273" s="2" t="inlineStr">
        <is>
          <t>305.969.56</t>
        </is>
      </c>
      <c r="F273" s="2" t="n">
        <v>32</v>
      </c>
      <c r="G273" s="2" t="n">
        <v>35</v>
      </c>
      <c r="H273" s="2" t="n">
        <v>31</v>
      </c>
      <c r="I273" s="2" t="n"/>
      <c r="J273" s="2" t="n"/>
      <c r="K273" s="2" t="n"/>
      <c r="L273" s="2" t="inlineStr">
        <is>
          <t>紙板 (至少100%再生材料), 紙</t>
        </is>
      </c>
      <c r="M273" s="2" t="inlineStr">
        <is>
          <t>自然色</t>
        </is>
      </c>
      <c r="N273" s="2" t="inlineStr"/>
      <c r="O273" s="2" t="inlineStr">
        <is>
          <t>Y</t>
        </is>
      </c>
      <c r="P273" s="2" t="n">
        <v>249</v>
      </c>
      <c r="Q273" s="2" t="inlineStr">
        <is>
          <t>2026-10-26</t>
        </is>
      </c>
      <c r="R273" s="3" t="inlineStr">
        <is>
          <t>https://www.ikea.com.tw/zh/products/boxes-and-organisers/boxes-and-baskets/gardesgard-art-30596956</t>
        </is>
      </c>
      <c r="S273" s="2" t="inlineStr">
        <is>
          <t>官網</t>
        </is>
      </c>
      <c r="T273" s="2" t="inlineStr">
        <is>
          <t>high</t>
        </is>
      </c>
      <c r="U273" s="2" t="inlineStr">
        <is>
          <t>官網標示為長度×寬度×高度，outer_d 填「長度」值；GÄRDESGÅRD系列的產品，容易搭配並提供相同的高度，賦予書櫃整潔的外觀；盒子堅固耐用，且附有裁切的把手孔，方便從層架拉出、提起</t>
        </is>
      </c>
      <c r="V273" s="2" t="inlineStr"/>
    </row>
    <row r="274">
      <c r="A274" s="2" t="inlineStr">
        <is>
          <t>IKEA-026</t>
        </is>
      </c>
      <c r="B274" s="2" t="inlineStr">
        <is>
          <t>IKEA</t>
        </is>
      </c>
      <c r="C274" s="2" t="inlineStr">
        <is>
          <t>HARVMATTA</t>
        </is>
      </c>
      <c r="D274" s="2" t="inlineStr">
        <is>
          <t>HARVMATTA 分格收納盒 24x18x6 公分</t>
        </is>
      </c>
      <c r="E274" s="2" t="inlineStr">
        <is>
          <t>005.553.06</t>
        </is>
      </c>
      <c r="F274" s="2" t="n">
        <v>18</v>
      </c>
      <c r="G274" s="2" t="n">
        <v>24</v>
      </c>
      <c r="H274" s="2" t="n">
        <v>6</v>
      </c>
      <c r="I274" s="2" t="n"/>
      <c r="J274" s="2" t="n"/>
      <c r="K274" s="2" t="n"/>
      <c r="L274" s="2" t="inlineStr">
        <is>
          <t>鋼質, 環氧/聚酯粉末塗料, 軟木</t>
        </is>
      </c>
      <c r="M274" s="2" t="inlineStr">
        <is>
          <t>深米灰色</t>
        </is>
      </c>
      <c r="N274" s="2" t="inlineStr"/>
      <c r="O274" s="2" t="inlineStr">
        <is>
          <t>N</t>
        </is>
      </c>
      <c r="P274" s="2" t="n">
        <v>399</v>
      </c>
      <c r="Q274" s="2" t="inlineStr">
        <is>
          <t>2026-10-26</t>
        </is>
      </c>
      <c r="R274" s="3" t="inlineStr">
        <is>
          <t>https://www.ikea.com.tw/zh/products/boxes-and-organisers/organisers/harvmatta-art-00555306</t>
        </is>
      </c>
      <c r="S274" s="2" t="inlineStr">
        <is>
          <t>官網</t>
        </is>
      </c>
      <c r="T274" s="2" t="inlineStr">
        <is>
          <t>high</t>
        </is>
      </c>
      <c r="U274" s="2" t="inlineStr">
        <is>
          <t>官網商品說明提及「連蓋盒子」，但品名未標附蓋；has_lid 依品名填 N，待確認；官網標示為長度×寬度×高度，outer_d 填「長度」值；這個連蓋盒子設計精美，隨時可以變成書桌上或書櫃內最吸引的裝飾品。可以單獨放置或搭配其他盒子一併使用</t>
        </is>
      </c>
      <c r="V274" s="2" t="inlineStr"/>
    </row>
    <row r="275">
      <c r="A275" s="2" t="inlineStr">
        <is>
          <t>IKEA-027</t>
        </is>
      </c>
      <c r="B275" s="2" t="inlineStr">
        <is>
          <t>IKEA</t>
        </is>
      </c>
      <c r="C275" s="2" t="inlineStr">
        <is>
          <t>HARVMATTA</t>
        </is>
      </c>
      <c r="D275" s="2" t="inlineStr">
        <is>
          <t>HARVMATTA 附蓋收納盒 24x35x6 公分</t>
        </is>
      </c>
      <c r="E275" s="2" t="inlineStr">
        <is>
          <t>105.553.01</t>
        </is>
      </c>
      <c r="F275" s="2" t="n">
        <v>24</v>
      </c>
      <c r="G275" s="2" t="n">
        <v>35</v>
      </c>
      <c r="H275" s="2" t="n">
        <v>6</v>
      </c>
      <c r="I275" s="2" t="n"/>
      <c r="J275" s="2" t="n"/>
      <c r="K275" s="2" t="n"/>
      <c r="L275" s="2" t="inlineStr">
        <is>
          <t>鋼質, 環氧/聚酯粉末塗料, 軟木</t>
        </is>
      </c>
      <c r="M275" s="2" t="inlineStr">
        <is>
          <t>碳黑色</t>
        </is>
      </c>
      <c r="N275" s="2" t="inlineStr">
        <is>
          <t>Y</t>
        </is>
      </c>
      <c r="O275" s="2" t="inlineStr">
        <is>
          <t>Y</t>
        </is>
      </c>
      <c r="P275" s="2" t="n">
        <v>499</v>
      </c>
      <c r="Q275" s="2" t="inlineStr">
        <is>
          <t>2026-10-26</t>
        </is>
      </c>
      <c r="R275" s="3" t="inlineStr">
        <is>
          <t>https://www.ikea.com.tw/zh/products/boxes-and-organisers/organisers/harvmatta-art-10555301</t>
        </is>
      </c>
      <c r="S275" s="2" t="inlineStr">
        <is>
          <t>官網</t>
        </is>
      </c>
      <c r="T275" s="2" t="inlineStr">
        <is>
          <t>high</t>
        </is>
      </c>
      <c r="U275" s="2" t="inlineStr">
        <is>
          <t>這個連蓋盒子設計精美，隨時可以變成書桌上或書櫃內最吸引的裝飾品。可以單獨放置或搭配其他盒子一併使用</t>
        </is>
      </c>
      <c r="V275" s="2" t="inlineStr"/>
    </row>
    <row r="276">
      <c r="A276" s="2" t="inlineStr">
        <is>
          <t>IKEA-028</t>
        </is>
      </c>
      <c r="B276" s="2" t="inlineStr">
        <is>
          <t>IKEA</t>
        </is>
      </c>
      <c r="C276" s="2" t="inlineStr">
        <is>
          <t>HEMMAFIXARE</t>
        </is>
      </c>
      <c r="D276" s="2" t="inlineStr">
        <is>
          <t>HEMMAFIXARE 鞋盒 23x34x19 公分</t>
        </is>
      </c>
      <c r="E276" s="2" t="inlineStr">
        <is>
          <t>505.039.23</t>
        </is>
      </c>
      <c r="F276" s="2" t="n">
        <v>23</v>
      </c>
      <c r="G276" s="2" t="n">
        <v>34</v>
      </c>
      <c r="H276" s="2" t="n">
        <v>19</v>
      </c>
      <c r="I276" s="2" t="n"/>
      <c r="J276" s="2" t="n"/>
      <c r="K276" s="2" t="n"/>
      <c r="L276" s="2" t="inlineStr">
        <is>
          <t>布料:100 % 聚乙烯塑膠, 100%聚酯纖維 (至少90%再生材料)；支撐布料:100 % PEVA塑膠；插入配件/ 連接條:聚丙烯塑膠；彈性帶:100 % 聚酯纖維</t>
        </is>
      </c>
      <c r="M276" s="2" t="inlineStr">
        <is>
          <t>布 條紋+白色+灰色</t>
        </is>
      </c>
      <c r="N276" s="2" t="inlineStr">
        <is>
          <t>Y</t>
        </is>
      </c>
      <c r="O276" s="2" t="inlineStr">
        <is>
          <t>N</t>
        </is>
      </c>
      <c r="P276" s="2" t="n"/>
      <c r="Q276" s="2" t="inlineStr">
        <is>
          <t>2026-10-26</t>
        </is>
      </c>
      <c r="R276" s="3" t="inlineStr">
        <is>
          <t>https://www.ikea.com.tw/zh/products/clothes-and-shoe-organisers-and-accessories/clothes-and-shoes-organisers/hemmafixare-art-50503923</t>
        </is>
      </c>
      <c r="S276" s="2" t="inlineStr">
        <is>
          <t>官網</t>
        </is>
      </c>
      <c r="T276" s="2" t="inlineStr">
        <is>
          <t>high</t>
        </is>
      </c>
      <c r="U276" s="2" t="inlineStr">
        <is>
          <t>SET:505.039.23|399|2|2;同尺寸2件裝，整包價399；包裝內含 2件裝；開口在前面，即使上下堆疊，也容易拿取鞋子；這個鞋盒除了可以放在PAX衣櫥系列中，放到其他你喜歡的位置也十分合適；專為PAX衣櫃所設計</t>
        </is>
      </c>
      <c r="V276" s="2" t="inlineStr">
        <is>
          <t>整組 NT$399，此尺寸 2 件／共 2 件</t>
        </is>
      </c>
    </row>
    <row r="277">
      <c r="A277" s="2" t="inlineStr">
        <is>
          <t>IKEA-029</t>
        </is>
      </c>
      <c r="B277" s="2" t="inlineStr">
        <is>
          <t>IKEA</t>
        </is>
      </c>
      <c r="C277" s="2" t="inlineStr">
        <is>
          <t>HÖVAGN</t>
        </is>
      </c>
      <c r="D277" s="2" t="inlineStr">
        <is>
          <t>HÖVAGN 附蓋收納盒 6x9x3.5 公分</t>
        </is>
      </c>
      <c r="E277" s="2" t="inlineStr">
        <is>
          <t>205.343.94</t>
        </is>
      </c>
      <c r="F277" s="2" t="n">
        <v>6</v>
      </c>
      <c r="G277" s="2" t="n">
        <v>9</v>
      </c>
      <c r="H277" s="2" t="n">
        <v>3.5</v>
      </c>
      <c r="I277" s="2" t="n"/>
      <c r="J277" s="2" t="n"/>
      <c r="K277" s="2" t="n"/>
      <c r="L277" s="2" t="inlineStr">
        <is>
          <t>盒:聚丙烯塑膠；彈片:聚丙烯塑膠, 聚丙烯塑膠</t>
        </is>
      </c>
      <c r="M277" s="2" t="inlineStr"/>
      <c r="N277" s="2" t="inlineStr">
        <is>
          <t>Y</t>
        </is>
      </c>
      <c r="O277" s="2" t="inlineStr">
        <is>
          <t>Y</t>
        </is>
      </c>
      <c r="P277" s="2" t="n"/>
      <c r="Q277" s="2" t="inlineStr">
        <is>
          <t>2026-10-26</t>
        </is>
      </c>
      <c r="R277" s="3" t="inlineStr">
        <is>
          <t>https://www.ikea.com.tw/zh/products/boxes-and-organisers/organisers/hovagn-art-20534394</t>
        </is>
      </c>
      <c r="S277" s="2" t="inlineStr">
        <is>
          <t>官網</t>
        </is>
      </c>
      <c r="T277" s="2" t="inlineStr">
        <is>
          <t>high</t>
        </is>
      </c>
      <c r="U277" s="2" t="inlineStr">
        <is>
          <t>SET:205.343.94|59|4|4;同尺寸4件裝，整包價59；官網標示為長度×寬度×高度，outer_d 填「長度」值；包裝內含 4件裝</t>
        </is>
      </c>
      <c r="V277" s="2" t="inlineStr">
        <is>
          <t>整組 NT$59，此尺寸 4 件／共 4 件</t>
        </is>
      </c>
    </row>
    <row r="278">
      <c r="A278" s="2" t="inlineStr">
        <is>
          <t>IKEA-030</t>
        </is>
      </c>
      <c r="B278" s="2" t="inlineStr">
        <is>
          <t>IKEA</t>
        </is>
      </c>
      <c r="C278" s="2" t="inlineStr">
        <is>
          <t>HÖVAGN</t>
        </is>
      </c>
      <c r="D278" s="2" t="inlineStr">
        <is>
          <t>HÖVAGN 附蓋收納盒 6x9x5.5 公分</t>
        </is>
      </c>
      <c r="E278" s="2" t="inlineStr">
        <is>
          <t>705.343.96</t>
        </is>
      </c>
      <c r="F278" s="2" t="n">
        <v>6</v>
      </c>
      <c r="G278" s="2" t="n">
        <v>9</v>
      </c>
      <c r="H278" s="2" t="n">
        <v>5.5</v>
      </c>
      <c r="I278" s="2" t="n"/>
      <c r="J278" s="2" t="n"/>
      <c r="K278" s="2" t="n"/>
      <c r="L278" s="2" t="inlineStr">
        <is>
          <t>盒:聚丙烯塑膠；彈片:聚丙烯塑膠, 聚丙烯塑膠</t>
        </is>
      </c>
      <c r="M278" s="2" t="inlineStr"/>
      <c r="N278" s="2" t="inlineStr">
        <is>
          <t>Y</t>
        </is>
      </c>
      <c r="O278" s="2" t="inlineStr">
        <is>
          <t>Y</t>
        </is>
      </c>
      <c r="P278" s="2" t="n"/>
      <c r="Q278" s="2" t="inlineStr">
        <is>
          <t>2026-10-26</t>
        </is>
      </c>
      <c r="R278" s="3" t="inlineStr">
        <is>
          <t>https://www.ikea.com.tw/zh/products/boxes-and-organisers/organisers/hovagn-art-70534396</t>
        </is>
      </c>
      <c r="S278" s="2" t="inlineStr">
        <is>
          <t>官網</t>
        </is>
      </c>
      <c r="T278" s="2" t="inlineStr">
        <is>
          <t>high</t>
        </is>
      </c>
      <c r="U278" s="2" t="inlineStr">
        <is>
          <t>SET:705.343.96|59|3|3;同尺寸3件裝，整包價59；官網標示為長度×寬度×高度，outer_d 填「長度」值；包裝內含 3件裝</t>
        </is>
      </c>
      <c r="V278" s="2" t="inlineStr">
        <is>
          <t>整組 NT$59，此尺寸 3 件／共 3 件</t>
        </is>
      </c>
    </row>
    <row r="279">
      <c r="A279" s="2" t="inlineStr">
        <is>
          <t>IKEA-031</t>
        </is>
      </c>
      <c r="B279" s="2" t="inlineStr">
        <is>
          <t>IKEA</t>
        </is>
      </c>
      <c r="C279" s="2" t="inlineStr">
        <is>
          <t>HÖVAGN</t>
        </is>
      </c>
      <c r="D279" s="2" t="inlineStr">
        <is>
          <t>HÖVAGN 附蓋收納盒 8x12x5 公分</t>
        </is>
      </c>
      <c r="E279" s="2" t="inlineStr">
        <is>
          <t>505.343.97</t>
        </is>
      </c>
      <c r="F279" s="2" t="n">
        <v>8</v>
      </c>
      <c r="G279" s="2" t="n">
        <v>12</v>
      </c>
      <c r="H279" s="2" t="n">
        <v>5</v>
      </c>
      <c r="I279" s="2" t="n"/>
      <c r="J279" s="2" t="n"/>
      <c r="K279" s="2" t="n"/>
      <c r="L279" s="2" t="inlineStr">
        <is>
          <t>盒:聚丙烯塑膠；彈片:聚丙烯塑膠, 聚丙烯塑膠</t>
        </is>
      </c>
      <c r="M279" s="2" t="inlineStr"/>
      <c r="N279" s="2" t="inlineStr">
        <is>
          <t>Y</t>
        </is>
      </c>
      <c r="O279" s="2" t="inlineStr">
        <is>
          <t>Y</t>
        </is>
      </c>
      <c r="P279" s="2" t="n"/>
      <c r="Q279" s="2" t="inlineStr">
        <is>
          <t>2026-10-26</t>
        </is>
      </c>
      <c r="R279" s="3" t="inlineStr">
        <is>
          <t>https://www.ikea.com.tw/zh/products/boxes-and-organisers/organisers/hovagn-art-50534397</t>
        </is>
      </c>
      <c r="S279" s="2" t="inlineStr">
        <is>
          <t>官網</t>
        </is>
      </c>
      <c r="T279" s="2" t="inlineStr">
        <is>
          <t>high</t>
        </is>
      </c>
      <c r="U279" s="2" t="inlineStr">
        <is>
          <t>SET:505.343.97|59|3|3;同尺寸3件裝，整包價59；官網標示為長度×寬度×高度，outer_d 填「長度」值；包裝內含 3件裝</t>
        </is>
      </c>
      <c r="V279" s="2" t="inlineStr">
        <is>
          <t>整組 NT$59，此尺寸 3 件／共 3 件</t>
        </is>
      </c>
    </row>
    <row r="280">
      <c r="A280" s="2" t="inlineStr">
        <is>
          <t>IKEA-032</t>
        </is>
      </c>
      <c r="B280" s="2" t="inlineStr">
        <is>
          <t>IKEA</t>
        </is>
      </c>
      <c r="C280" s="2" t="inlineStr">
        <is>
          <t>HÖVAGN</t>
        </is>
      </c>
      <c r="D280" s="2" t="inlineStr">
        <is>
          <t>HÖVAGN 附蓋收納盒 8x12x7 公分</t>
        </is>
      </c>
      <c r="E280" s="2" t="inlineStr">
        <is>
          <t>305.343.98</t>
        </is>
      </c>
      <c r="F280" s="2" t="n">
        <v>8</v>
      </c>
      <c r="G280" s="2" t="n">
        <v>12</v>
      </c>
      <c r="H280" s="2" t="n">
        <v>7</v>
      </c>
      <c r="I280" s="2" t="n"/>
      <c r="J280" s="2" t="n"/>
      <c r="K280" s="2" t="n"/>
      <c r="L280" s="2" t="inlineStr">
        <is>
          <t>盒:聚丙烯塑膠；彈片:聚丙烯塑膠, 聚丙烯塑膠</t>
        </is>
      </c>
      <c r="M280" s="2" t="inlineStr"/>
      <c r="N280" s="2" t="inlineStr">
        <is>
          <t>Y</t>
        </is>
      </c>
      <c r="O280" s="2" t="inlineStr">
        <is>
          <t>Y</t>
        </is>
      </c>
      <c r="P280" s="2" t="n"/>
      <c r="Q280" s="2" t="inlineStr">
        <is>
          <t>2026-10-26</t>
        </is>
      </c>
      <c r="R280" s="3" t="inlineStr">
        <is>
          <t>https://www.ikea.com.tw/zh/products/boxes-and-organisers/organisers/hovagn-art-30534398</t>
        </is>
      </c>
      <c r="S280" s="2" t="inlineStr">
        <is>
          <t>官網</t>
        </is>
      </c>
      <c r="T280" s="2" t="inlineStr">
        <is>
          <t>high</t>
        </is>
      </c>
      <c r="U280" s="2" t="inlineStr">
        <is>
          <t>SET:305.343.98|59|2|2;同尺寸2件裝，整包價59；官網標示為長度×寬度×高度，outer_d 填「長度」值；包裝內含 2件裝</t>
        </is>
      </c>
      <c r="V280" s="2" t="inlineStr">
        <is>
          <t>整組 NT$59，此尺寸 2 件／共 2 件</t>
        </is>
      </c>
    </row>
    <row r="281">
      <c r="A281" s="2" t="inlineStr">
        <is>
          <t>IKEA-033</t>
        </is>
      </c>
      <c r="B281" s="2" t="inlineStr">
        <is>
          <t>IKEA</t>
        </is>
      </c>
      <c r="C281" s="2" t="inlineStr">
        <is>
          <t>JÄGMÄSTARE</t>
        </is>
      </c>
      <c r="D281" s="2" t="inlineStr">
        <is>
          <t>JÄGMÄSTARE 置物籃 25x35x20 公分</t>
        </is>
      </c>
      <c r="E281" s="2" t="inlineStr">
        <is>
          <t>405.558.75</t>
        </is>
      </c>
      <c r="F281" s="2" t="n">
        <v>25</v>
      </c>
      <c r="G281" s="2" t="n">
        <v>35</v>
      </c>
      <c r="H281" s="2" t="n">
        <v>20</v>
      </c>
      <c r="I281" s="2" t="n"/>
      <c r="J281" s="2" t="n"/>
      <c r="K281" s="2" t="n"/>
      <c r="L281" s="2" t="inlineStr">
        <is>
          <t>盒/箱:100%聚酯纖維 (至少80%再生材料)；鈕扣:鋅</t>
        </is>
      </c>
      <c r="M281" s="2" t="inlineStr"/>
      <c r="N281" s="2" t="inlineStr"/>
      <c r="O281" s="2" t="inlineStr">
        <is>
          <t>N</t>
        </is>
      </c>
      <c r="P281" s="2" t="n">
        <v>299</v>
      </c>
      <c r="Q281" s="2" t="inlineStr">
        <is>
          <t>2026-10-26</t>
        </is>
      </c>
      <c r="R281" s="3" t="inlineStr">
        <is>
          <t>https://www.ikea.com.tw/zh/products/boxes-and-organisers/boxes-and-baskets/jagmastare-art-40555875</t>
        </is>
      </c>
      <c r="S281" s="2" t="inlineStr">
        <is>
          <t>官網</t>
        </is>
      </c>
      <c r="T281" s="2" t="inlineStr">
        <is>
          <t>high</t>
        </is>
      </c>
      <c r="U281" s="2" t="inlineStr">
        <is>
          <t>適合放在衣櫃內放衣物和配飾，又或是放在書櫃內收納電線和電子配件</t>
        </is>
      </c>
      <c r="V281" s="2" t="inlineStr"/>
    </row>
    <row r="282">
      <c r="A282" s="2" t="inlineStr">
        <is>
          <t>IKEA-034</t>
        </is>
      </c>
      <c r="B282" s="2" t="inlineStr">
        <is>
          <t>IKEA</t>
        </is>
      </c>
      <c r="C282" s="2" t="inlineStr">
        <is>
          <t>KACKLA</t>
        </is>
      </c>
      <c r="D282" s="2" t="inlineStr">
        <is>
          <t>KACKLA 延伸儲物盒 13-18x9 公分</t>
        </is>
      </c>
      <c r="E282" s="2" t="inlineStr">
        <is>
          <t>005.343.85</t>
        </is>
      </c>
      <c r="F282" s="2" t="n">
        <v>12.5</v>
      </c>
      <c r="G282" s="2" t="n">
        <v>9</v>
      </c>
      <c r="H282" s="2" t="n">
        <v>6.7</v>
      </c>
      <c r="I282" s="2" t="n"/>
      <c r="J282" s="2" t="n"/>
      <c r="K282" s="2" t="n"/>
      <c r="L282" s="2" t="inlineStr">
        <is>
          <t>聚丙烯塑膠</t>
        </is>
      </c>
      <c r="M282" s="2" t="inlineStr">
        <is>
          <t>白色</t>
        </is>
      </c>
      <c r="N282" s="2" t="inlineStr"/>
      <c r="O282" s="2" t="inlineStr">
        <is>
          <t>N</t>
        </is>
      </c>
      <c r="P282" s="2" t="n">
        <v>59</v>
      </c>
      <c r="Q282" s="2" t="inlineStr">
        <is>
          <t>2026-10-26</t>
        </is>
      </c>
      <c r="R282" s="3" t="inlineStr">
        <is>
          <t>https://www.ikea.com.tw/zh/products/boxes-and-organisers/organisers/kackla-art-00534385</t>
        </is>
      </c>
      <c r="S282" s="2" t="inlineStr">
        <is>
          <t>官網</t>
        </is>
      </c>
      <c r="T282" s="2" t="inlineStr">
        <is>
          <t>high</t>
        </is>
      </c>
      <c r="U282" s="2" t="inlineStr">
        <is>
          <t>可伸縮，寬度 12.5–17.5 公分（outer_w 填最小寬度）</t>
        </is>
      </c>
      <c r="V282" s="2" t="inlineStr"/>
    </row>
    <row r="283">
      <c r="A283" s="2" t="inlineStr">
        <is>
          <t>IKEA-035</t>
        </is>
      </c>
      <c r="B283" s="2" t="inlineStr">
        <is>
          <t>IKEA</t>
        </is>
      </c>
      <c r="C283" s="2" t="inlineStr">
        <is>
          <t>KACKLA</t>
        </is>
      </c>
      <c r="D283" s="2" t="inlineStr">
        <is>
          <t>KACKLA 延伸儲物盒 18-28x13 公分</t>
        </is>
      </c>
      <c r="E283" s="2" t="inlineStr">
        <is>
          <t>805.343.86</t>
        </is>
      </c>
      <c r="F283" s="2" t="n">
        <v>18</v>
      </c>
      <c r="G283" s="2" t="n">
        <v>12.5</v>
      </c>
      <c r="H283" s="2" t="n">
        <v>6.7</v>
      </c>
      <c r="I283" s="2" t="n"/>
      <c r="J283" s="2" t="n"/>
      <c r="K283" s="2" t="n"/>
      <c r="L283" s="2" t="inlineStr">
        <is>
          <t>聚丙烯塑膠</t>
        </is>
      </c>
      <c r="M283" s="2" t="inlineStr">
        <is>
          <t>白色</t>
        </is>
      </c>
      <c r="N283" s="2" t="inlineStr"/>
      <c r="O283" s="2" t="inlineStr">
        <is>
          <t>N</t>
        </is>
      </c>
      <c r="P283" s="2" t="n">
        <v>79</v>
      </c>
      <c r="Q283" s="2" t="inlineStr">
        <is>
          <t>2026-10-26</t>
        </is>
      </c>
      <c r="R283" s="3" t="inlineStr">
        <is>
          <t>https://www.ikea.com.tw/zh/products/boxes-and-organisers/organisers/kackla-art-80534386</t>
        </is>
      </c>
      <c r="S283" s="2" t="inlineStr">
        <is>
          <t>官網</t>
        </is>
      </c>
      <c r="T283" s="2" t="inlineStr">
        <is>
          <t>high</t>
        </is>
      </c>
      <c r="U283" s="2" t="inlineStr">
        <is>
          <t>可伸縮，寬度 18–28 公分（outer_w 填最小寬度）</t>
        </is>
      </c>
      <c r="V283" s="2" t="inlineStr"/>
    </row>
    <row r="284">
      <c r="A284" s="2" t="inlineStr">
        <is>
          <t>IKEA-036</t>
        </is>
      </c>
      <c r="B284" s="2" t="inlineStr">
        <is>
          <t>IKEA</t>
        </is>
      </c>
      <c r="C284" s="2" t="inlineStr">
        <is>
          <t>KACKLA</t>
        </is>
      </c>
      <c r="D284" s="2" t="inlineStr">
        <is>
          <t>KACKLA 延伸儲物盒 25-38x19 公分</t>
        </is>
      </c>
      <c r="E284" s="2" t="inlineStr">
        <is>
          <t>305.343.84</t>
        </is>
      </c>
      <c r="F284" s="2" t="n">
        <v>25</v>
      </c>
      <c r="G284" s="2" t="n">
        <v>18.5</v>
      </c>
      <c r="H284" s="2" t="n">
        <v>6.7</v>
      </c>
      <c r="I284" s="2" t="n"/>
      <c r="J284" s="2" t="n"/>
      <c r="K284" s="2" t="n"/>
      <c r="L284" s="2" t="inlineStr">
        <is>
          <t>聚丙烯塑膠</t>
        </is>
      </c>
      <c r="M284" s="2" t="inlineStr">
        <is>
          <t>白色</t>
        </is>
      </c>
      <c r="N284" s="2" t="inlineStr"/>
      <c r="O284" s="2" t="inlineStr">
        <is>
          <t>N</t>
        </is>
      </c>
      <c r="P284" s="2" t="n">
        <v>99</v>
      </c>
      <c r="Q284" s="2" t="inlineStr">
        <is>
          <t>2026-10-26</t>
        </is>
      </c>
      <c r="R284" s="3" t="inlineStr">
        <is>
          <t>https://www.ikea.com.tw/zh/products/boxes-and-organisers/organisers/kackla-art-30534384</t>
        </is>
      </c>
      <c r="S284" s="2" t="inlineStr">
        <is>
          <t>官網</t>
        </is>
      </c>
      <c r="T284" s="2" t="inlineStr">
        <is>
          <t>high</t>
        </is>
      </c>
      <c r="U284" s="2" t="inlineStr">
        <is>
          <t>可伸縮，寬度 25–38 公分（outer_w 填最小寬度）</t>
        </is>
      </c>
      <c r="V284" s="2" t="inlineStr"/>
    </row>
    <row r="285">
      <c r="A285" s="2" t="inlineStr">
        <is>
          <t>IKEA-037</t>
        </is>
      </c>
      <c r="B285" s="2" t="inlineStr">
        <is>
          <t>IKEA</t>
        </is>
      </c>
      <c r="C285" s="2" t="inlineStr">
        <is>
          <t>KACKLA</t>
        </is>
      </c>
      <c r="D285" s="2" t="inlineStr">
        <is>
          <t>KACKLA 延伸儲物盒 25-38x9 公分</t>
        </is>
      </c>
      <c r="E285" s="2" t="inlineStr">
        <is>
          <t>505.343.83</t>
        </is>
      </c>
      <c r="F285" s="2" t="n">
        <v>25</v>
      </c>
      <c r="G285" s="2" t="n">
        <v>9</v>
      </c>
      <c r="H285" s="2" t="n">
        <v>6.7</v>
      </c>
      <c r="I285" s="2" t="n"/>
      <c r="J285" s="2" t="n"/>
      <c r="K285" s="2" t="n"/>
      <c r="L285" s="2" t="inlineStr">
        <is>
          <t>聚丙烯塑膠</t>
        </is>
      </c>
      <c r="M285" s="2" t="inlineStr">
        <is>
          <t>白色</t>
        </is>
      </c>
      <c r="N285" s="2" t="inlineStr"/>
      <c r="O285" s="2" t="inlineStr">
        <is>
          <t>N</t>
        </is>
      </c>
      <c r="P285" s="2" t="n">
        <v>89</v>
      </c>
      <c r="Q285" s="2" t="inlineStr">
        <is>
          <t>2026-10-26</t>
        </is>
      </c>
      <c r="R285" s="3" t="inlineStr">
        <is>
          <t>https://www.ikea.com.tw/zh/products/boxes-and-organisers/organisers/kackla-art-50534383</t>
        </is>
      </c>
      <c r="S285" s="2" t="inlineStr">
        <is>
          <t>官網</t>
        </is>
      </c>
      <c r="T285" s="2" t="inlineStr">
        <is>
          <t>high</t>
        </is>
      </c>
      <c r="U285" s="2" t="inlineStr">
        <is>
          <t>可伸縮，寬度 25–38 公分（outer_w 填最小寬度）</t>
        </is>
      </c>
      <c r="V285" s="2" t="inlineStr"/>
    </row>
    <row r="286">
      <c r="A286" s="2" t="inlineStr">
        <is>
          <t>IKEA-038</t>
        </is>
      </c>
      <c r="B286" s="2" t="inlineStr">
        <is>
          <t>IKEA</t>
        </is>
      </c>
      <c r="C286" s="2" t="inlineStr">
        <is>
          <t>KNAGGLIG</t>
        </is>
      </c>
      <c r="D286" s="2" t="inlineStr">
        <is>
          <t>KNAGGLIG 收納盒 23x31x15 公分</t>
        </is>
      </c>
      <c r="E286" s="2" t="inlineStr">
        <is>
          <t>502.923.60</t>
        </is>
      </c>
      <c r="F286" s="2" t="n">
        <v>23</v>
      </c>
      <c r="G286" s="2" t="n">
        <v>31</v>
      </c>
      <c r="H286" s="2" t="n">
        <v>15</v>
      </c>
      <c r="I286" s="2" t="n"/>
      <c r="J286" s="2" t="n"/>
      <c r="K286" s="2" t="n"/>
      <c r="L286" s="2" t="inlineStr">
        <is>
          <t>基本材質:實心松木；其它配件:鋼質, 鍍鋅</t>
        </is>
      </c>
      <c r="M286" s="2" t="inlineStr">
        <is>
          <t>松木</t>
        </is>
      </c>
      <c r="N286" s="2" t="inlineStr">
        <is>
          <t>Y</t>
        </is>
      </c>
      <c r="O286" s="2" t="inlineStr">
        <is>
          <t>N</t>
        </is>
      </c>
      <c r="P286" s="2" t="n">
        <v>299</v>
      </c>
      <c r="Q286" s="2" t="inlineStr">
        <is>
          <t>2026-10-26</t>
        </is>
      </c>
      <c r="R286" s="3" t="inlineStr">
        <is>
          <t>https://www.ikea.com.tw/zh/products/boxes-and-organisers/boxes-and-baskets/knagglig-art-50292360</t>
        </is>
      </c>
      <c r="S286" s="2" t="inlineStr">
        <is>
          <t>官網</t>
        </is>
      </c>
      <c r="T286" s="2" t="inlineStr">
        <is>
          <t>high</t>
        </is>
      </c>
      <c r="U286" s="2" t="inlineStr">
        <is>
          <t>可上下堆疊2個盒子，節省空間；適用於深30公分IVAR層架組</t>
        </is>
      </c>
      <c r="V286" s="2" t="inlineStr"/>
    </row>
    <row r="287">
      <c r="A287" s="2" t="inlineStr">
        <is>
          <t>IKEA-039</t>
        </is>
      </c>
      <c r="B287" s="2" t="inlineStr">
        <is>
          <t>IKEA</t>
        </is>
      </c>
      <c r="C287" s="2" t="inlineStr">
        <is>
          <t>KNIPSA</t>
        </is>
      </c>
      <c r="D287" s="2" t="inlineStr">
        <is>
          <t>KNIPSA 置物籃 32x33x32 公分</t>
        </is>
      </c>
      <c r="E287" s="2" t="inlineStr">
        <is>
          <t>901.732.99</t>
        </is>
      </c>
      <c r="F287" s="2" t="n">
        <v>32</v>
      </c>
      <c r="G287" s="2" t="n">
        <v>33</v>
      </c>
      <c r="H287" s="2" t="n">
        <v>32</v>
      </c>
      <c r="I287" s="2" t="n"/>
      <c r="J287" s="2" t="n"/>
      <c r="K287" s="2" t="n"/>
      <c r="L287" s="2" t="inlineStr">
        <is>
          <t>海草, 壓克力亮光漆, 鋼質, 環氧/聚酯粉末塗料</t>
        </is>
      </c>
      <c r="M287" s="2" t="inlineStr">
        <is>
          <t>海草</t>
        </is>
      </c>
      <c r="N287" s="2" t="inlineStr"/>
      <c r="O287" s="2" t="inlineStr">
        <is>
          <t>N</t>
        </is>
      </c>
      <c r="P287" s="2" t="n">
        <v>799</v>
      </c>
      <c r="Q287" s="2" t="inlineStr">
        <is>
          <t>2026-10-26</t>
        </is>
      </c>
      <c r="R287" s="3" t="inlineStr">
        <is>
          <t>https://www.ikea.com.tw/zh/products/boxes-and-organisers/boxes-and-baskets/knipsa-art-90173299</t>
        </is>
      </c>
      <c r="S287" s="2" t="inlineStr">
        <is>
          <t>官網</t>
        </is>
      </c>
      <c r="T287" s="2" t="inlineStr">
        <is>
          <t>high</t>
        </is>
      </c>
      <c r="U287" s="2" t="inlineStr">
        <is>
          <t>適合搭配KALLAX層架組</t>
        </is>
      </c>
      <c r="V287" s="2" t="inlineStr"/>
    </row>
    <row r="288">
      <c r="A288" s="2" t="inlineStr">
        <is>
          <t>IKEA-040</t>
        </is>
      </c>
      <c r="B288" s="2" t="inlineStr">
        <is>
          <t>IKEA</t>
        </is>
      </c>
      <c r="C288" s="2" t="inlineStr">
        <is>
          <t>KOMPLEMENT</t>
        </is>
      </c>
      <c r="D288" s="2" t="inlineStr">
        <is>
          <t>KOMPLEMENT 收納盒 15x27x12 公分</t>
        </is>
      </c>
      <c r="E288" s="2" t="inlineStr">
        <is>
          <t>204.057.78</t>
        </is>
      </c>
      <c r="F288" s="2" t="n">
        <v>15</v>
      </c>
      <c r="G288" s="2" t="n">
        <v>27</v>
      </c>
      <c r="H288" s="2" t="n">
        <v>12</v>
      </c>
      <c r="I288" s="2" t="n"/>
      <c r="J288" s="2" t="n"/>
      <c r="K288" s="2" t="n"/>
      <c r="L288" s="2" t="inlineStr">
        <is>
          <t>100%聚酯纖維</t>
        </is>
      </c>
      <c r="M288" s="2" t="inlineStr">
        <is>
          <t>淺灰色</t>
        </is>
      </c>
      <c r="N288" s="2" t="inlineStr"/>
      <c r="O288" s="2" t="inlineStr">
        <is>
          <t>N</t>
        </is>
      </c>
      <c r="P288" s="2" t="n"/>
      <c r="Q288" s="2" t="inlineStr">
        <is>
          <t>2026-10-26</t>
        </is>
      </c>
      <c r="R288" s="3" t="inlineStr">
        <is>
          <t>https://www.ikea.com.tw/zh/products/boxes-and-organisers/organisers/komplement-art-20405778</t>
        </is>
      </c>
      <c r="S288" s="2" t="inlineStr">
        <is>
          <t>官網</t>
        </is>
      </c>
      <c r="T288" s="2" t="inlineStr">
        <is>
          <t>high</t>
        </is>
      </c>
      <c r="U288" s="2" t="inlineStr">
        <is>
          <t>SET:204.057.78|299|2|2;同尺寸2件裝，整包價299；包裝內含 2件裝；放在衣櫃內，整齊收納衣物配飾；這個收納盒除了可以放在PAX衣櫥系列中，放到其他你喜歡的位置也十分合適；適用於PAX櫃框內的KOMPLEMENT抽屜和外拉式收納盤；50x58公分KOMPLEMENT抽屜可搭配：1個KOMPLEMENT收納盒(15x27x12公分)、1個KOMPLEMENT收納盒(25x27x12公分)</t>
        </is>
      </c>
      <c r="V288" s="2" t="inlineStr">
        <is>
          <t>整組 NT$299，此尺寸 2 件／共 2 件</t>
        </is>
      </c>
    </row>
    <row r="289">
      <c r="A289" s="2" t="inlineStr">
        <is>
          <t>IKEA-041</t>
        </is>
      </c>
      <c r="B289" s="2" t="inlineStr">
        <is>
          <t>IKEA</t>
        </is>
      </c>
      <c r="C289" s="2" t="inlineStr">
        <is>
          <t>KOMPLEMENT</t>
        </is>
      </c>
      <c r="D289" s="2" t="inlineStr">
        <is>
          <t>KOMPLEMENT 收納盒 25x27x12 公分</t>
        </is>
      </c>
      <c r="E289" s="2" t="inlineStr">
        <is>
          <t>004.057.79</t>
        </is>
      </c>
      <c r="F289" s="2" t="n">
        <v>25</v>
      </c>
      <c r="G289" s="2" t="n">
        <v>26.5</v>
      </c>
      <c r="H289" s="2" t="n">
        <v>12</v>
      </c>
      <c r="I289" s="2" t="n"/>
      <c r="J289" s="2" t="n"/>
      <c r="K289" s="2" t="n"/>
      <c r="L289" s="2" t="inlineStr">
        <is>
          <t>100%聚酯纖維</t>
        </is>
      </c>
      <c r="M289" s="2" t="inlineStr">
        <is>
          <t>淺灰色</t>
        </is>
      </c>
      <c r="N289" s="2" t="inlineStr"/>
      <c r="O289" s="2" t="inlineStr">
        <is>
          <t>N</t>
        </is>
      </c>
      <c r="P289" s="2" t="n"/>
      <c r="Q289" s="2" t="inlineStr">
        <is>
          <t>2026-10-26</t>
        </is>
      </c>
      <c r="R289" s="3" t="inlineStr">
        <is>
          <t>https://www.ikea.com.tw/zh/products/boxes-and-organisers/organisers/komplement-art-00405779</t>
        </is>
      </c>
      <c r="S289" s="2" t="inlineStr">
        <is>
          <t>官網</t>
        </is>
      </c>
      <c r="T289" s="2" t="inlineStr">
        <is>
          <t>high</t>
        </is>
      </c>
      <c r="U289" s="2" t="inlineStr">
        <is>
          <t>SET:004.057.79|399|2|2;同尺寸2件裝，整包價399；包裝內含 2件裝；放在衣櫃內，整齊收納衣物配飾；這個收納盒除了可以放在PAX衣櫥系列中，放到其他你喜歡的位置也十分合適；適用於PAX櫃框內的KOMPLEMENT抽屜和外拉式收納盤；50x58公分KOMPLEMENT抽屜可搭配：1個KOMPLEMENT收納盒(15x27x12公分)、1個KOMPLEMENT收納盒(25x27x12公分)</t>
        </is>
      </c>
      <c r="V289" s="2" t="inlineStr">
        <is>
          <t>整組 NT$399，此尺寸 2 件／共 2 件</t>
        </is>
      </c>
    </row>
    <row r="290">
      <c r="A290" s="2" t="inlineStr">
        <is>
          <t>IKEA-042</t>
        </is>
      </c>
      <c r="B290" s="2" t="inlineStr">
        <is>
          <t>IKEA</t>
        </is>
      </c>
      <c r="C290" s="2" t="inlineStr">
        <is>
          <t>KOSINGEN</t>
        </is>
      </c>
      <c r="D290" s="2" t="inlineStr">
        <is>
          <t>KOSINGEN 收納盒 33x38x33 公分</t>
        </is>
      </c>
      <c r="E290" s="2" t="inlineStr">
        <is>
          <t>906.010.83</t>
        </is>
      </c>
      <c r="F290" s="2" t="n">
        <v>33</v>
      </c>
      <c r="G290" s="2" t="n">
        <v>38</v>
      </c>
      <c r="H290" s="2" t="n">
        <v>33</v>
      </c>
      <c r="I290" s="2" t="n"/>
      <c r="J290" s="2" t="n"/>
      <c r="K290" s="2" t="n"/>
      <c r="L290" s="2" t="inlineStr">
        <is>
          <t>基本材質:100% 聚丙烯 (至少60%再生材料)；夾層材質:紙板 (至少30%再生材料)</t>
        </is>
      </c>
      <c r="M290" s="2" t="inlineStr">
        <is>
          <t>淺灰色</t>
        </is>
      </c>
      <c r="N290" s="2" t="inlineStr"/>
      <c r="O290" s="2" t="inlineStr">
        <is>
          <t>N</t>
        </is>
      </c>
      <c r="P290" s="2" t="n">
        <v>149</v>
      </c>
      <c r="Q290" s="2" t="inlineStr">
        <is>
          <t>2026-10-26</t>
        </is>
      </c>
      <c r="R290" s="3" t="inlineStr">
        <is>
          <t>https://www.ikea.com.tw/zh/products/boxes-and-organisers/boxes-and-baskets/kosingen-art-90601083</t>
        </is>
      </c>
      <c r="S290" s="2" t="inlineStr">
        <is>
          <t>官網</t>
        </is>
      </c>
      <c r="T290" s="2" t="inlineStr">
        <is>
          <t>high</t>
        </is>
      </c>
      <c r="U290" s="2" t="inlineStr">
        <is>
          <t>官網標示為長度×寬度×高度，outer_d 填「長度」值；可放在KALLAX層架組合及其他最少深38公分的層架組合內；尺寸依KALLAX層架組設計</t>
        </is>
      </c>
      <c r="V290" s="2" t="inlineStr"/>
    </row>
    <row r="291">
      <c r="A291" s="2" t="inlineStr">
        <is>
          <t>IKEA-043</t>
        </is>
      </c>
      <c r="B291" s="2" t="inlineStr">
        <is>
          <t>IKEA</t>
        </is>
      </c>
      <c r="C291" s="2" t="inlineStr">
        <is>
          <t>KUGGIS</t>
        </is>
      </c>
      <c r="D291" s="2" t="inlineStr">
        <is>
          <t>KUGGIS 5隔層儲物格 17x26x4 公分</t>
        </is>
      </c>
      <c r="E291" s="2" t="inlineStr">
        <is>
          <t>206.033.11</t>
        </is>
      </c>
      <c r="F291" s="2" t="n">
        <v>17</v>
      </c>
      <c r="G291" s="2" t="n">
        <v>26</v>
      </c>
      <c r="H291" s="2" t="n">
        <v>4</v>
      </c>
      <c r="I291" s="2" t="n"/>
      <c r="J291" s="2" t="n"/>
      <c r="K291" s="2" t="n"/>
      <c r="L291" s="2" t="inlineStr">
        <is>
          <t>PET塑膠 (至少50%再生材料)</t>
        </is>
      </c>
      <c r="M291" s="2" t="inlineStr">
        <is>
          <t>白色</t>
        </is>
      </c>
      <c r="N291" s="2" t="inlineStr"/>
      <c r="O291" s="2" t="inlineStr">
        <is>
          <t>N</t>
        </is>
      </c>
      <c r="P291" s="2" t="n">
        <v>69</v>
      </c>
      <c r="Q291" s="2" t="inlineStr">
        <is>
          <t>2026-10-26</t>
        </is>
      </c>
      <c r="R291" s="3" t="inlineStr">
        <is>
          <t>https://www.ikea.com.tw/zh/products/boxes-and-organisers/organisers/kuggis-art-20603311</t>
        </is>
      </c>
      <c r="S291" s="2" t="inlineStr">
        <is>
          <t>官網</t>
        </is>
      </c>
      <c r="T291" s="2" t="inlineStr">
        <is>
          <t>high</t>
        </is>
      </c>
      <c r="U291" s="2" t="inlineStr">
        <is>
          <t>官網標示為長度×寬度×高度，outer_d 填「長度」值</t>
        </is>
      </c>
      <c r="V291" s="2" t="inlineStr"/>
    </row>
    <row r="292">
      <c r="A292" s="2" t="inlineStr">
        <is>
          <t>IKEA-044</t>
        </is>
      </c>
      <c r="B292" s="2" t="inlineStr">
        <is>
          <t>IKEA</t>
        </is>
      </c>
      <c r="C292" s="2" t="inlineStr">
        <is>
          <t>KUGGIS</t>
        </is>
      </c>
      <c r="D292" s="2" t="inlineStr">
        <is>
          <t>KUGGIS 收納盒 13x18x8 公分</t>
        </is>
      </c>
      <c r="E292" s="2" t="inlineStr">
        <is>
          <t>205.991.49</t>
        </is>
      </c>
      <c r="F292" s="2" t="n">
        <v>13</v>
      </c>
      <c r="G292" s="2" t="n">
        <v>18</v>
      </c>
      <c r="H292" s="2" t="n">
        <v>8</v>
      </c>
      <c r="I292" s="2" t="n"/>
      <c r="J292" s="2" t="n"/>
      <c r="K292" s="2" t="n"/>
      <c r="L292" s="2" t="inlineStr">
        <is>
          <t>PET塑膠 (至少50%再生材料)</t>
        </is>
      </c>
      <c r="M292" s="2" t="inlineStr">
        <is>
          <t>淺灰色/白色</t>
        </is>
      </c>
      <c r="N292" s="2" t="inlineStr"/>
      <c r="O292" s="2" t="inlineStr">
        <is>
          <t>N</t>
        </is>
      </c>
      <c r="P292" s="2" t="n">
        <v>69</v>
      </c>
      <c r="Q292" s="2" t="inlineStr">
        <is>
          <t>2026-10-26</t>
        </is>
      </c>
      <c r="R292" s="3" t="inlineStr">
        <is>
          <t>https://www.ikea.com.tw/zh/products/boxes-and-organisers/boxes-and-baskets/kuggis-art-20599149</t>
        </is>
      </c>
      <c r="S292" s="2" t="inlineStr">
        <is>
          <t>官網</t>
        </is>
      </c>
      <c r="T292" s="2" t="inlineStr">
        <is>
          <t>high</t>
        </is>
      </c>
      <c r="U292" s="2" t="inlineStr">
        <is>
          <t>各色商品編號：淺灰色=205.991.49、白色=205.685.48；同尺寸 KUGGIS 蓋子另售（白色/淺灰色/黑藍色/竹）；可放入最少深15公分的ENHET系列的櫃或架，或其他最少深13公分的收納架上；可以放置容易遺失的細小物件，放在層架或浴室收納櫃內使用最為合適；可搭配KUGGIS蓋子使用，有效防塵防污，方便堆疊擺放；耐用塑膠製造，部分採用再生材質；KUGGIS系列產品中所有尺寸均可相互搭配使用</t>
        </is>
      </c>
      <c r="V292" s="2" t="inlineStr"/>
    </row>
    <row r="293">
      <c r="A293" s="2" t="inlineStr">
        <is>
          <t>IKEA-045</t>
        </is>
      </c>
      <c r="B293" s="2" t="inlineStr">
        <is>
          <t>IKEA</t>
        </is>
      </c>
      <c r="C293" s="2" t="inlineStr">
        <is>
          <t>KUGGIS</t>
        </is>
      </c>
      <c r="D293" s="2" t="inlineStr">
        <is>
          <t>KUGGIS 收納盒 18x26x8 公分</t>
        </is>
      </c>
      <c r="E293" s="2" t="inlineStr">
        <is>
          <t>005.991.50</t>
        </is>
      </c>
      <c r="F293" s="2" t="n">
        <v>18</v>
      </c>
      <c r="G293" s="2" t="n">
        <v>26</v>
      </c>
      <c r="H293" s="2" t="n">
        <v>8</v>
      </c>
      <c r="I293" s="2" t="n"/>
      <c r="J293" s="2" t="n"/>
      <c r="K293" s="2" t="n"/>
      <c r="L293" s="2" t="inlineStr">
        <is>
          <t>PET塑膠 (至少50%再生材料)</t>
        </is>
      </c>
      <c r="M293" s="2" t="inlineStr">
        <is>
          <t>淺灰色/白色/黑藍色</t>
        </is>
      </c>
      <c r="N293" s="2" t="inlineStr"/>
      <c r="O293" s="2" t="inlineStr">
        <is>
          <t>N</t>
        </is>
      </c>
      <c r="P293" s="2" t="n">
        <v>89</v>
      </c>
      <c r="Q293" s="2" t="inlineStr">
        <is>
          <t>2026-10-26</t>
        </is>
      </c>
      <c r="R293" s="3" t="inlineStr">
        <is>
          <t>https://www.ikea.com.tw/zh/products/boxes-and-organisers/boxes-and-baskets/kuggis-art-00599150</t>
        </is>
      </c>
      <c r="S293" s="2" t="inlineStr">
        <is>
          <t>官網</t>
        </is>
      </c>
      <c r="T293" s="2" t="inlineStr">
        <is>
          <t>high</t>
        </is>
      </c>
      <c r="U293" s="2" t="inlineStr">
        <is>
          <t>各色商品編號：淺灰色=005.991.50、白色=105.685.63、黑藍色=406.101.98；同尺寸 KUGGIS 蓋子另售（白色/淺灰色/黑藍色/竹）；尺寸適用於BILLY書櫃和其他最少深18公分的層架組；放在書桌、層架上或衣櫃內，整齊收納充電器、化妝品或工作配件；可搭配KUGGIS蓋子使用，有效防塵防污，方便堆疊擺放；耐用塑膠製造，部分採用再生材質；KUGGIS系列產品中所有尺寸均可相互搭配使用</t>
        </is>
      </c>
      <c r="V293" s="2" t="inlineStr"/>
    </row>
    <row r="294">
      <c r="A294" s="2" t="inlineStr">
        <is>
          <t>IKEA-046</t>
        </is>
      </c>
      <c r="B294" s="2" t="inlineStr">
        <is>
          <t>IKEA</t>
        </is>
      </c>
      <c r="C294" s="2" t="inlineStr">
        <is>
          <t>KUGGIS</t>
        </is>
      </c>
      <c r="D294" s="2" t="inlineStr">
        <is>
          <t>KUGGIS 收納盒 18x26x15 公分</t>
        </is>
      </c>
      <c r="E294" s="2" t="inlineStr">
        <is>
          <t>305.991.58</t>
        </is>
      </c>
      <c r="F294" s="2" t="n">
        <v>18</v>
      </c>
      <c r="G294" s="2" t="n">
        <v>26</v>
      </c>
      <c r="H294" s="2" t="n">
        <v>15</v>
      </c>
      <c r="I294" s="2" t="n"/>
      <c r="J294" s="2" t="n"/>
      <c r="K294" s="2" t="n"/>
      <c r="L294" s="2" t="inlineStr">
        <is>
          <t>PET塑膠 (至少50%再生材料)</t>
        </is>
      </c>
      <c r="M294" s="2" t="inlineStr">
        <is>
          <t>淺灰色/白色</t>
        </is>
      </c>
      <c r="N294" s="2" t="inlineStr"/>
      <c r="O294" s="2" t="inlineStr">
        <is>
          <t>N</t>
        </is>
      </c>
      <c r="P294" s="2" t="n">
        <v>149</v>
      </c>
      <c r="Q294" s="2" t="inlineStr">
        <is>
          <t>2026-10-26</t>
        </is>
      </c>
      <c r="R294" s="3" t="inlineStr">
        <is>
          <t>https://www.ikea.com.tw/zh/products/boxes-and-organisers/boxes-and-baskets/kuggis-art-30599158</t>
        </is>
      </c>
      <c r="S294" s="2" t="inlineStr">
        <is>
          <t>官網</t>
        </is>
      </c>
      <c r="T294" s="2" t="inlineStr">
        <is>
          <t>high</t>
        </is>
      </c>
      <c r="U294" s="2" t="inlineStr">
        <is>
          <t>官網標示為長度×寬度×高度，outer_d 填「長度」值；容積 5.5公升；各色商品編號：淺灰色=305.991.58、白色=005.685.30；同尺寸 KUGGIS 蓋子另售（白色/淺灰色/黑藍色/竹）；尺寸適用於BILLY書櫃和其他最少深18公分的層架組；可搭配KUGGIS蓋子使用，有效防塵防污，方便堆疊擺放；耐用塑膠製造，部分採用再生材質；KUGGIS系列產品中所有尺寸均可相互搭配使用；KUGGIS系列的收納盒與蓋子，備有不同顏色和尺寸可供選擇，讓你根據喜好、空間和需求隨意混搭</t>
        </is>
      </c>
      <c r="V294" s="2" t="inlineStr"/>
    </row>
    <row r="295">
      <c r="A295" s="2" t="inlineStr">
        <is>
          <t>IKEA-047</t>
        </is>
      </c>
      <c r="B295" s="2" t="inlineStr">
        <is>
          <t>IKEA</t>
        </is>
      </c>
      <c r="C295" s="2" t="inlineStr">
        <is>
          <t>KUGGIS</t>
        </is>
      </c>
      <c r="D295" s="2" t="inlineStr">
        <is>
          <t>KUGGIS 收納盒 26x35x15 公分</t>
        </is>
      </c>
      <c r="E295" s="2" t="inlineStr">
        <is>
          <t>805.991.51</t>
        </is>
      </c>
      <c r="F295" s="2" t="n">
        <v>26</v>
      </c>
      <c r="G295" s="2" t="n">
        <v>35</v>
      </c>
      <c r="H295" s="2" t="n">
        <v>15</v>
      </c>
      <c r="I295" s="2" t="n"/>
      <c r="J295" s="2" t="n"/>
      <c r="K295" s="2" t="n"/>
      <c r="L295" s="2" t="inlineStr">
        <is>
          <t>PET塑膠 (至少50%再生材料)</t>
        </is>
      </c>
      <c r="M295" s="2" t="inlineStr">
        <is>
          <t>淺灰色/白色/黑藍色</t>
        </is>
      </c>
      <c r="N295" s="2" t="inlineStr"/>
      <c r="O295" s="2" t="inlineStr">
        <is>
          <t>N</t>
        </is>
      </c>
      <c r="P295" s="2" t="n">
        <v>189</v>
      </c>
      <c r="Q295" s="2" t="inlineStr">
        <is>
          <t>2026-10-26</t>
        </is>
      </c>
      <c r="R295" s="3" t="inlineStr">
        <is>
          <t>https://www.ikea.com.tw/zh/products/boxes-and-organisers/boxes-and-baskets/kuggis-art-80599151</t>
        </is>
      </c>
      <c r="S295" s="2" t="inlineStr">
        <is>
          <t>官網</t>
        </is>
      </c>
      <c r="T295" s="2" t="inlineStr">
        <is>
          <t>high</t>
        </is>
      </c>
      <c r="U295" s="2" t="inlineStr">
        <is>
          <t>各色商品編號：淺灰色=805.991.51、白色=705.685.36、黑藍色=806.102.00；同尺寸 KUGGIS 蓋子另售（白色/淺灰色/黑藍色/竹）；可搭配KUGGIS蓋子使用，有效防塵防污，方便堆疊擺放；耐用塑膠製造，部分採用再生材質；KUGGIS系列產品中所有尺寸均可相互搭配使用；KUGGIS系列的收納盒與蓋子，備有不同顏色和尺寸可供選擇，讓你根據喜好、空間和需求隨意混搭；尺寸適用於我們大部分最少深25公分的收納系列。 和BILLY書櫃和BESTÅ收納更是完美搭配</t>
        </is>
      </c>
      <c r="V295" s="2" t="inlineStr"/>
    </row>
    <row r="296">
      <c r="A296" s="2" t="inlineStr">
        <is>
          <t>IKEA-048</t>
        </is>
      </c>
      <c r="B296" s="2" t="inlineStr">
        <is>
          <t>IKEA</t>
        </is>
      </c>
      <c r="C296" s="2" t="inlineStr">
        <is>
          <t>KUGGIS</t>
        </is>
      </c>
      <c r="D296" s="2" t="inlineStr">
        <is>
          <t>KUGGIS 附蓋收納盒 13x18x8 公分</t>
        </is>
      </c>
      <c r="E296" s="2" t="inlineStr">
        <is>
          <t>295.967.59</t>
        </is>
      </c>
      <c r="F296" s="2" t="n">
        <v>13</v>
      </c>
      <c r="G296" s="2" t="n">
        <v>18</v>
      </c>
      <c r="H296" s="2" t="n">
        <v>8</v>
      </c>
      <c r="I296" s="2" t="n"/>
      <c r="J296" s="2" t="n"/>
      <c r="K296" s="2" t="n"/>
      <c r="L296" s="2" t="inlineStr">
        <is>
          <t>PET塑膠 (至少50%再生材料)</t>
        </is>
      </c>
      <c r="M296" s="2" t="inlineStr">
        <is>
          <t>淺灰色/淺灰色+竹/白色/白色+竹</t>
        </is>
      </c>
      <c r="N296" s="2" t="inlineStr">
        <is>
          <t>Y</t>
        </is>
      </c>
      <c r="O296" s="2" t="inlineStr">
        <is>
          <t>Y</t>
        </is>
      </c>
      <c r="P296" s="2" t="n">
        <v>99</v>
      </c>
      <c r="Q296" s="2" t="inlineStr">
        <is>
          <t>2026-10-26</t>
        </is>
      </c>
      <c r="R296" s="3" t="inlineStr">
        <is>
          <t>https://www.ikea.com.tw/zh/products/boxes-and-organisers/boxes-and-baskets/kuggis-spr-29596759</t>
        </is>
      </c>
      <c r="S296" s="2" t="inlineStr">
        <is>
          <t>官網</t>
        </is>
      </c>
      <c r="T296" s="2" t="inlineStr">
        <is>
          <t>high</t>
        </is>
      </c>
      <c r="U296" s="2" t="inlineStr">
        <is>
          <t>收納盒＋蓋子組合，外寸為官網組合尺寸；內附：1 x 收納盒 KUGGIS 13x18x8 公分 1 x 蓋子 KUGGIS 13x18 公分；各色商品編號：淺灰色=295.967.59、淺灰色+竹=095.968.21、白色=795.611.54、白色+竹=495.612.83；售價依顏色不同：淺灰色 99、淺灰色+竹 129、白色 99、白色+竹 129；price_twd 填最低價；不同尺寸的收納盒可相互堆疊；可放入最少深15公分的ENHET系列的櫃或架，或其他最少深13公分的收納架上；可以放置容易遺失的細小物件，放在層架或浴室收納櫃內使用最為合適；部分以回收再做的PET塑膠物料製造，KUGGIS系列內的一個產品，所有尺寸均可相互搭配選購</t>
        </is>
      </c>
      <c r="V296" s="2" t="inlineStr"/>
    </row>
    <row r="297">
      <c r="A297" s="2" t="inlineStr">
        <is>
          <t>IKEA-049</t>
        </is>
      </c>
      <c r="B297" s="2" t="inlineStr">
        <is>
          <t>IKEA</t>
        </is>
      </c>
      <c r="C297" s="2" t="inlineStr">
        <is>
          <t>KUGGIS</t>
        </is>
      </c>
      <c r="D297" s="2" t="inlineStr">
        <is>
          <t>KUGGIS 附蓋收納盒 18x26x8 公分</t>
        </is>
      </c>
      <c r="E297" s="2" t="inlineStr">
        <is>
          <t>495.967.58</t>
        </is>
      </c>
      <c r="F297" s="2" t="n">
        <v>18</v>
      </c>
      <c r="G297" s="2" t="n">
        <v>26</v>
      </c>
      <c r="H297" s="2" t="n">
        <v>8</v>
      </c>
      <c r="I297" s="2" t="n"/>
      <c r="J297" s="2" t="n"/>
      <c r="K297" s="2" t="n"/>
      <c r="L297" s="2" t="inlineStr">
        <is>
          <t>PET塑膠 (至少50%再生材料)</t>
        </is>
      </c>
      <c r="M297" s="2" t="inlineStr">
        <is>
          <t>淺灰色/淺灰色+竹/白色/白色+竹/黑藍色/黑藍色+竹</t>
        </is>
      </c>
      <c r="N297" s="2" t="inlineStr">
        <is>
          <t>Y</t>
        </is>
      </c>
      <c r="O297" s="2" t="inlineStr">
        <is>
          <t>Y</t>
        </is>
      </c>
      <c r="P297" s="2" t="n">
        <v>139</v>
      </c>
      <c r="Q297" s="2" t="inlineStr">
        <is>
          <t>2026-10-26</t>
        </is>
      </c>
      <c r="R297" s="3" t="inlineStr">
        <is>
          <t>https://www.ikea.com.tw/zh/products/boxes-and-organisers/boxes-and-baskets/kuggis-spr-49596758</t>
        </is>
      </c>
      <c r="S297" s="2" t="inlineStr">
        <is>
          <t>官網</t>
        </is>
      </c>
      <c r="T297" s="2" t="inlineStr">
        <is>
          <t>high</t>
        </is>
      </c>
      <c r="U297" s="2" t="inlineStr">
        <is>
          <t>收納盒＋蓋子組合，外寸為官網組合尺寸；內附：1 x 收納盒 KUGGIS 18x26x8 公分 1 x 蓋子 KUGGIS 18x26 公分；各色商品編號：淺灰色=495.967.58、淺灰色+竹=595.968.14、白色=795.611.87、白色+竹=595.612.87、黑藍色=096.001.68、黑藍色+竹=296.102.13；售價依顏色不同：淺灰色 139、淺灰色+竹 189、白色 139、白色+竹 189、黑藍色 139、黑藍色+竹 189；price_twd 填最低價；不同尺寸的收納盒可相互堆疊；尺寸適用於BILLY書櫃和其他最少深18公分的層架組；部分以回收再做的PET塑膠物料製造，KUGGIS系列內的一個產品，所有尺寸均可相互搭配選購</t>
        </is>
      </c>
      <c r="V297" s="2" t="inlineStr"/>
    </row>
    <row r="298">
      <c r="A298" s="2" t="inlineStr">
        <is>
          <t>IKEA-050</t>
        </is>
      </c>
      <c r="B298" s="2" t="inlineStr">
        <is>
          <t>IKEA</t>
        </is>
      </c>
      <c r="C298" s="2" t="inlineStr">
        <is>
          <t>KUGGIS</t>
        </is>
      </c>
      <c r="D298" s="2" t="inlineStr">
        <is>
          <t>KUGGIS 附蓋收納盒 18x26x15 公分</t>
        </is>
      </c>
      <c r="E298" s="2" t="inlineStr">
        <is>
          <t>595.967.67</t>
        </is>
      </c>
      <c r="F298" s="2" t="n">
        <v>18</v>
      </c>
      <c r="G298" s="2" t="n">
        <v>26</v>
      </c>
      <c r="H298" s="2" t="n">
        <v>15</v>
      </c>
      <c r="I298" s="2" t="n"/>
      <c r="J298" s="2" t="n"/>
      <c r="K298" s="2" t="n"/>
      <c r="L298" s="2" t="inlineStr">
        <is>
          <t>PET塑膠 (至少50%再生材料)</t>
        </is>
      </c>
      <c r="M298" s="2" t="inlineStr">
        <is>
          <t>淺灰色/淺灰色+竹/白色/白色+竹</t>
        </is>
      </c>
      <c r="N298" s="2" t="inlineStr">
        <is>
          <t>Y</t>
        </is>
      </c>
      <c r="O298" s="2" t="inlineStr">
        <is>
          <t>Y</t>
        </is>
      </c>
      <c r="P298" s="2" t="n">
        <v>199</v>
      </c>
      <c r="Q298" s="2" t="inlineStr">
        <is>
          <t>2026-10-26</t>
        </is>
      </c>
      <c r="R298" s="3" t="inlineStr">
        <is>
          <t>https://www.ikea.com.tw/zh/products/boxes-and-organisers/boxes-and-baskets/kuggis-spr-59596767</t>
        </is>
      </c>
      <c r="S298" s="2" t="inlineStr">
        <is>
          <t>官網</t>
        </is>
      </c>
      <c r="T298" s="2" t="inlineStr">
        <is>
          <t>high</t>
        </is>
      </c>
      <c r="U298" s="2" t="inlineStr">
        <is>
          <t>收納盒＋蓋子組合，外寸為官網組合尺寸；內附：1 x 收納盒 KUGGIS 18x26x15 公分 1 x 蓋子 KUGGIS 18x26 公分；各色商品編號：淺灰色=595.967.67、淺灰色+竹=695.968.23、白色=295.611.56、白色+竹=995.612.85；售價依顏色不同：淺灰色 199、淺灰色+竹 249、白色 199、白色+竹 249；price_twd 填最低價；不同尺寸的收納盒可相互堆疊；尺寸適用於BILLY書櫃和其他最少深18公分的層架組；部分以回收再做的PET塑膠物料製造，KUGGIS系列內的一個產品，所有尺寸均可相互搭配選購</t>
        </is>
      </c>
      <c r="V298" s="2" t="inlineStr"/>
    </row>
    <row r="299">
      <c r="A299" s="2" t="inlineStr">
        <is>
          <t>IKEA-051</t>
        </is>
      </c>
      <c r="B299" s="2" t="inlineStr">
        <is>
          <t>IKEA</t>
        </is>
      </c>
      <c r="C299" s="2" t="inlineStr">
        <is>
          <t>KUGGIS</t>
        </is>
      </c>
      <c r="D299" s="2" t="inlineStr">
        <is>
          <t>KUGGIS 附蓋收納盒 26x35x15 公分</t>
        </is>
      </c>
      <c r="E299" s="2" t="inlineStr">
        <is>
          <t>795.967.66</t>
        </is>
      </c>
      <c r="F299" s="2" t="n">
        <v>26</v>
      </c>
      <c r="G299" s="2" t="n">
        <v>35</v>
      </c>
      <c r="H299" s="2" t="n">
        <v>15</v>
      </c>
      <c r="I299" s="2" t="n"/>
      <c r="J299" s="2" t="n"/>
      <c r="K299" s="2" t="n"/>
      <c r="L299" s="2" t="inlineStr">
        <is>
          <t>PET塑膠 (至少50%再生材料)</t>
        </is>
      </c>
      <c r="M299" s="2" t="inlineStr">
        <is>
          <t>淺灰色/淺灰色+竹/白色/白色+竹/黑藍色/黑藍色+竹</t>
        </is>
      </c>
      <c r="N299" s="2" t="inlineStr">
        <is>
          <t>Y</t>
        </is>
      </c>
      <c r="O299" s="2" t="inlineStr">
        <is>
          <t>Y</t>
        </is>
      </c>
      <c r="P299" s="2" t="n">
        <v>289</v>
      </c>
      <c r="Q299" s="2" t="inlineStr">
        <is>
          <t>2026-10-26</t>
        </is>
      </c>
      <c r="R299" s="3" t="inlineStr">
        <is>
          <t>https://www.ikea.com.tw/zh/products/boxes-and-organisers/boxes-and-baskets/kuggis-spr-79596766</t>
        </is>
      </c>
      <c r="S299" s="2" t="inlineStr">
        <is>
          <t>官網</t>
        </is>
      </c>
      <c r="T299" s="2" t="inlineStr">
        <is>
          <t>high</t>
        </is>
      </c>
      <c r="U299" s="2" t="inlineStr">
        <is>
          <t>收納盒＋蓋子組合，外寸為官網組合尺寸；內附：1 x 收納盒 KUGGIS 26x35x15 公分 1 x 蓋子 KUGGIS 26x35 公分；各色商品編號：淺灰色=795.967.66、淺灰色+竹=295.968.20、白色=295.611.99、白色+竹=195.612.89、黑藍色=696.001.70、黑藍色+竹=796.102.15；售價依顏色不同：淺灰色 289、淺灰色+竹 389、白色 289、白色+竹 389、黑藍色 289、黑藍色+竹 389；price_twd 填最低價；不同尺寸的收納盒可相互堆疊；部分以回收再做的PET塑膠物料製造，KUGGIS系列內的一個產品，所有尺寸均可相互搭配選購；尺寸適用於我們大部分最少深25公分的收納系列。 和BILLY書櫃和BESTÅ收納更是完美搭配；適用於BILLY書櫃(深28公分)及BESTÅ收納組合(深40公分)</t>
        </is>
      </c>
      <c r="V299" s="2" t="inlineStr"/>
    </row>
    <row r="300">
      <c r="A300" s="2" t="inlineStr">
        <is>
          <t>IKEA-052</t>
        </is>
      </c>
      <c r="B300" s="2" t="inlineStr">
        <is>
          <t>IKEA</t>
        </is>
      </c>
      <c r="C300" s="2" t="inlineStr">
        <is>
          <t>KUGGIS</t>
        </is>
      </c>
      <c r="D300" s="2" t="inlineStr">
        <is>
          <t>KUGGIS 附蓋收納盒 32x32x32 公分</t>
        </is>
      </c>
      <c r="E300" s="2" t="inlineStr">
        <is>
          <t>805.268.76</t>
        </is>
      </c>
      <c r="F300" s="2" t="n">
        <v>32</v>
      </c>
      <c r="G300" s="2" t="n">
        <v>32</v>
      </c>
      <c r="H300" s="2" t="n">
        <v>32</v>
      </c>
      <c r="I300" s="2" t="n"/>
      <c r="J300" s="2" t="n"/>
      <c r="K300" s="2" t="n"/>
      <c r="L300" s="2" t="inlineStr">
        <is>
          <t>PET塑膠 (至少50%再生材料)</t>
        </is>
      </c>
      <c r="M300" s="2" t="inlineStr">
        <is>
          <t>白色</t>
        </is>
      </c>
      <c r="N300" s="2" t="inlineStr">
        <is>
          <t>Y</t>
        </is>
      </c>
      <c r="O300" s="2" t="inlineStr">
        <is>
          <t>Y</t>
        </is>
      </c>
      <c r="P300" s="2" t="n">
        <v>599</v>
      </c>
      <c r="Q300" s="2" t="inlineStr">
        <is>
          <t>2026-10-26</t>
        </is>
      </c>
      <c r="R300" s="3" t="inlineStr">
        <is>
          <t>https://www.ikea.com.tw/zh/products/boxes-and-organisers/boxes-and-baskets/kuggis-art-80526876</t>
        </is>
      </c>
      <c r="S300" s="2" t="inlineStr">
        <is>
          <t>官網</t>
        </is>
      </c>
      <c r="T300" s="2" t="inlineStr">
        <is>
          <t>high</t>
        </is>
      </c>
      <c r="U300" s="2" t="inlineStr">
        <is>
          <t>官網標示為長度×寬度×高度，outer_d 填「長度」值；既可保護收納物,也讓儲物盒可堆疊收納,更省空間；適用於KALLAX及VIHALS收納系列，或其他深度至少32公分的收納組；盒子有裁切的把手，方便從層架拉出來</t>
        </is>
      </c>
      <c r="V300" s="2" t="inlineStr"/>
    </row>
    <row r="301">
      <c r="A301" s="2" t="inlineStr">
        <is>
          <t>IKEA-053</t>
        </is>
      </c>
      <c r="B301" s="2" t="inlineStr">
        <is>
          <t>IKEA</t>
        </is>
      </c>
      <c r="C301" s="2" t="inlineStr">
        <is>
          <t>KVARNVIK</t>
        </is>
      </c>
      <c r="D301" s="2" t="inlineStr">
        <is>
          <t>KVARNVIK 附蓋收納盒 18x25x15 公分</t>
        </is>
      </c>
      <c r="E301" s="2" t="inlineStr">
        <is>
          <t>504.128.76</t>
        </is>
      </c>
      <c r="F301" s="2" t="n">
        <v>18</v>
      </c>
      <c r="G301" s="2" t="n">
        <v>25</v>
      </c>
      <c r="H301" s="2" t="n">
        <v>15</v>
      </c>
      <c r="I301" s="2" t="n"/>
      <c r="J301" s="2" t="n"/>
      <c r="K301" s="2" t="n"/>
      <c r="L301" s="2" t="inlineStr">
        <is>
          <t>基本材質:紙板 (至少100%再生材料), 紙；金屬配件:鋼質</t>
        </is>
      </c>
      <c r="M301" s="2" t="inlineStr">
        <is>
          <t>灰色</t>
        </is>
      </c>
      <c r="N301" s="2" t="inlineStr"/>
      <c r="O301" s="2" t="inlineStr">
        <is>
          <t>Y</t>
        </is>
      </c>
      <c r="P301" s="2" t="n">
        <v>299</v>
      </c>
      <c r="Q301" s="2" t="inlineStr">
        <is>
          <t>2026-10-26</t>
        </is>
      </c>
      <c r="R301" s="3" t="inlineStr">
        <is>
          <t>https://www.ikea.com.tw/zh/products/boxes-and-organisers/boxes-and-baskets/kvarnvik-art-50412876</t>
        </is>
      </c>
      <c r="S301" s="2" t="inlineStr">
        <is>
          <t>官網</t>
        </is>
      </c>
      <c r="T301" s="2" t="inlineStr">
        <is>
          <t>high</t>
        </is>
      </c>
      <c r="U301" s="2" t="inlineStr">
        <is>
          <t>官網標示為長度×寬度×高度，outer_d 填「長度」值；尺寸適用於BILLY書櫃和其他最少深18公分的層架組</t>
        </is>
      </c>
      <c r="V301" s="2" t="inlineStr"/>
    </row>
    <row r="302">
      <c r="A302" s="2" t="inlineStr">
        <is>
          <t>IKEA-054</t>
        </is>
      </c>
      <c r="B302" s="2" t="inlineStr">
        <is>
          <t>IKEA</t>
        </is>
      </c>
      <c r="C302" s="2" t="inlineStr">
        <is>
          <t>KVARNVIK</t>
        </is>
      </c>
      <c r="D302" s="2" t="inlineStr">
        <is>
          <t>KVARNVIK 附蓋收納盒 25x35x20 公分</t>
        </is>
      </c>
      <c r="E302" s="2" t="inlineStr">
        <is>
          <t>904.128.79</t>
        </is>
      </c>
      <c r="F302" s="2" t="n">
        <v>25</v>
      </c>
      <c r="G302" s="2" t="n">
        <v>35</v>
      </c>
      <c r="H302" s="2" t="n">
        <v>20</v>
      </c>
      <c r="I302" s="2" t="n"/>
      <c r="J302" s="2" t="n"/>
      <c r="K302" s="2" t="n"/>
      <c r="L302" s="2" t="inlineStr">
        <is>
          <t>基本材質:紙板 (至少100%再生材料), 紙；金屬配件:鋼質</t>
        </is>
      </c>
      <c r="M302" s="2" t="inlineStr">
        <is>
          <t>灰色</t>
        </is>
      </c>
      <c r="N302" s="2" t="inlineStr"/>
      <c r="O302" s="2" t="inlineStr">
        <is>
          <t>Y</t>
        </is>
      </c>
      <c r="P302" s="2" t="n">
        <v>349</v>
      </c>
      <c r="Q302" s="2" t="inlineStr">
        <is>
          <t>2026-10-26</t>
        </is>
      </c>
      <c r="R302" s="3" t="inlineStr">
        <is>
          <t>https://www.ikea.com.tw/zh/products/boxes-and-organisers/boxes-and-baskets/kvarnvik-art-90412879</t>
        </is>
      </c>
      <c r="S302" s="2" t="inlineStr">
        <is>
          <t>官網</t>
        </is>
      </c>
      <c r="T302" s="2" t="inlineStr">
        <is>
          <t>high</t>
        </is>
      </c>
      <c r="U302" s="2" t="inlineStr">
        <is>
          <t>官網標示為長度×寬度×高度，outer_d 填「長度」值；適合搭配HEMNES系列及含深25公分層板的其他收納家具</t>
        </is>
      </c>
      <c r="V302" s="2" t="inlineStr"/>
    </row>
    <row r="303">
      <c r="A303" s="2" t="inlineStr">
        <is>
          <t>IKEA-055</t>
        </is>
      </c>
      <c r="B303" s="2" t="inlineStr">
        <is>
          <t>IKEA</t>
        </is>
      </c>
      <c r="C303" s="2" t="inlineStr">
        <is>
          <t>KVARNVIK</t>
        </is>
      </c>
      <c r="D303" s="2" t="inlineStr">
        <is>
          <t>KVARNVIK 附蓋收納盒 32x35x32 公分</t>
        </is>
      </c>
      <c r="E303" s="2" t="inlineStr">
        <is>
          <t>904.669.52</t>
        </is>
      </c>
      <c r="F303" s="2" t="n">
        <v>35</v>
      </c>
      <c r="G303" s="2" t="n">
        <v>32</v>
      </c>
      <c r="H303" s="2" t="n">
        <v>32</v>
      </c>
      <c r="I303" s="2" t="n"/>
      <c r="J303" s="2" t="n"/>
      <c r="K303" s="2" t="n"/>
      <c r="L303" s="2" t="inlineStr">
        <is>
          <t>基本材質:紙板 (至少100%再生材料), 紙；金屬配件:鋼質</t>
        </is>
      </c>
      <c r="M303" s="2" t="inlineStr">
        <is>
          <t>灰色</t>
        </is>
      </c>
      <c r="N303" s="2" t="inlineStr"/>
      <c r="O303" s="2" t="inlineStr">
        <is>
          <t>Y</t>
        </is>
      </c>
      <c r="P303" s="2" t="n">
        <v>499</v>
      </c>
      <c r="Q303" s="2" t="inlineStr">
        <is>
          <t>2026-10-26</t>
        </is>
      </c>
      <c r="R303" s="3" t="inlineStr">
        <is>
          <t>https://www.ikea.com.tw/zh/products/boxes-and-organisers/boxes-and-baskets/kvarnvik-art-90466952</t>
        </is>
      </c>
      <c r="S303" s="2" t="inlineStr">
        <is>
          <t>官網</t>
        </is>
      </c>
      <c r="T303" s="2" t="inlineStr">
        <is>
          <t>high</t>
        </is>
      </c>
      <c r="U303" s="2" t="inlineStr">
        <is>
          <t>官網標示為長度×寬度×高度，outer_d 填「長度」值；適合搭配KALLAX層架組</t>
        </is>
      </c>
      <c r="V303" s="2" t="inlineStr"/>
    </row>
    <row r="304">
      <c r="A304" s="2" t="inlineStr">
        <is>
          <t>IKEA-056</t>
        </is>
      </c>
      <c r="B304" s="2" t="inlineStr">
        <is>
          <t>IKEA</t>
        </is>
      </c>
      <c r="C304" s="2" t="inlineStr">
        <is>
          <t>LJUNGAN</t>
        </is>
      </c>
      <c r="D304" s="2" t="inlineStr">
        <is>
          <t>LJUNGAN 置物籃 25x20x30 公分</t>
        </is>
      </c>
      <c r="E304" s="2" t="inlineStr">
        <is>
          <t>105.672.95</t>
        </is>
      </c>
      <c r="F304" s="2" t="n">
        <v>25</v>
      </c>
      <c r="G304" s="2" t="n">
        <v>30</v>
      </c>
      <c r="H304" s="2" t="n">
        <v>20</v>
      </c>
      <c r="I304" s="2" t="n"/>
      <c r="J304" s="2" t="n"/>
      <c r="K304" s="2" t="n"/>
      <c r="L304" s="2" t="inlineStr">
        <is>
          <t>籃:黃麻；縫紉線:100%聚酯纖維</t>
        </is>
      </c>
      <c r="M304" s="2" t="inlineStr"/>
      <c r="N304" s="2" t="inlineStr"/>
      <c r="O304" s="2" t="inlineStr">
        <is>
          <t>N</t>
        </is>
      </c>
      <c r="P304" s="2" t="n">
        <v>599</v>
      </c>
      <c r="Q304" s="2" t="inlineStr">
        <is>
          <t>2026-10-26</t>
        </is>
      </c>
      <c r="R304" s="3" t="inlineStr">
        <is>
          <t>https://www.ikea.com.tw/zh/products/boxes-and-organisers/boxes-and-baskets/ljungan-art-10567295</t>
        </is>
      </c>
      <c r="S304" s="2" t="inlineStr">
        <is>
          <t>官網</t>
        </is>
      </c>
      <c r="T304" s="2" t="inlineStr">
        <is>
          <t>high</t>
        </is>
      </c>
      <c r="U304" s="2" t="inlineStr"/>
      <c r="V304" s="2" t="inlineStr"/>
    </row>
    <row r="305">
      <c r="A305" s="2" t="inlineStr">
        <is>
          <t>IKEA-057</t>
        </is>
      </c>
      <c r="B305" s="2" t="inlineStr">
        <is>
          <t>IKEA</t>
        </is>
      </c>
      <c r="C305" s="2" t="inlineStr">
        <is>
          <t>LUSTIGKURRE</t>
        </is>
      </c>
      <c r="D305" s="2" t="inlineStr">
        <is>
          <t>LUSTIGKURRE 置物籃 32x33x32 公分</t>
        </is>
      </c>
      <c r="E305" s="2" t="inlineStr">
        <is>
          <t>104.574.09</t>
        </is>
      </c>
      <c r="F305" s="2" t="n">
        <v>32</v>
      </c>
      <c r="G305" s="2" t="n">
        <v>33</v>
      </c>
      <c r="H305" s="2" t="n">
        <v>32</v>
      </c>
      <c r="I305" s="2" t="n"/>
      <c r="J305" s="2" t="n"/>
      <c r="K305" s="2" t="n"/>
      <c r="L305" s="2" t="inlineStr">
        <is>
          <t>內部框架:鋼質, 粉末塗層；主體:布袋蓮, 海草, 透明漆</t>
        </is>
      </c>
      <c r="M305" s="2" t="inlineStr">
        <is>
          <t>自然色 布袋蓮+海草</t>
        </is>
      </c>
      <c r="N305" s="2" t="inlineStr"/>
      <c r="O305" s="2" t="inlineStr">
        <is>
          <t>N</t>
        </is>
      </c>
      <c r="P305" s="2" t="n">
        <v>599</v>
      </c>
      <c r="Q305" s="2" t="inlineStr">
        <is>
          <t>2026-10-26</t>
        </is>
      </c>
      <c r="R305" s="3" t="inlineStr">
        <is>
          <t>https://www.ikea.com.tw/zh/products/boxes-and-organisers/boxes-and-baskets/lustigkurre-art-10457409</t>
        </is>
      </c>
      <c r="S305" s="2" t="inlineStr">
        <is>
          <t>官網</t>
        </is>
      </c>
      <c r="T305" s="2" t="inlineStr">
        <is>
          <t>high</t>
        </is>
      </c>
      <c r="U305" s="2" t="inlineStr">
        <is>
          <t>適合放入KALLAX層架組合和其他最少深35公分的層架內</t>
        </is>
      </c>
      <c r="V305" s="2" t="inlineStr"/>
    </row>
    <row r="306">
      <c r="A306" s="2" t="inlineStr">
        <is>
          <t>IKEA-058</t>
        </is>
      </c>
      <c r="B306" s="2" t="inlineStr">
        <is>
          <t>IKEA</t>
        </is>
      </c>
      <c r="C306" s="2" t="inlineStr">
        <is>
          <t>MOJAN</t>
        </is>
      </c>
      <c r="D306" s="2" t="inlineStr">
        <is>
          <t>MOJAN 化妝品收納盒附2抽 25x12 公分</t>
        </is>
      </c>
      <c r="E306" s="2" t="inlineStr">
        <is>
          <t>105.219.24</t>
        </is>
      </c>
      <c r="F306" s="2" t="n">
        <v>25</v>
      </c>
      <c r="G306" s="2" t="n">
        <v>12</v>
      </c>
      <c r="H306" s="2" t="n">
        <v>5.5</v>
      </c>
      <c r="I306" s="2" t="n"/>
      <c r="J306" s="2" t="n"/>
      <c r="K306" s="2" t="n"/>
      <c r="L306" s="2" t="inlineStr">
        <is>
          <t>壓克力塑膠</t>
        </is>
      </c>
      <c r="M306" s="2" t="inlineStr"/>
      <c r="N306" s="2" t="inlineStr">
        <is>
          <t>Y</t>
        </is>
      </c>
      <c r="O306" s="2" t="inlineStr">
        <is>
          <t>N</t>
        </is>
      </c>
      <c r="P306" s="2" t="n">
        <v>399</v>
      </c>
      <c r="Q306" s="2" t="inlineStr">
        <is>
          <t>2026-10-26</t>
        </is>
      </c>
      <c r="R306" s="3" t="inlineStr">
        <is>
          <t>https://www.ikea.com.tw/zh/products/boxes-and-organisers/organisers/mojan-art-10521924</t>
        </is>
      </c>
      <c r="S306" s="2" t="inlineStr">
        <is>
          <t>官網</t>
        </is>
      </c>
      <c r="T306" s="2" t="inlineStr">
        <is>
          <t>high</t>
        </is>
      </c>
      <c r="U306" s="2" t="inlineStr">
        <is>
          <t>一層不夠放？ 就買幾個堆疊使用</t>
        </is>
      </c>
      <c r="V306" s="2" t="inlineStr"/>
    </row>
    <row r="307">
      <c r="A307" s="2" t="inlineStr">
        <is>
          <t>IKEA-059</t>
        </is>
      </c>
      <c r="B307" s="2" t="inlineStr">
        <is>
          <t>IKEA</t>
        </is>
      </c>
      <c r="C307" s="2" t="inlineStr">
        <is>
          <t>MOJAN</t>
        </is>
      </c>
      <c r="D307" s="2" t="inlineStr">
        <is>
          <t>MOJAN 化妝品收納盒附3抽 8.5x17 公分</t>
        </is>
      </c>
      <c r="E307" s="2" t="inlineStr">
        <is>
          <t>805.219.25</t>
        </is>
      </c>
      <c r="F307" s="2" t="n">
        <v>8.5</v>
      </c>
      <c r="G307" s="2" t="n">
        <v>17</v>
      </c>
      <c r="H307" s="2" t="n">
        <v>25</v>
      </c>
      <c r="I307" s="2" t="n"/>
      <c r="J307" s="2" t="n"/>
      <c r="K307" s="2" t="n"/>
      <c r="L307" s="2" t="inlineStr">
        <is>
          <t>壓克力塑膠</t>
        </is>
      </c>
      <c r="M307" s="2" t="inlineStr"/>
      <c r="N307" s="2" t="inlineStr">
        <is>
          <t>Y</t>
        </is>
      </c>
      <c r="O307" s="2" t="inlineStr">
        <is>
          <t>N</t>
        </is>
      </c>
      <c r="P307" s="2" t="n">
        <v>579</v>
      </c>
      <c r="Q307" s="2" t="inlineStr">
        <is>
          <t>2026-10-26</t>
        </is>
      </c>
      <c r="R307" s="3" t="inlineStr">
        <is>
          <t>https://www.ikea.com.tw/zh/products/boxes-and-organisers/organisers/mojan-art-80521925</t>
        </is>
      </c>
      <c r="S307" s="2" t="inlineStr">
        <is>
          <t>官網</t>
        </is>
      </c>
      <c r="T307" s="2" t="inlineStr">
        <is>
          <t>high</t>
        </is>
      </c>
      <c r="U307" s="2" t="inlineStr">
        <is>
          <t>每個抽屜前方附有圓孔，方便抽拉</t>
        </is>
      </c>
      <c r="V307" s="2" t="inlineStr"/>
    </row>
    <row r="308">
      <c r="A308" s="2" t="inlineStr">
        <is>
          <t>IKEA-060</t>
        </is>
      </c>
      <c r="B308" s="2" t="inlineStr">
        <is>
          <t>IKEA</t>
        </is>
      </c>
      <c r="C308" s="2" t="inlineStr">
        <is>
          <t>MOJAN</t>
        </is>
      </c>
      <c r="D308" s="2" t="inlineStr">
        <is>
          <t>MOJAN 化妝品收納盒附把手 25x12 公分</t>
        </is>
      </c>
      <c r="E308" s="2" t="inlineStr">
        <is>
          <t>205.219.28</t>
        </is>
      </c>
      <c r="F308" s="2" t="n">
        <v>25</v>
      </c>
      <c r="G308" s="2" t="n">
        <v>12</v>
      </c>
      <c r="H308" s="2" t="n">
        <v>8</v>
      </c>
      <c r="I308" s="2" t="n"/>
      <c r="J308" s="2" t="n"/>
      <c r="K308" s="2" t="n"/>
      <c r="L308" s="2" t="inlineStr">
        <is>
          <t>壓克力塑膠</t>
        </is>
      </c>
      <c r="M308" s="2" t="inlineStr"/>
      <c r="N308" s="2" t="inlineStr"/>
      <c r="O308" s="2" t="inlineStr">
        <is>
          <t>N</t>
        </is>
      </c>
      <c r="P308" s="2" t="n">
        <v>479</v>
      </c>
      <c r="Q308" s="2" t="inlineStr">
        <is>
          <t>2026-10-26</t>
        </is>
      </c>
      <c r="R308" s="3" t="inlineStr">
        <is>
          <t>https://www.ikea.com.tw/zh/products/boxes-and-organisers/organisers/mojan-art-20521928</t>
        </is>
      </c>
      <c r="S308" s="2" t="inlineStr">
        <is>
          <t>官網</t>
        </is>
      </c>
      <c r="T308" s="2" t="inlineStr">
        <is>
          <t>high</t>
        </is>
      </c>
      <c r="U308" s="2" t="inlineStr"/>
      <c r="V308" s="2" t="inlineStr"/>
    </row>
    <row r="309">
      <c r="A309" s="2" t="inlineStr">
        <is>
          <t>IKEA-061</t>
        </is>
      </c>
      <c r="B309" s="2" t="inlineStr">
        <is>
          <t>IKEA</t>
        </is>
      </c>
      <c r="C309" s="2" t="inlineStr">
        <is>
          <t>MOJAN</t>
        </is>
      </c>
      <c r="D309" s="2" t="inlineStr">
        <is>
          <t>MOJAN 化妝品收納盒附隔層及2抽 25x9 公分</t>
        </is>
      </c>
      <c r="E309" s="2" t="inlineStr">
        <is>
          <t>405.219.27</t>
        </is>
      </c>
      <c r="F309" s="2" t="n">
        <v>25</v>
      </c>
      <c r="G309" s="2" t="n">
        <v>9</v>
      </c>
      <c r="H309" s="2" t="n">
        <v>14.5</v>
      </c>
      <c r="I309" s="2" t="n"/>
      <c r="J309" s="2" t="n"/>
      <c r="K309" s="2" t="n"/>
      <c r="L309" s="2" t="inlineStr">
        <is>
          <t>壓克力塑膠</t>
        </is>
      </c>
      <c r="M309" s="2" t="inlineStr"/>
      <c r="N309" s="2" t="inlineStr"/>
      <c r="O309" s="2" t="inlineStr">
        <is>
          <t>N</t>
        </is>
      </c>
      <c r="P309" s="2" t="n">
        <v>479</v>
      </c>
      <c r="Q309" s="2" t="inlineStr">
        <is>
          <t>2026-10-26</t>
        </is>
      </c>
      <c r="R309" s="3" t="inlineStr">
        <is>
          <t>https://www.ikea.com.tw/zh/products/boxes-and-organisers/organisers/mojan-art-40521927</t>
        </is>
      </c>
      <c r="S309" s="2" t="inlineStr">
        <is>
          <t>官網</t>
        </is>
      </c>
      <c r="T309" s="2" t="inlineStr">
        <is>
          <t>high</t>
        </is>
      </c>
      <c r="U309" s="2" t="inlineStr">
        <is>
          <t>插筒間隔搭配抽屜，可收納不同長短的物品</t>
        </is>
      </c>
      <c r="V309" s="2" t="inlineStr"/>
    </row>
    <row r="310">
      <c r="A310" s="2" t="inlineStr">
        <is>
          <t>IKEA-062</t>
        </is>
      </c>
      <c r="B310" s="2" t="inlineStr">
        <is>
          <t>IKEA</t>
        </is>
      </c>
      <c r="C310" s="2" t="inlineStr">
        <is>
          <t>MÄVINN</t>
        </is>
      </c>
      <c r="D310" s="2" t="inlineStr">
        <is>
          <t>MÄVINN 置物籃 12x12x15 公分</t>
        </is>
      </c>
      <c r="E310" s="2" t="inlineStr">
        <is>
          <t>406.151.34</t>
        </is>
      </c>
      <c r="F310" s="2" t="n">
        <v>12</v>
      </c>
      <c r="G310" s="2" t="n">
        <v>12</v>
      </c>
      <c r="H310" s="2" t="n">
        <v>15</v>
      </c>
      <c r="I310" s="2" t="n"/>
      <c r="J310" s="2" t="n"/>
      <c r="K310" s="2" t="n"/>
      <c r="L310" s="2" t="inlineStr">
        <is>
          <t>主體:100%黃麻；手把/ 滾邊:100%棉</t>
        </is>
      </c>
      <c r="M310" s="2" t="inlineStr">
        <is>
          <t>黃麻</t>
        </is>
      </c>
      <c r="N310" s="2" t="inlineStr"/>
      <c r="O310" s="2" t="inlineStr">
        <is>
          <t>N</t>
        </is>
      </c>
      <c r="P310" s="2" t="n">
        <v>99</v>
      </c>
      <c r="Q310" s="2" t="inlineStr">
        <is>
          <t>2026-10-26</t>
        </is>
      </c>
      <c r="R310" s="3" t="inlineStr">
        <is>
          <t>https://www.ikea.com.tw/zh/products/boxes-and-organisers/boxes-and-baskets/mavinn-art-40615134</t>
        </is>
      </c>
      <c r="S310" s="2" t="inlineStr">
        <is>
          <t>官網</t>
        </is>
      </c>
      <c r="T310" s="2" t="inlineStr">
        <is>
          <t>high</t>
        </is>
      </c>
      <c r="U310" s="2" t="inlineStr">
        <is>
          <t>官網標示為長度×寬度×高度，outer_d 填「長度」值</t>
        </is>
      </c>
      <c r="V310" s="2" t="inlineStr"/>
    </row>
    <row r="311">
      <c r="A311" s="2" t="inlineStr">
        <is>
          <t>IKEA-063</t>
        </is>
      </c>
      <c r="B311" s="2" t="inlineStr">
        <is>
          <t>IKEA</t>
        </is>
      </c>
      <c r="C311" s="2" t="inlineStr">
        <is>
          <t>NOJIG</t>
        </is>
      </c>
      <c r="D311" s="2" t="inlineStr">
        <is>
          <t>NOJIG 收納盒 10x10x5 公分</t>
        </is>
      </c>
      <c r="E311" s="2" t="inlineStr">
        <is>
          <t>004.770.40</t>
        </is>
      </c>
      <c r="F311" s="2" t="n">
        <v>10</v>
      </c>
      <c r="G311" s="2" t="n">
        <v>10</v>
      </c>
      <c r="H311" s="2" t="n">
        <v>5</v>
      </c>
      <c r="I311" s="2" t="n"/>
      <c r="J311" s="2" t="n"/>
      <c r="K311" s="2" t="n"/>
      <c r="L311" s="2" t="inlineStr">
        <is>
          <t>聚丙烯塑膠 (至少20%再生材料)</t>
        </is>
      </c>
      <c r="M311" s="2" t="inlineStr">
        <is>
          <t>塑膠+米色</t>
        </is>
      </c>
      <c r="N311" s="2" t="inlineStr"/>
      <c r="O311" s="2" t="inlineStr">
        <is>
          <t>N</t>
        </is>
      </c>
      <c r="P311" s="2" t="n">
        <v>9</v>
      </c>
      <c r="Q311" s="2" t="inlineStr">
        <is>
          <t>2026-10-26</t>
        </is>
      </c>
      <c r="R311" s="3" t="inlineStr">
        <is>
          <t>https://www.ikea.com.tw/zh/products/boxes-and-organisers/organisers/nojig-art-00477040</t>
        </is>
      </c>
      <c r="S311" s="2" t="inlineStr">
        <is>
          <t>官網</t>
        </is>
      </c>
      <c r="T311" s="2" t="inlineStr">
        <is>
          <t>high</t>
        </is>
      </c>
      <c r="U311" s="2" t="inlineStr">
        <is>
          <t>利用收納盒，可以避免物品隨意散落，讓你一眼看得到抽屜有什麼物品</t>
        </is>
      </c>
      <c r="V311" s="2" t="inlineStr"/>
    </row>
    <row r="312">
      <c r="A312" s="2" t="inlineStr">
        <is>
          <t>IKEA-064</t>
        </is>
      </c>
      <c r="B312" s="2" t="inlineStr">
        <is>
          <t>IKEA</t>
        </is>
      </c>
      <c r="C312" s="2" t="inlineStr">
        <is>
          <t>NOJIG</t>
        </is>
      </c>
      <c r="D312" s="2" t="inlineStr">
        <is>
          <t>NOJIG 收納盒 10x20x5 公分</t>
        </is>
      </c>
      <c r="E312" s="2" t="inlineStr">
        <is>
          <t>704.680.80</t>
        </is>
      </c>
      <c r="F312" s="2" t="n">
        <v>10</v>
      </c>
      <c r="G312" s="2" t="n">
        <v>20</v>
      </c>
      <c r="H312" s="2" t="n">
        <v>5</v>
      </c>
      <c r="I312" s="2" t="n"/>
      <c r="J312" s="2" t="n"/>
      <c r="K312" s="2" t="n"/>
      <c r="L312" s="2" t="inlineStr">
        <is>
          <t>聚丙烯塑膠 (至少20%再生材料)</t>
        </is>
      </c>
      <c r="M312" s="2" t="inlineStr">
        <is>
          <t>塑膠+米色</t>
        </is>
      </c>
      <c r="N312" s="2" t="inlineStr"/>
      <c r="O312" s="2" t="inlineStr">
        <is>
          <t>N</t>
        </is>
      </c>
      <c r="P312" s="2" t="n">
        <v>19</v>
      </c>
      <c r="Q312" s="2" t="inlineStr">
        <is>
          <t>2026-10-26</t>
        </is>
      </c>
      <c r="R312" s="3" t="inlineStr">
        <is>
          <t>https://www.ikea.com.tw/zh/products/boxes-and-organisers/organisers/nojig-art-70468080</t>
        </is>
      </c>
      <c r="S312" s="2" t="inlineStr">
        <is>
          <t>官網</t>
        </is>
      </c>
      <c r="T312" s="2" t="inlineStr">
        <is>
          <t>high</t>
        </is>
      </c>
      <c r="U312" s="2" t="inlineStr">
        <is>
          <t>利用收納盒，可以避免物品隨意散落，讓你一眼看得到抽屜有什麼物品</t>
        </is>
      </c>
      <c r="V312" s="2" t="inlineStr"/>
    </row>
    <row r="313">
      <c r="A313" s="2" t="inlineStr">
        <is>
          <t>IKEA-065</t>
        </is>
      </c>
      <c r="B313" s="2" t="inlineStr">
        <is>
          <t>IKEA</t>
        </is>
      </c>
      <c r="C313" s="2" t="inlineStr">
        <is>
          <t>NOJIG</t>
        </is>
      </c>
      <c r="D313" s="2" t="inlineStr">
        <is>
          <t>NOJIG 收納盒 15x20x5 公分</t>
        </is>
      </c>
      <c r="E313" s="2" t="inlineStr">
        <is>
          <t>004.681.06</t>
        </is>
      </c>
      <c r="F313" s="2" t="n">
        <v>15</v>
      </c>
      <c r="G313" s="2" t="n">
        <v>20</v>
      </c>
      <c r="H313" s="2" t="n">
        <v>5</v>
      </c>
      <c r="I313" s="2" t="n"/>
      <c r="J313" s="2" t="n"/>
      <c r="K313" s="2" t="n"/>
      <c r="L313" s="2" t="inlineStr">
        <is>
          <t>聚丙烯塑膠 (至少20%再生材料)</t>
        </is>
      </c>
      <c r="M313" s="2" t="inlineStr">
        <is>
          <t>塑膠+米色</t>
        </is>
      </c>
      <c r="N313" s="2" t="inlineStr"/>
      <c r="O313" s="2" t="inlineStr">
        <is>
          <t>N</t>
        </is>
      </c>
      <c r="P313" s="2" t="n">
        <v>29</v>
      </c>
      <c r="Q313" s="2" t="inlineStr">
        <is>
          <t>2026-10-26</t>
        </is>
      </c>
      <c r="R313" s="3" t="inlineStr">
        <is>
          <t>https://www.ikea.com.tw/zh/products/boxes-and-organisers/organisers/nojig-art-00468106</t>
        </is>
      </c>
      <c r="S313" s="2" t="inlineStr">
        <is>
          <t>官網</t>
        </is>
      </c>
      <c r="T313" s="2" t="inlineStr">
        <is>
          <t>high</t>
        </is>
      </c>
      <c r="U313" s="2" t="inlineStr">
        <is>
          <t>利用收納盒，可以避免物品隨意散落，讓你一眼看得到抽屜有什麼物品</t>
        </is>
      </c>
      <c r="V313" s="2" t="inlineStr"/>
    </row>
    <row r="314">
      <c r="A314" s="2" t="inlineStr">
        <is>
          <t>IKEA-066</t>
        </is>
      </c>
      <c r="B314" s="2" t="inlineStr">
        <is>
          <t>IKEA</t>
        </is>
      </c>
      <c r="C314" s="2" t="inlineStr">
        <is>
          <t>NOJIG</t>
        </is>
      </c>
      <c r="D314" s="2" t="inlineStr">
        <is>
          <t>NOJIG 收納盒 20x25x10 公分</t>
        </is>
      </c>
      <c r="E314" s="2" t="inlineStr">
        <is>
          <t>804.681.07</t>
        </is>
      </c>
      <c r="F314" s="2" t="n">
        <v>20</v>
      </c>
      <c r="G314" s="2" t="n">
        <v>25</v>
      </c>
      <c r="H314" s="2" t="n">
        <v>10</v>
      </c>
      <c r="I314" s="2" t="n"/>
      <c r="J314" s="2" t="n"/>
      <c r="K314" s="2" t="n"/>
      <c r="L314" s="2" t="inlineStr">
        <is>
          <t>聚丙烯塑膠 (至少20%再生材料)</t>
        </is>
      </c>
      <c r="M314" s="2" t="inlineStr">
        <is>
          <t>塑膠+米色</t>
        </is>
      </c>
      <c r="N314" s="2" t="inlineStr"/>
      <c r="O314" s="2" t="inlineStr">
        <is>
          <t>N</t>
        </is>
      </c>
      <c r="P314" s="2" t="n">
        <v>39</v>
      </c>
      <c r="Q314" s="2" t="inlineStr">
        <is>
          <t>2026-10-26</t>
        </is>
      </c>
      <c r="R314" s="3" t="inlineStr">
        <is>
          <t>https://www.ikea.com.tw/zh/products/boxes-and-organisers/organisers/nojig-art-80468107</t>
        </is>
      </c>
      <c r="S314" s="2" t="inlineStr">
        <is>
          <t>官網</t>
        </is>
      </c>
      <c r="T314" s="2" t="inlineStr">
        <is>
          <t>high</t>
        </is>
      </c>
      <c r="U314" s="2" t="inlineStr">
        <is>
          <t>利用收納盒，可以避免物品隨意散落，讓你一眼看得到抽屜有什麼物品</t>
        </is>
      </c>
      <c r="V314" s="2" t="inlineStr"/>
    </row>
    <row r="315">
      <c r="A315" s="2" t="inlineStr">
        <is>
          <t>IKEA-067</t>
        </is>
      </c>
      <c r="B315" s="2" t="inlineStr">
        <is>
          <t>IKEA</t>
        </is>
      </c>
      <c r="C315" s="2" t="inlineStr">
        <is>
          <t>PAPPIS</t>
        </is>
      </c>
      <c r="D315" s="2" t="inlineStr">
        <is>
          <t>PAPPIS 附蓋收納盒 25x34x26 公分</t>
        </is>
      </c>
      <c r="E315" s="2" t="inlineStr">
        <is>
          <t>301.886.56</t>
        </is>
      </c>
      <c r="F315" s="2" t="n">
        <v>25</v>
      </c>
      <c r="G315" s="2" t="n">
        <v>34</v>
      </c>
      <c r="H315" s="2" t="n">
        <v>26</v>
      </c>
      <c r="I315" s="2" t="n"/>
      <c r="J315" s="2" t="n"/>
      <c r="K315" s="2" t="n"/>
      <c r="L315" s="2" t="inlineStr">
        <is>
          <t>100%再生瓦楞板</t>
        </is>
      </c>
      <c r="M315" s="2" t="inlineStr">
        <is>
          <t>棕色</t>
        </is>
      </c>
      <c r="N315" s="2" t="inlineStr"/>
      <c r="O315" s="2" t="inlineStr">
        <is>
          <t>Y</t>
        </is>
      </c>
      <c r="P315" s="2" t="n">
        <v>49</v>
      </c>
      <c r="Q315" s="2" t="inlineStr">
        <is>
          <t>2026-10-26</t>
        </is>
      </c>
      <c r="R315" s="3" t="inlineStr">
        <is>
          <t>https://www.ikea.com.tw/zh/products/boxes-and-organisers/boxes-and-baskets/pappis-art-30188656</t>
        </is>
      </c>
      <c r="S315" s="2" t="inlineStr">
        <is>
          <t>官網</t>
        </is>
      </c>
      <c r="T315" s="2" t="inlineStr">
        <is>
          <t>high</t>
        </is>
      </c>
      <c r="U315" s="2" t="inlineStr">
        <is>
          <t>容積 19公升；盒子堅固耐用，且附有裁切的把手孔，方便從層架拉出、提起</t>
        </is>
      </c>
      <c r="V315" s="2" t="inlineStr"/>
    </row>
    <row r="316">
      <c r="A316" s="2" t="inlineStr">
        <is>
          <t>IKEA-068</t>
        </is>
      </c>
      <c r="B316" s="2" t="inlineStr">
        <is>
          <t>IKEA</t>
        </is>
      </c>
      <c r="C316" s="2" t="inlineStr">
        <is>
          <t>PLOGSVÄNG</t>
        </is>
      </c>
      <c r="D316" s="2" t="inlineStr">
        <is>
          <t>PLOGSVÄNG 置物籃 15x20x10 公分</t>
        </is>
      </c>
      <c r="E316" s="2" t="inlineStr">
        <is>
          <t>505.934.57</t>
        </is>
      </c>
      <c r="F316" s="2" t="n">
        <v>15</v>
      </c>
      <c r="G316" s="2" t="n">
        <v>20</v>
      </c>
      <c r="H316" s="2" t="n">
        <v>10</v>
      </c>
      <c r="I316" s="2" t="n"/>
      <c r="J316" s="2" t="n"/>
      <c r="K316" s="2" t="n"/>
      <c r="L316" s="2" t="inlineStr">
        <is>
          <t>聚丙烯塑膠 (至少50%再生材料)</t>
        </is>
      </c>
      <c r="M316" s="2" t="inlineStr">
        <is>
          <t>白色</t>
        </is>
      </c>
      <c r="N316" s="2" t="inlineStr"/>
      <c r="O316" s="2" t="inlineStr">
        <is>
          <t>N</t>
        </is>
      </c>
      <c r="P316" s="2" t="n">
        <v>29</v>
      </c>
      <c r="Q316" s="2" t="inlineStr">
        <is>
          <t>2026-10-26</t>
        </is>
      </c>
      <c r="R316" s="3" t="inlineStr">
        <is>
          <t>https://www.ikea.com.tw/zh/products/boxes-and-organisers/organisers/plogsvang-art-50593457</t>
        </is>
      </c>
      <c r="S316" s="2" t="inlineStr">
        <is>
          <t>官網</t>
        </is>
      </c>
      <c r="T316" s="2" t="inlineStr">
        <is>
          <t>high</t>
        </is>
      </c>
      <c r="U316" s="2" t="inlineStr">
        <is>
          <t>官網標示為長度×寬度×高度，outer_d 填「長度」值；可以放置容易遺失的細小物件，放在層架或浴室收納櫃內使用最為合適；可放入最少有16公分深的收納櫃、推車和層架內</t>
        </is>
      </c>
      <c r="V316" s="2" t="inlineStr"/>
    </row>
    <row r="317">
      <c r="A317" s="2" t="inlineStr">
        <is>
          <t>IKEA-069</t>
        </is>
      </c>
      <c r="B317" s="2" t="inlineStr">
        <is>
          <t>IKEA</t>
        </is>
      </c>
      <c r="C317" s="2" t="inlineStr">
        <is>
          <t>RISATORP</t>
        </is>
      </c>
      <c r="D317" s="2" t="inlineStr">
        <is>
          <t>RISATORP 收納籃連隔層 33x24x11 公分</t>
        </is>
      </c>
      <c r="E317" s="2" t="inlineStr">
        <is>
          <t>505.303.99</t>
        </is>
      </c>
      <c r="F317" s="2" t="n">
        <v>33</v>
      </c>
      <c r="G317" s="2" t="n">
        <v>24</v>
      </c>
      <c r="H317" s="2" t="n">
        <v>11</v>
      </c>
      <c r="I317" s="2" t="n"/>
      <c r="J317" s="2" t="n"/>
      <c r="K317" s="2" t="n"/>
      <c r="L317" s="2" t="inlineStr">
        <is>
          <t>籃:鋼質, 粉末塗層；手把/ 隔層:實心樺木, 有色塗層.</t>
        </is>
      </c>
      <c r="M317" s="2" t="inlineStr">
        <is>
          <t>白色</t>
        </is>
      </c>
      <c r="N317" s="2" t="inlineStr"/>
      <c r="O317" s="2" t="inlineStr">
        <is>
          <t>N</t>
        </is>
      </c>
      <c r="P317" s="2" t="n">
        <v>449</v>
      </c>
      <c r="Q317" s="2" t="inlineStr">
        <is>
          <t>2026-10-26</t>
        </is>
      </c>
      <c r="R317" s="3" t="inlineStr">
        <is>
          <t>https://www.ikea.com.tw/zh/products/boxes-and-organisers/organisers/risatorp-art-50530399</t>
        </is>
      </c>
      <c r="S317" s="2" t="inlineStr">
        <is>
          <t>官網</t>
        </is>
      </c>
      <c r="T317" s="2" t="inlineStr">
        <is>
          <t>high</t>
        </is>
      </c>
      <c r="U317" s="2" t="inlineStr">
        <is>
          <t>非常適合放在櫃和略高的抽屜內，整齊收納細小物品</t>
        </is>
      </c>
      <c r="V317" s="2" t="inlineStr"/>
    </row>
    <row r="318">
      <c r="A318" s="2" t="inlineStr">
        <is>
          <t>IKEA-070</t>
        </is>
      </c>
      <c r="B318" s="2" t="inlineStr">
        <is>
          <t>IKEA</t>
        </is>
      </c>
      <c r="C318" s="2" t="inlineStr">
        <is>
          <t>RISATORP</t>
        </is>
      </c>
      <c r="D318" s="2" t="inlineStr">
        <is>
          <t>RISATORP 收納籃連隔層 33x24x23 公分</t>
        </is>
      </c>
      <c r="E318" s="2" t="inlineStr">
        <is>
          <t>705.303.98</t>
        </is>
      </c>
      <c r="F318" s="2" t="n">
        <v>33</v>
      </c>
      <c r="G318" s="2" t="n">
        <v>24</v>
      </c>
      <c r="H318" s="2" t="n">
        <v>23</v>
      </c>
      <c r="I318" s="2" t="n"/>
      <c r="J318" s="2" t="n"/>
      <c r="K318" s="2" t="n"/>
      <c r="L318" s="2" t="inlineStr">
        <is>
          <t>籃:鋼質, 粉末塗層；手把/ 隔層:實心樺木, 有色塗層.</t>
        </is>
      </c>
      <c r="M318" s="2" t="inlineStr">
        <is>
          <t>白色</t>
        </is>
      </c>
      <c r="N318" s="2" t="inlineStr"/>
      <c r="O318" s="2" t="inlineStr">
        <is>
          <t>N</t>
        </is>
      </c>
      <c r="P318" s="2" t="n">
        <v>649</v>
      </c>
      <c r="Q318" s="2" t="inlineStr">
        <is>
          <t>2026-10-26</t>
        </is>
      </c>
      <c r="R318" s="3" t="inlineStr">
        <is>
          <t>https://www.ikea.com.tw/zh/products/boxes-and-organisers/organisers/risatorp-art-70530398</t>
        </is>
      </c>
      <c r="S318" s="2" t="inlineStr">
        <is>
          <t>官網</t>
        </is>
      </c>
      <c r="T318" s="2" t="inlineStr">
        <is>
          <t>high</t>
        </is>
      </c>
      <c r="U318" s="2" t="inlineStr"/>
      <c r="V318" s="2" t="inlineStr"/>
    </row>
    <row r="319">
      <c r="A319" s="2" t="inlineStr">
        <is>
          <t>IKEA-071</t>
        </is>
      </c>
      <c r="B319" s="2" t="inlineStr">
        <is>
          <t>IKEA</t>
        </is>
      </c>
      <c r="C319" s="2" t="inlineStr">
        <is>
          <t>RISATORP</t>
        </is>
      </c>
      <c r="D319" s="2" t="inlineStr">
        <is>
          <t>RISATORP 網籃 25x26x18 公分</t>
        </is>
      </c>
      <c r="E319" s="2" t="inlineStr">
        <is>
          <t>005.887.12</t>
        </is>
      </c>
      <c r="F319" s="2" t="n">
        <v>26</v>
      </c>
      <c r="G319" s="2" t="n">
        <v>25</v>
      </c>
      <c r="H319" s="2" t="n">
        <v>18</v>
      </c>
      <c r="I319" s="2" t="n"/>
      <c r="J319" s="2" t="n"/>
      <c r="K319" s="2" t="n"/>
      <c r="L319" s="2" t="inlineStr">
        <is>
          <t>籃:鋼質, 粉末塗層；手把:實木貼皮, 樺木, 壓克力亮光漆；鉚釘:鋁質</t>
        </is>
      </c>
      <c r="M319" s="2" t="inlineStr">
        <is>
          <t>深灰色/白色/亮紅色</t>
        </is>
      </c>
      <c r="N319" s="2" t="inlineStr"/>
      <c r="O319" s="2" t="inlineStr">
        <is>
          <t>N</t>
        </is>
      </c>
      <c r="P319" s="2" t="n">
        <v>199</v>
      </c>
      <c r="Q319" s="2" t="inlineStr">
        <is>
          <t>2026-10-26</t>
        </is>
      </c>
      <c r="R319" s="3" t="inlineStr">
        <is>
          <t>https://www.ikea.com.tw/zh/products/boxes-and-organisers/boxes-and-baskets/risatorp-art-00588712</t>
        </is>
      </c>
      <c r="S319" s="2" t="inlineStr">
        <is>
          <t>官網</t>
        </is>
      </c>
      <c r="T319" s="2" t="inlineStr">
        <is>
          <t>high</t>
        </is>
      </c>
      <c r="U319" s="2" t="inlineStr">
        <is>
          <t>官網標示為長度×寬度×高度，outer_d 填「長度」值；各色商品編號：深灰色=005.887.12、白色=604.805.44、亮紅色=906.181.73</t>
        </is>
      </c>
      <c r="V319" s="2" t="inlineStr"/>
    </row>
    <row r="320">
      <c r="A320" s="2" t="inlineStr">
        <is>
          <t>IKEA-072</t>
        </is>
      </c>
      <c r="B320" s="2" t="inlineStr">
        <is>
          <t>IKEA</t>
        </is>
      </c>
      <c r="C320" s="2" t="inlineStr">
        <is>
          <t>SAMLA</t>
        </is>
      </c>
      <c r="D320" s="2" t="inlineStr">
        <is>
          <t>SAMLA 收納盒 28x19x14 公分/5 公升</t>
        </is>
      </c>
      <c r="E320" s="2" t="inlineStr">
        <is>
          <t>601.808.85</t>
        </is>
      </c>
      <c r="F320" s="2" t="n">
        <v>28</v>
      </c>
      <c r="G320" s="2" t="n">
        <v>19</v>
      </c>
      <c r="H320" s="2" t="n">
        <v>14</v>
      </c>
      <c r="I320" s="2" t="n"/>
      <c r="J320" s="2" t="n"/>
      <c r="K320" s="2" t="n"/>
      <c r="L320" s="2" t="inlineStr">
        <is>
          <t>聚丙烯塑膠</t>
        </is>
      </c>
      <c r="M320" s="2" t="inlineStr">
        <is>
          <t>透明</t>
        </is>
      </c>
      <c r="N320" s="2" t="inlineStr"/>
      <c r="O320" s="2" t="inlineStr">
        <is>
          <t>N</t>
        </is>
      </c>
      <c r="P320" s="2" t="n">
        <v>39</v>
      </c>
      <c r="Q320" s="2" t="inlineStr">
        <is>
          <t>2026-10-26</t>
        </is>
      </c>
      <c r="R320" s="3" t="inlineStr">
        <is>
          <t>https://www.ikea.com.tw/zh/products/boxes-and-organisers/boxes-and-baskets/samla-art-60180885</t>
        </is>
      </c>
      <c r="S320" s="2" t="inlineStr">
        <is>
          <t>官網</t>
        </is>
      </c>
      <c r="T320" s="2" t="inlineStr">
        <is>
          <t>high</t>
        </is>
      </c>
      <c r="U320" s="2" t="inlineStr">
        <is>
          <t>容積 5公升；同尺寸 SAMLA 收納盒蓋另售（5 公升用 28x20；11/22 公升用 39x28）；可搭配SAMLA收納盒蓋(5公升)，有效防塵且方便堆疊，蓋子內建卡扣設計﻿，可牢固緊扣盒身；適用於IVAR、OMAR、BROR等多款層架組；SAMLA系列產品中所有尺寸均可相互搭配使用；可搭配SAMLA 5公升收納盒蓋(需另購)</t>
        </is>
      </c>
      <c r="V320" s="2" t="inlineStr"/>
    </row>
    <row r="321">
      <c r="A321" s="2" t="inlineStr">
        <is>
          <t>IKEA-073</t>
        </is>
      </c>
      <c r="B321" s="2" t="inlineStr">
        <is>
          <t>IKEA</t>
        </is>
      </c>
      <c r="C321" s="2" t="inlineStr">
        <is>
          <t>SAMLA</t>
        </is>
      </c>
      <c r="D321" s="2" t="inlineStr">
        <is>
          <t>SAMLA 收納盒 39x28x14 公分/11 公升</t>
        </is>
      </c>
      <c r="E321" s="2" t="inlineStr">
        <is>
          <t>101.809.39</t>
        </is>
      </c>
      <c r="F321" s="2" t="n">
        <v>39</v>
      </c>
      <c r="G321" s="2" t="n">
        <v>28</v>
      </c>
      <c r="H321" s="2" t="n">
        <v>14</v>
      </c>
      <c r="I321" s="2" t="n"/>
      <c r="J321" s="2" t="n"/>
      <c r="K321" s="2" t="n"/>
      <c r="L321" s="2" t="inlineStr">
        <is>
          <t>聚丙烯塑膠</t>
        </is>
      </c>
      <c r="M321" s="2" t="inlineStr">
        <is>
          <t>透明</t>
        </is>
      </c>
      <c r="N321" s="2" t="inlineStr"/>
      <c r="O321" s="2" t="inlineStr">
        <is>
          <t>N</t>
        </is>
      </c>
      <c r="P321" s="2" t="n">
        <v>69</v>
      </c>
      <c r="Q321" s="2" t="inlineStr">
        <is>
          <t>2026-10-26</t>
        </is>
      </c>
      <c r="R321" s="3" t="inlineStr">
        <is>
          <t>https://www.ikea.com.tw/zh/products/boxes-and-organisers/boxes-and-baskets/samla-art-10180939</t>
        </is>
      </c>
      <c r="S321" s="2" t="inlineStr">
        <is>
          <t>官網</t>
        </is>
      </c>
      <c r="T321" s="2" t="inlineStr">
        <is>
          <t>high</t>
        </is>
      </c>
      <c r="U321" s="2" t="inlineStr">
        <is>
          <t>容積 11公升；同尺寸 SAMLA 收納盒蓋另售（5 公升用 28x20；11/22 公升用 39x28）；可搭配SAMLA收納盒蓋(11/22公升)，有效防塵且方便堆疊，蓋子內建卡扣設計﻿，可牢固緊扣盒身；適用於IVAR、OMAR、BROR等多款層架組；SAMLA系列產品中所有尺寸均可相互搭配使用；可搭配SAMLA 11/22公升收納盒蓋(需另購)</t>
        </is>
      </c>
      <c r="V321" s="2" t="inlineStr"/>
    </row>
    <row r="322">
      <c r="A322" s="2" t="inlineStr">
        <is>
          <t>IKEA-074</t>
        </is>
      </c>
      <c r="B322" s="2" t="inlineStr">
        <is>
          <t>IKEA</t>
        </is>
      </c>
      <c r="C322" s="2" t="inlineStr">
        <is>
          <t>SAMLA</t>
        </is>
      </c>
      <c r="D322" s="2" t="inlineStr">
        <is>
          <t>SAMLA 收納盒 39x28x28 公分/22 公升</t>
        </is>
      </c>
      <c r="E322" s="2" t="inlineStr">
        <is>
          <t>901.809.40</t>
        </is>
      </c>
      <c r="F322" s="2" t="n">
        <v>39</v>
      </c>
      <c r="G322" s="2" t="n">
        <v>28</v>
      </c>
      <c r="H322" s="2" t="n">
        <v>28</v>
      </c>
      <c r="I322" s="2" t="n"/>
      <c r="J322" s="2" t="n"/>
      <c r="K322" s="2" t="n"/>
      <c r="L322" s="2" t="inlineStr">
        <is>
          <t>聚丙烯塑膠</t>
        </is>
      </c>
      <c r="M322" s="2" t="inlineStr">
        <is>
          <t>透明</t>
        </is>
      </c>
      <c r="N322" s="2" t="inlineStr"/>
      <c r="O322" s="2" t="inlineStr">
        <is>
          <t>N</t>
        </is>
      </c>
      <c r="P322" s="2" t="n">
        <v>119</v>
      </c>
      <c r="Q322" s="2" t="inlineStr">
        <is>
          <t>2026-10-26</t>
        </is>
      </c>
      <c r="R322" s="3" t="inlineStr">
        <is>
          <t>https://www.ikea.com.tw/zh/products/boxes-and-organisers/boxes-and-baskets/samla-art-90180940</t>
        </is>
      </c>
      <c r="S322" s="2" t="inlineStr">
        <is>
          <t>官網</t>
        </is>
      </c>
      <c r="T322" s="2" t="inlineStr">
        <is>
          <t>high</t>
        </is>
      </c>
      <c r="U322" s="2" t="inlineStr">
        <is>
          <t>容積 22公升；同尺寸 SAMLA 收納盒蓋另售（5 公升用 28x20；11/22 公升用 39x28）；可搭配SAMLA收納盒蓋(11/22公升)，有效防塵且方便堆疊，蓋子內建卡扣設計﻿，可牢固緊扣盒身；適用於IVAR及BROR層架組；SAMLA系列產品中所有尺寸均可相互搭配使用；可搭配SAMLA 11/22公升收納盒蓋(需另購)</t>
        </is>
      </c>
      <c r="V322" s="2" t="inlineStr"/>
    </row>
    <row r="323">
      <c r="A323" s="2" t="inlineStr">
        <is>
          <t>IKEA-075</t>
        </is>
      </c>
      <c r="B323" s="2" t="inlineStr">
        <is>
          <t>IKEA</t>
        </is>
      </c>
      <c r="C323" s="2" t="inlineStr">
        <is>
          <t>SAMLA</t>
        </is>
      </c>
      <c r="D323" s="2" t="inlineStr">
        <is>
          <t>SAMLA 附蓋收納盒 28x20x14 公分/5 公升</t>
        </is>
      </c>
      <c r="E323" s="2" t="inlineStr">
        <is>
          <t>194.408.48</t>
        </is>
      </c>
      <c r="F323" s="2" t="n">
        <v>28</v>
      </c>
      <c r="G323" s="2" t="n">
        <v>20</v>
      </c>
      <c r="H323" s="2" t="n">
        <v>14</v>
      </c>
      <c r="I323" s="2" t="n"/>
      <c r="J323" s="2" t="n"/>
      <c r="K323" s="2" t="n"/>
      <c r="L323" s="2" t="inlineStr">
        <is>
          <t>聚丙烯塑膠</t>
        </is>
      </c>
      <c r="M323" s="2" t="inlineStr">
        <is>
          <t>透明</t>
        </is>
      </c>
      <c r="N323" s="2" t="inlineStr">
        <is>
          <t>Y</t>
        </is>
      </c>
      <c r="O323" s="2" t="inlineStr">
        <is>
          <t>Y</t>
        </is>
      </c>
      <c r="P323" s="2" t="n">
        <v>59</v>
      </c>
      <c r="Q323" s="2" t="inlineStr">
        <is>
          <t>2026-10-26</t>
        </is>
      </c>
      <c r="R323" s="3" t="inlineStr">
        <is>
          <t>https://www.ikea.com.tw/zh/products/boxes-and-organisers/boxes-and-baskets/samla-spr-19440848</t>
        </is>
      </c>
      <c r="S323" s="2" t="inlineStr">
        <is>
          <t>官網</t>
        </is>
      </c>
      <c r="T323" s="2" t="inlineStr">
        <is>
          <t>high</t>
        </is>
      </c>
      <c r="U323" s="2" t="inlineStr">
        <is>
          <t>容積 5公升；內建卡扣設計可固定蓋子，防污防塵，也方便堆疊收納；SAMLA系列產品中所有尺寸均可相互搭配使用；適用於IVAR及BROR層架組</t>
        </is>
      </c>
      <c r="V323" s="2" t="inlineStr"/>
    </row>
    <row r="324">
      <c r="A324" s="2" t="inlineStr">
        <is>
          <t>IKEA-076</t>
        </is>
      </c>
      <c r="B324" s="2" t="inlineStr">
        <is>
          <t>IKEA</t>
        </is>
      </c>
      <c r="C324" s="2" t="inlineStr">
        <is>
          <t>SAMLA</t>
        </is>
      </c>
      <c r="D324" s="2" t="inlineStr">
        <is>
          <t>SAMLA 附蓋收納盒 39x28x14 公分/11 公升</t>
        </is>
      </c>
      <c r="E324" s="2" t="inlineStr">
        <is>
          <t>494.408.37</t>
        </is>
      </c>
      <c r="F324" s="2" t="n">
        <v>39</v>
      </c>
      <c r="G324" s="2" t="n">
        <v>28</v>
      </c>
      <c r="H324" s="2" t="n">
        <v>14</v>
      </c>
      <c r="I324" s="2" t="n"/>
      <c r="J324" s="2" t="n"/>
      <c r="K324" s="2" t="n"/>
      <c r="L324" s="2" t="inlineStr">
        <is>
          <t>聚丙烯塑膠</t>
        </is>
      </c>
      <c r="M324" s="2" t="inlineStr">
        <is>
          <t>透明</t>
        </is>
      </c>
      <c r="N324" s="2" t="inlineStr">
        <is>
          <t>Y</t>
        </is>
      </c>
      <c r="O324" s="2" t="inlineStr">
        <is>
          <t>Y</t>
        </is>
      </c>
      <c r="P324" s="2" t="n">
        <v>99</v>
      </c>
      <c r="Q324" s="2" t="inlineStr">
        <is>
          <t>2026-10-26</t>
        </is>
      </c>
      <c r="R324" s="3" t="inlineStr">
        <is>
          <t>https://www.ikea.com.tw/zh/products/boxes-and-organisers/boxes-and-baskets/samla-spr-49440837</t>
        </is>
      </c>
      <c r="S324" s="2" t="inlineStr">
        <is>
          <t>官網</t>
        </is>
      </c>
      <c r="T324" s="2" t="inlineStr">
        <is>
          <t>high</t>
        </is>
      </c>
      <c r="U324" s="2" t="inlineStr">
        <is>
          <t>容積 11公升；內建卡扣設計可固定蓋子，防污防塵，也方便堆疊收納；適用於IVAR、OMAR、BROR等多款層架組；SAMLA系列產品中所有尺寸均可相互搭配使用</t>
        </is>
      </c>
      <c r="V324" s="2" t="inlineStr"/>
    </row>
    <row r="325">
      <c r="A325" s="2" t="inlineStr">
        <is>
          <t>IKEA-077</t>
        </is>
      </c>
      <c r="B325" s="2" t="inlineStr">
        <is>
          <t>IKEA</t>
        </is>
      </c>
      <c r="C325" s="2" t="inlineStr">
        <is>
          <t>SAMLA</t>
        </is>
      </c>
      <c r="D325" s="2" t="inlineStr">
        <is>
          <t>SAMLA 附蓋收納盒 39x28x28 公分/22 公升</t>
        </is>
      </c>
      <c r="E325" s="2" t="inlineStr">
        <is>
          <t>394.408.28</t>
        </is>
      </c>
      <c r="F325" s="2" t="n">
        <v>39</v>
      </c>
      <c r="G325" s="2" t="n">
        <v>28</v>
      </c>
      <c r="H325" s="2" t="n">
        <v>28</v>
      </c>
      <c r="I325" s="2" t="n"/>
      <c r="J325" s="2" t="n"/>
      <c r="K325" s="2" t="n"/>
      <c r="L325" s="2" t="inlineStr">
        <is>
          <t>聚丙烯塑膠</t>
        </is>
      </c>
      <c r="M325" s="2" t="inlineStr">
        <is>
          <t>透明</t>
        </is>
      </c>
      <c r="N325" s="2" t="inlineStr">
        <is>
          <t>Y</t>
        </is>
      </c>
      <c r="O325" s="2" t="inlineStr">
        <is>
          <t>Y</t>
        </is>
      </c>
      <c r="P325" s="2" t="n">
        <v>149</v>
      </c>
      <c r="Q325" s="2" t="inlineStr">
        <is>
          <t>2026-10-26</t>
        </is>
      </c>
      <c r="R325" s="3" t="inlineStr">
        <is>
          <t>https://www.ikea.com.tw/zh/products/boxes-and-organisers/boxes-and-baskets/samla-spr-39440828</t>
        </is>
      </c>
      <c r="S325" s="2" t="inlineStr">
        <is>
          <t>官網</t>
        </is>
      </c>
      <c r="T325" s="2" t="inlineStr">
        <is>
          <t>high</t>
        </is>
      </c>
      <c r="U325" s="2" t="inlineStr">
        <is>
          <t>容積 22公升；內建卡扣設計可固定蓋子，防污防塵，也方便堆疊收納；適用於IVAR、OMAR、BROR等多款層架組；SAMLA系列產品中所有尺寸均可相互搭配使用</t>
        </is>
      </c>
      <c r="V325" s="2" t="inlineStr"/>
    </row>
    <row r="326">
      <c r="A326" s="2" t="inlineStr">
        <is>
          <t>IKEA-078</t>
        </is>
      </c>
      <c r="B326" s="2" t="inlineStr">
        <is>
          <t>IKEA</t>
        </is>
      </c>
      <c r="C326" s="2" t="inlineStr">
        <is>
          <t>SAMLA</t>
        </is>
      </c>
      <c r="D326" s="2" t="inlineStr">
        <is>
          <t>SAMLA 附蓋分格收納盒 39x28x28 公分/22 公升</t>
        </is>
      </c>
      <c r="E326" s="2" t="inlineStr">
        <is>
          <t>496.515.75</t>
        </is>
      </c>
      <c r="F326" s="2" t="n">
        <v>39</v>
      </c>
      <c r="G326" s="2" t="n">
        <v>28</v>
      </c>
      <c r="H326" s="2" t="n">
        <v>28</v>
      </c>
      <c r="I326" s="2" t="n"/>
      <c r="J326" s="2" t="n"/>
      <c r="K326" s="2" t="n"/>
      <c r="L326" s="2" t="inlineStr">
        <is>
          <t>聚丙烯塑膠</t>
        </is>
      </c>
      <c r="M326" s="2" t="inlineStr">
        <is>
          <t>透明</t>
        </is>
      </c>
      <c r="N326" s="2" t="inlineStr"/>
      <c r="O326" s="2" t="inlineStr">
        <is>
          <t>Y</t>
        </is>
      </c>
      <c r="P326" s="2" t="n">
        <v>248</v>
      </c>
      <c r="Q326" s="2" t="inlineStr">
        <is>
          <t>2026-10-26</t>
        </is>
      </c>
      <c r="R326" s="3" t="inlineStr">
        <is>
          <t>https://www.ikea.com.tw/zh/products/boxes-and-organisers/storage-boxes-and-accessories/samla-spr-49651575</t>
        </is>
      </c>
      <c r="S326" s="2" t="inlineStr">
        <is>
          <t>官網</t>
        </is>
      </c>
      <c r="T326" s="2" t="inlineStr">
        <is>
          <t>high</t>
        </is>
      </c>
      <c r="U326" s="2" t="inlineStr">
        <is>
          <t>容積 22公升；適用於IVAR、OMAR、BROR等多款層架組；SAMLA系列產品中所有尺寸均可相互搭配使用；含2個儲物隔層，能讓你充分運用抽屜空間</t>
        </is>
      </c>
      <c r="V326" s="2" t="inlineStr"/>
    </row>
    <row r="327">
      <c r="A327" s="2" t="inlineStr">
        <is>
          <t>IKEA-079</t>
        </is>
      </c>
      <c r="B327" s="2" t="inlineStr">
        <is>
          <t>IKEA</t>
        </is>
      </c>
      <c r="C327" s="2" t="inlineStr">
        <is>
          <t>SAMLA</t>
        </is>
      </c>
      <c r="D327" s="2" t="inlineStr">
        <is>
          <t>SAMLA 附蓋收納盒 14x18x10 公分/1 公升</t>
        </is>
      </c>
      <c r="E327" s="2" t="inlineStr">
        <is>
          <t>606.306.09</t>
        </is>
      </c>
      <c r="F327" s="2" t="n">
        <v>14</v>
      </c>
      <c r="G327" s="2" t="n">
        <v>18</v>
      </c>
      <c r="H327" s="2" t="n">
        <v>10</v>
      </c>
      <c r="I327" s="2" t="n"/>
      <c r="J327" s="2" t="n"/>
      <c r="K327" s="2" t="n"/>
      <c r="L327" s="2" t="inlineStr">
        <is>
          <t>聚丙烯塑膠</t>
        </is>
      </c>
      <c r="M327" s="2" t="inlineStr">
        <is>
          <t>透明</t>
        </is>
      </c>
      <c r="N327" s="2" t="inlineStr">
        <is>
          <t>Y</t>
        </is>
      </c>
      <c r="O327" s="2" t="inlineStr">
        <is>
          <t>Y</t>
        </is>
      </c>
      <c r="P327" s="2" t="n"/>
      <c r="Q327" s="2" t="inlineStr">
        <is>
          <t>2026-10-26</t>
        </is>
      </c>
      <c r="R327" s="3" t="inlineStr">
        <is>
          <t>https://www.ikea.com.tw/zh/products/boxes-and-organisers/storage-boxes-and-accessories/samla-art-60630609</t>
        </is>
      </c>
      <c r="S327" s="2" t="inlineStr">
        <is>
          <t>官網</t>
        </is>
      </c>
      <c r="T327" s="2" t="inlineStr">
        <is>
          <t>high</t>
        </is>
      </c>
      <c r="U327" s="2" t="inlineStr">
        <is>
          <t>SET:606.306.09|69|2|2;同尺寸2件裝，整包價69；包裝內含 2件裝；容積 1公升；內建卡扣設計可固定蓋子，防污防塵，也方便堆疊收納；適用於IVAR、OMAR、BROR等多款層架組；SAMLA系列產品中所有尺寸均可相互搭配使用</t>
        </is>
      </c>
      <c r="V327" s="2" t="inlineStr">
        <is>
          <t>整組 NT$69，此尺寸 2 件／共 2 件</t>
        </is>
      </c>
    </row>
    <row r="328">
      <c r="A328" s="2" t="inlineStr">
        <is>
          <t>IKEA-080</t>
        </is>
      </c>
      <c r="B328" s="2" t="inlineStr">
        <is>
          <t>IKEA</t>
        </is>
      </c>
      <c r="C328" s="2" t="inlineStr">
        <is>
          <t>SKUBB</t>
        </is>
      </c>
      <c r="D328" s="2" t="inlineStr">
        <is>
          <t>SKUBB 儲物盒 3件組 20x38x12 公分</t>
        </is>
      </c>
      <c r="E328" s="2" t="inlineStr">
        <is>
          <t>806.305.85</t>
        </is>
      </c>
      <c r="F328" s="2" t="n">
        <v>20</v>
      </c>
      <c r="G328" s="2" t="n">
        <v>38</v>
      </c>
      <c r="H328" s="2" t="n">
        <v>12</v>
      </c>
      <c r="I328" s="2" t="n"/>
      <c r="J328" s="2" t="n"/>
      <c r="K328" s="2" t="n"/>
      <c r="L328" s="2" t="inlineStr">
        <is>
          <t>布料:100%聚酯纖維 (至少90%再生材料), 100 % 聚氨酯；嵌件:聚丙烯塑膠</t>
        </is>
      </c>
      <c r="M328" s="2" t="inlineStr">
        <is>
          <t>深灰色/白色</t>
        </is>
      </c>
      <c r="N328" s="2" t="inlineStr"/>
      <c r="O328" s="2" t="inlineStr">
        <is>
          <t>N</t>
        </is>
      </c>
      <c r="P328" s="2" t="n">
        <v>179</v>
      </c>
      <c r="Q328" s="2" t="inlineStr">
        <is>
          <t>2026-10-26</t>
        </is>
      </c>
      <c r="R328" s="3" t="inlineStr">
        <is>
          <t>https://www.ikea.com.tw/zh/products/clothes-and-shoe-organisers-and-accessories/clothes-and-shoes-organisers/skubb-art-80630585</t>
        </is>
      </c>
      <c r="S328" s="2" t="inlineStr">
        <is>
          <t>官網</t>
        </is>
      </c>
      <c r="T328" s="2" t="inlineStr">
        <is>
          <t>high</t>
        </is>
      </c>
      <c r="U328" s="2" t="inlineStr">
        <is>
          <t>3件組；官網尺寸欄僅列單一尺寸 20x38x12 公分，未分列各件尺寸；各色商品編號：深灰色=806.305.85、白色=306.305.83；可將襪子、皮帶和首飾妥善收納在抽屜櫃及衣櫃；適合放在3個抽屜的GULLABERG和STORKLINTA抽屜櫃內，或4/6個抽屜的STORKLINTA抽屜櫃內</t>
        </is>
      </c>
      <c r="V328" s="2" t="inlineStr"/>
    </row>
    <row r="329">
      <c r="A329" s="2" t="inlineStr">
        <is>
          <t>IKEA-081</t>
        </is>
      </c>
      <c r="B329" s="2" t="inlineStr">
        <is>
          <t>IKEA</t>
        </is>
      </c>
      <c r="C329" s="2" t="inlineStr">
        <is>
          <t>SKUBB</t>
        </is>
      </c>
      <c r="D329" s="2" t="inlineStr">
        <is>
          <t>SKUBB 收納盒 3件組 31x34x33 公分</t>
        </is>
      </c>
      <c r="E329" s="2" t="inlineStr">
        <is>
          <t>101.863.90</t>
        </is>
      </c>
      <c r="F329" s="2" t="n">
        <v>31</v>
      </c>
      <c r="G329" s="2" t="n">
        <v>34</v>
      </c>
      <c r="H329" s="2" t="n">
        <v>33</v>
      </c>
      <c r="I329" s="2" t="n"/>
      <c r="J329" s="2" t="n"/>
      <c r="K329" s="2" t="n"/>
      <c r="L329" s="2" t="inlineStr">
        <is>
          <t>布料:100%聚酯纖維 (至少90%再生材料)；嵌件:聚丙烯塑膠</t>
        </is>
      </c>
      <c r="M329" s="2" t="inlineStr">
        <is>
          <t>白色</t>
        </is>
      </c>
      <c r="N329" s="2" t="inlineStr"/>
      <c r="O329" s="2" t="inlineStr">
        <is>
          <t>N</t>
        </is>
      </c>
      <c r="P329" s="2" t="n"/>
      <c r="Q329" s="2" t="inlineStr">
        <is>
          <t>2026-10-26</t>
        </is>
      </c>
      <c r="R329" s="3" t="inlineStr">
        <is>
          <t>https://www.ikea.com.tw/zh/products/clothes-and-shoe-organisers-and-accessories/clothes-and-shoes-organisers/skubb-art-10186390</t>
        </is>
      </c>
      <c r="S329" s="2" t="inlineStr">
        <is>
          <t>官網</t>
        </is>
      </c>
      <c r="T329" s="2" t="inlineStr">
        <is>
          <t>high</t>
        </is>
      </c>
      <c r="U329" s="2" t="inlineStr">
        <is>
          <t>SET:101.863.90|499|3|3; 套組內 3 件同尺寸（官網包裝件數 3 件裝）；包裝內含 3件裝；可並排放入寬100公分衣櫃；專為35公分深PAX櫃框所設計</t>
        </is>
      </c>
      <c r="V329" s="2" t="inlineStr">
        <is>
          <t>整組 NT$499，此尺寸 3 件／共 3 件</t>
        </is>
      </c>
    </row>
    <row r="330">
      <c r="A330" s="2" t="inlineStr">
        <is>
          <t>IKEA-082</t>
        </is>
      </c>
      <c r="B330" s="2" t="inlineStr">
        <is>
          <t>IKEA</t>
        </is>
      </c>
      <c r="C330" s="2" t="inlineStr">
        <is>
          <t>SKUBB</t>
        </is>
      </c>
      <c r="D330" s="2" t="inlineStr">
        <is>
          <t>SKUBB 鞋盒 22x34x16 公分</t>
        </is>
      </c>
      <c r="E330" s="2" t="inlineStr">
        <is>
          <t>004.729.81</t>
        </is>
      </c>
      <c r="F330" s="2" t="n">
        <v>22</v>
      </c>
      <c r="G330" s="2" t="n">
        <v>34</v>
      </c>
      <c r="H330" s="2" t="n">
        <v>16</v>
      </c>
      <c r="I330" s="2" t="n"/>
      <c r="J330" s="2" t="n"/>
      <c r="K330" s="2" t="n"/>
      <c r="L330" s="2" t="inlineStr">
        <is>
          <t>布料:100%聚酯纖維 (至少90%再生材料)；嵌件:聚丙烯塑膠</t>
        </is>
      </c>
      <c r="M330" s="2" t="inlineStr">
        <is>
          <t>深灰色/白色</t>
        </is>
      </c>
      <c r="N330" s="2" t="inlineStr"/>
      <c r="O330" s="2" t="inlineStr">
        <is>
          <t>N</t>
        </is>
      </c>
      <c r="P330" s="2" t="n"/>
      <c r="Q330" s="2" t="inlineStr">
        <is>
          <t>2026-10-26</t>
        </is>
      </c>
      <c r="R330" s="3" t="inlineStr">
        <is>
          <t>https://www.ikea.com.tw/zh/products/clothes-and-shoe-organisers-and-accessories/clothes-and-shoes-organisers/skubb-art-00472981</t>
        </is>
      </c>
      <c r="S330" s="2" t="inlineStr">
        <is>
          <t>官網</t>
        </is>
      </c>
      <c r="T330" s="2" t="inlineStr">
        <is>
          <t>high</t>
        </is>
      </c>
      <c r="U330" s="2" t="inlineStr">
        <is>
          <t>SET:004.729.81|329|4|4;同尺寸4件裝，整包價329；包裝內含 4件裝；各色商品編號：深灰色=004.729.81、白色=801.863.96；可並排放入100公分寬衣櫃；專為35公分深PAX櫃框所設計</t>
        </is>
      </c>
      <c r="V330" s="2" t="inlineStr">
        <is>
          <t>整組 NT$329，此尺寸 4 件／共 4 件</t>
        </is>
      </c>
    </row>
    <row r="331">
      <c r="A331" s="2" t="inlineStr">
        <is>
          <t>IKEA-083</t>
        </is>
      </c>
      <c r="B331" s="2" t="inlineStr">
        <is>
          <t>IKEA</t>
        </is>
      </c>
      <c r="C331" s="2" t="inlineStr">
        <is>
          <t>SKYFFEL</t>
        </is>
      </c>
      <c r="D331" s="2" t="inlineStr">
        <is>
          <t>SKYFFEL 置物籃 33x37x33 公分</t>
        </is>
      </c>
      <c r="E331" s="2" t="inlineStr">
        <is>
          <t>504.359.48</t>
        </is>
      </c>
      <c r="F331" s="2" t="n">
        <v>33</v>
      </c>
      <c r="G331" s="2" t="n">
        <v>37</v>
      </c>
      <c r="H331" s="2" t="n">
        <v>33</v>
      </c>
      <c r="I331" s="2" t="n"/>
      <c r="J331" s="2" t="n"/>
      <c r="K331" s="2" t="n"/>
      <c r="L331" s="2" t="inlineStr">
        <is>
          <t>聚丙烯塑膠 (至少50%再生材料)</t>
        </is>
      </c>
      <c r="M331" s="2" t="inlineStr">
        <is>
          <t>塑膠 白色/塑膠 黑色</t>
        </is>
      </c>
      <c r="N331" s="2" t="inlineStr"/>
      <c r="O331" s="2" t="inlineStr">
        <is>
          <t>N</t>
        </is>
      </c>
      <c r="P331" s="2" t="n">
        <v>299</v>
      </c>
      <c r="Q331" s="2" t="inlineStr">
        <is>
          <t>2026-10-26</t>
        </is>
      </c>
      <c r="R331" s="3" t="inlineStr">
        <is>
          <t>https://www.ikea.com.tw/zh/products/boxes-and-organisers/boxes-and-baskets/skyffel-art-50435948</t>
        </is>
      </c>
      <c r="S331" s="2" t="inlineStr">
        <is>
          <t>官網</t>
        </is>
      </c>
      <c r="T331" s="2" t="inlineStr">
        <is>
          <t>high</t>
        </is>
      </c>
      <c r="U331" s="2" t="inlineStr">
        <is>
          <t>各色商品編號：塑膠 白色=504.359.48、塑膠 黑色=304.359.49；適用於KALLAX層架組；適用KALLAX層架組</t>
        </is>
      </c>
      <c r="V331" s="2" t="inlineStr"/>
    </row>
    <row r="332">
      <c r="A332" s="2" t="inlineStr">
        <is>
          <t>IKEA-084</t>
        </is>
      </c>
      <c r="B332" s="2" t="inlineStr">
        <is>
          <t>IKEA</t>
        </is>
      </c>
      <c r="C332" s="2" t="inlineStr">
        <is>
          <t>SLÅTTERVALL</t>
        </is>
      </c>
      <c r="D332" s="2" t="inlineStr">
        <is>
          <t>SLÅTTERVALL 置物籃 32x35x32 公分</t>
        </is>
      </c>
      <c r="E332" s="2" t="inlineStr">
        <is>
          <t>506.124.27</t>
        </is>
      </c>
      <c r="F332" s="2" t="n">
        <v>32</v>
      </c>
      <c r="G332" s="2" t="n">
        <v>35</v>
      </c>
      <c r="H332" s="2" t="n">
        <v>32</v>
      </c>
      <c r="I332" s="2" t="n"/>
      <c r="J332" s="2" t="n"/>
      <c r="K332" s="2" t="n"/>
      <c r="L332" s="2" t="inlineStr">
        <is>
          <t>100%聚酯纖維 (至少90%再生材料)</t>
        </is>
      </c>
      <c r="M332" s="2" t="inlineStr">
        <is>
          <t>布質</t>
        </is>
      </c>
      <c r="N332" s="2" t="inlineStr"/>
      <c r="O332" s="2" t="inlineStr">
        <is>
          <t>N</t>
        </is>
      </c>
      <c r="P332" s="2" t="n">
        <v>199</v>
      </c>
      <c r="Q332" s="2" t="inlineStr">
        <is>
          <t>2026-10-26</t>
        </is>
      </c>
      <c r="R332" s="3" t="inlineStr">
        <is>
          <t>https://www.ikea.com.tw/zh/products/boxes-and-organisers/boxes-and-baskets/slattervall-art-50612427</t>
        </is>
      </c>
      <c r="S332" s="2" t="inlineStr">
        <is>
          <t>官網</t>
        </is>
      </c>
      <c r="T332" s="2" t="inlineStr">
        <is>
          <t>high</t>
        </is>
      </c>
      <c r="U332" s="2" t="inlineStr">
        <is>
          <t>官網標示為長度×寬度×高度，outer_d 填「長度」值；尺寸依KALLAX層架組設計；適用於LASTARE系統衣櫃</t>
        </is>
      </c>
      <c r="V332" s="2" t="inlineStr"/>
    </row>
    <row r="333">
      <c r="A333" s="2" t="inlineStr">
        <is>
          <t>IKEA-085</t>
        </is>
      </c>
      <c r="B333" s="2" t="inlineStr">
        <is>
          <t>IKEA</t>
        </is>
      </c>
      <c r="C333" s="2" t="inlineStr">
        <is>
          <t>SLÅTTERÄNG</t>
        </is>
      </c>
      <c r="D333" s="2" t="inlineStr">
        <is>
          <t>SLÅTTERÄNG 置物籃 25x32x15 公分</t>
        </is>
      </c>
      <c r="E333" s="2" t="inlineStr">
        <is>
          <t>906.258.09</t>
        </is>
      </c>
      <c r="F333" s="2" t="n">
        <v>25</v>
      </c>
      <c r="G333" s="2" t="n">
        <v>32</v>
      </c>
      <c r="H333" s="2" t="n">
        <v>15</v>
      </c>
      <c r="I333" s="2" t="n"/>
      <c r="J333" s="2" t="n"/>
      <c r="K333" s="2" t="n"/>
      <c r="L333" s="2" t="inlineStr">
        <is>
          <t>鋼質, 環氧/聚酯粉末塗料</t>
        </is>
      </c>
      <c r="M333" s="2" t="inlineStr">
        <is>
          <t>淺乳白色/碳黑色</t>
        </is>
      </c>
      <c r="N333" s="2" t="inlineStr"/>
      <c r="O333" s="2" t="inlineStr">
        <is>
          <t>N</t>
        </is>
      </c>
      <c r="P333" s="2" t="n">
        <v>149</v>
      </c>
      <c r="Q333" s="2" t="inlineStr">
        <is>
          <t>2026-10-26</t>
        </is>
      </c>
      <c r="R333" s="3" t="inlineStr">
        <is>
          <t>https://www.ikea.com.tw/zh/products/boxes-and-organisers/boxes-and-baskets/slatterang-art-90625809</t>
        </is>
      </c>
      <c r="S333" s="2" t="inlineStr">
        <is>
          <t>官網</t>
        </is>
      </c>
      <c r="T333" s="2" t="inlineStr">
        <is>
          <t>high</t>
        </is>
      </c>
      <c r="U333" s="2" t="inlineStr">
        <is>
          <t>官網標示為長度×寬度×高度，outer_d 填「長度」值；各色商品編號：淺乳白色=906.258.09、碳黑色=106.258.08；金屬材質堅固耐用，不僅可讓小物品整齊有序，也為層架增添獨特裝飾感</t>
        </is>
      </c>
      <c r="V333" s="2" t="inlineStr"/>
    </row>
    <row r="334">
      <c r="A334" s="2" t="inlineStr">
        <is>
          <t>IKEA-086</t>
        </is>
      </c>
      <c r="B334" s="2" t="inlineStr">
        <is>
          <t>IKEA</t>
        </is>
      </c>
      <c r="C334" s="2" t="inlineStr">
        <is>
          <t>SMARRA</t>
        </is>
      </c>
      <c r="D334" s="2" t="inlineStr">
        <is>
          <t>SMARRA 附蓋收納盒 30x30x23 公分</t>
        </is>
      </c>
      <c r="E334" s="2" t="inlineStr">
        <is>
          <t>403.480.65</t>
        </is>
      </c>
      <c r="F334" s="2" t="n">
        <v>30</v>
      </c>
      <c r="G334" s="2" t="n">
        <v>30</v>
      </c>
      <c r="H334" s="2" t="n">
        <v>23</v>
      </c>
      <c r="I334" s="2" t="n"/>
      <c r="J334" s="2" t="n"/>
      <c r="K334" s="2" t="n"/>
      <c r="L334" s="2" t="inlineStr">
        <is>
          <t>竹, 壓克力亮光漆</t>
        </is>
      </c>
      <c r="M334" s="2" t="inlineStr">
        <is>
          <t>自然色</t>
        </is>
      </c>
      <c r="N334" s="2" t="inlineStr"/>
      <c r="O334" s="2" t="inlineStr">
        <is>
          <t>Y</t>
        </is>
      </c>
      <c r="P334" s="2" t="n">
        <v>549</v>
      </c>
      <c r="Q334" s="2" t="inlineStr">
        <is>
          <t>2026-10-26</t>
        </is>
      </c>
      <c r="R334" s="3" t="inlineStr">
        <is>
          <t>https://www.ikea.com.tw/zh/products/boxes-and-organisers/boxes-and-baskets/smarra-art-40348065</t>
        </is>
      </c>
      <c r="S334" s="2" t="inlineStr">
        <is>
          <t>官網</t>
        </is>
      </c>
      <c r="T334" s="2" t="inlineStr">
        <is>
          <t>high</t>
        </is>
      </c>
      <c r="U334" s="2" t="inlineStr">
        <is>
          <t>適用於深35公分EKET收納櫃及含深30公分層板的其他收納家具</t>
        </is>
      </c>
      <c r="V334" s="2" t="inlineStr"/>
    </row>
    <row r="335">
      <c r="A335" s="2" t="inlineStr">
        <is>
          <t>IKEA-087</t>
        </is>
      </c>
      <c r="B335" s="2" t="inlineStr">
        <is>
          <t>IKEA</t>
        </is>
      </c>
      <c r="C335" s="2" t="inlineStr">
        <is>
          <t>SOCKERBIT</t>
        </is>
      </c>
      <c r="D335" s="2" t="inlineStr">
        <is>
          <t>SOCKERBIT 收納盒 19x26x15 公分</t>
        </is>
      </c>
      <c r="E335" s="2" t="inlineStr">
        <is>
          <t>703.161.81</t>
        </is>
      </c>
      <c r="F335" s="2" t="n">
        <v>19</v>
      </c>
      <c r="G335" s="2" t="n">
        <v>26</v>
      </c>
      <c r="H335" s="2" t="n">
        <v>15</v>
      </c>
      <c r="I335" s="2" t="n"/>
      <c r="J335" s="2" t="n"/>
      <c r="K335" s="2" t="n"/>
      <c r="L335" s="2" t="inlineStr">
        <is>
          <t>聚丙烯塑膠 (至少20%再生材料)</t>
        </is>
      </c>
      <c r="M335" s="2" t="inlineStr">
        <is>
          <t>白色</t>
        </is>
      </c>
      <c r="N335" s="2" t="inlineStr"/>
      <c r="O335" s="2" t="inlineStr">
        <is>
          <t>N</t>
        </is>
      </c>
      <c r="P335" s="2" t="n">
        <v>99</v>
      </c>
      <c r="Q335" s="2" t="inlineStr">
        <is>
          <t>2026-10-26</t>
        </is>
      </c>
      <c r="R335" s="3" t="inlineStr">
        <is>
          <t>https://www.ikea.com.tw/zh/products/boxes-and-organisers/boxes-and-baskets/sockerbit-art-70316181</t>
        </is>
      </c>
      <c r="S335" s="2" t="inlineStr">
        <is>
          <t>官網</t>
        </is>
      </c>
      <c r="T335" s="2" t="inlineStr">
        <is>
          <t>high</t>
        </is>
      </c>
      <c r="U335" s="2" t="inlineStr">
        <is>
          <t>官網標示為長度×寬度×高度，outer_d 填「長度」值；適用於有最少達19公分深層架的櫃或架內</t>
        </is>
      </c>
      <c r="V335" s="2" t="inlineStr"/>
    </row>
    <row r="336">
      <c r="A336" s="2" t="inlineStr">
        <is>
          <t>IKEA-088</t>
        </is>
      </c>
      <c r="B336" s="2" t="inlineStr">
        <is>
          <t>IKEA</t>
        </is>
      </c>
      <c r="C336" s="2" t="inlineStr">
        <is>
          <t>SOCKERBIT</t>
        </is>
      </c>
      <c r="D336" s="2" t="inlineStr">
        <is>
          <t>SOCKERBIT 附蓋收納盒 38x25x15 公分</t>
        </is>
      </c>
      <c r="E336" s="2" t="inlineStr">
        <is>
          <t>503.160.64</t>
        </is>
      </c>
      <c r="F336" s="2" t="n">
        <v>38</v>
      </c>
      <c r="G336" s="2" t="n">
        <v>25</v>
      </c>
      <c r="H336" s="2" t="n">
        <v>15</v>
      </c>
      <c r="I336" s="2" t="n"/>
      <c r="J336" s="2" t="n"/>
      <c r="K336" s="2" t="n"/>
      <c r="L336" s="2" t="inlineStr">
        <is>
          <t>聚丙烯塑膠 (至少20%再生材料)</t>
        </is>
      </c>
      <c r="M336" s="2" t="inlineStr">
        <is>
          <t>白色</t>
        </is>
      </c>
      <c r="N336" s="2" t="inlineStr">
        <is>
          <t>Y</t>
        </is>
      </c>
      <c r="O336" s="2" t="inlineStr">
        <is>
          <t>Y</t>
        </is>
      </c>
      <c r="P336" s="2" t="n">
        <v>179</v>
      </c>
      <c r="Q336" s="2" t="inlineStr">
        <is>
          <t>2026-10-26</t>
        </is>
      </c>
      <c r="R336" s="3" t="inlineStr">
        <is>
          <t>https://www.ikea.com.tw/zh/products/boxes-and-organisers/boxes-and-baskets/sockerbit-art-50316064</t>
        </is>
      </c>
      <c r="S336" s="2" t="inlineStr">
        <is>
          <t>官網</t>
        </is>
      </c>
      <c r="T336" s="2" t="inlineStr">
        <is>
          <t>high</t>
        </is>
      </c>
      <c r="U336" s="2" t="inlineStr">
        <is>
          <t>不同尺寸的收納盒可相互堆疊；可搭配深度達30公分的HEJNE和IVAR層架或其他最少有25公分深的收納櫃或架使用</t>
        </is>
      </c>
      <c r="V336" s="2" t="inlineStr"/>
    </row>
    <row r="337">
      <c r="A337" s="2" t="inlineStr">
        <is>
          <t>IKEA-089</t>
        </is>
      </c>
      <c r="B337" s="2" t="inlineStr">
        <is>
          <t>IKEA</t>
        </is>
      </c>
      <c r="C337" s="2" t="inlineStr">
        <is>
          <t>SOPPROT</t>
        </is>
      </c>
      <c r="D337" s="2" t="inlineStr">
        <is>
          <t>SOPPROT 組合式抽屜盒 12x26x12 公分</t>
        </is>
      </c>
      <c r="E337" s="2" t="inlineStr">
        <is>
          <t>104.359.45</t>
        </is>
      </c>
      <c r="F337" s="2" t="n">
        <v>12</v>
      </c>
      <c r="G337" s="2" t="n">
        <v>26</v>
      </c>
      <c r="H337" s="2" t="n">
        <v>12</v>
      </c>
      <c r="I337" s="2" t="n"/>
      <c r="J337" s="2" t="n"/>
      <c r="K337" s="2" t="n"/>
      <c r="L337" s="2" t="inlineStr">
        <is>
          <t>框架:聚丙烯塑膠, 聚丙烯塑膠；抽屜:聚丙烯塑膠</t>
        </is>
      </c>
      <c r="M337" s="2" t="inlineStr">
        <is>
          <t>透明白色</t>
        </is>
      </c>
      <c r="N337" s="2" t="inlineStr">
        <is>
          <t>Y</t>
        </is>
      </c>
      <c r="O337" s="2" t="inlineStr">
        <is>
          <t>N</t>
        </is>
      </c>
      <c r="P337" s="2" t="n">
        <v>149</v>
      </c>
      <c r="Q337" s="2" t="inlineStr">
        <is>
          <t>2026-10-26</t>
        </is>
      </c>
      <c r="R337" s="3" t="inlineStr">
        <is>
          <t>https://www.ikea.com.tw/zh/products/boxes-and-organisers/boxes-and-baskets/sopprot-art-10435945</t>
        </is>
      </c>
      <c r="S337" s="2" t="inlineStr">
        <is>
          <t>官網</t>
        </is>
      </c>
      <c r="T337" s="2" t="inlineStr">
        <is>
          <t>high</t>
        </is>
      </c>
      <c r="U337" s="2" t="inlineStr">
        <is>
          <t>可依需求搭配和堆疊；僅能搭配同深度的抽屜組；最高可疊放3組</t>
        </is>
      </c>
      <c r="V337" s="2" t="inlineStr"/>
    </row>
    <row r="338">
      <c r="A338" s="2" t="inlineStr">
        <is>
          <t>IKEA-090</t>
        </is>
      </c>
      <c r="B338" s="2" t="inlineStr">
        <is>
          <t>IKEA</t>
        </is>
      </c>
      <c r="C338" s="2" t="inlineStr">
        <is>
          <t>SOPPROT</t>
        </is>
      </c>
      <c r="D338" s="2" t="inlineStr">
        <is>
          <t>SOPPROT 組合式抽屜盒 25x26x12 公分</t>
        </is>
      </c>
      <c r="E338" s="2" t="inlineStr">
        <is>
          <t>904.359.46</t>
        </is>
      </c>
      <c r="F338" s="2" t="n">
        <v>25</v>
      </c>
      <c r="G338" s="2" t="n">
        <v>26</v>
      </c>
      <c r="H338" s="2" t="n">
        <v>12</v>
      </c>
      <c r="I338" s="2" t="n"/>
      <c r="J338" s="2" t="n"/>
      <c r="K338" s="2" t="n"/>
      <c r="L338" s="2" t="inlineStr">
        <is>
          <t>抽屜:聚丙烯塑膠；框架:聚丙烯塑膠, 聚丙烯塑膠</t>
        </is>
      </c>
      <c r="M338" s="2" t="inlineStr">
        <is>
          <t>透明白色</t>
        </is>
      </c>
      <c r="N338" s="2" t="inlineStr">
        <is>
          <t>Y</t>
        </is>
      </c>
      <c r="O338" s="2" t="inlineStr">
        <is>
          <t>N</t>
        </is>
      </c>
      <c r="P338" s="2" t="n">
        <v>249</v>
      </c>
      <c r="Q338" s="2" t="inlineStr">
        <is>
          <t>2026-10-26</t>
        </is>
      </c>
      <c r="R338" s="3" t="inlineStr">
        <is>
          <t>https://www.ikea.com.tw/zh/products/boxes-and-organisers/boxes-and-baskets/sopprot-art-90435946</t>
        </is>
      </c>
      <c r="S338" s="2" t="inlineStr">
        <is>
          <t>官網</t>
        </is>
      </c>
      <c r="T338" s="2" t="inlineStr">
        <is>
          <t>high</t>
        </is>
      </c>
      <c r="U338" s="2" t="inlineStr">
        <is>
          <t>可依需求搭配和堆疊 可拉出；僅能搭配同深度的抽屜組；最高可疊放3組</t>
        </is>
      </c>
      <c r="V338" s="2" t="inlineStr"/>
    </row>
    <row r="339">
      <c r="A339" s="2" t="inlineStr">
        <is>
          <t>IKEA-091</t>
        </is>
      </c>
      <c r="B339" s="2" t="inlineStr">
        <is>
          <t>IKEA</t>
        </is>
      </c>
      <c r="C339" s="2" t="inlineStr">
        <is>
          <t>SOPPROT</t>
        </is>
      </c>
      <c r="D339" s="2" t="inlineStr">
        <is>
          <t>SOPPROT 組合式抽屜盒 38x26x12 公分</t>
        </is>
      </c>
      <c r="E339" s="2" t="inlineStr">
        <is>
          <t>704.359.47</t>
        </is>
      </c>
      <c r="F339" s="2" t="n">
        <v>38</v>
      </c>
      <c r="G339" s="2" t="n">
        <v>26</v>
      </c>
      <c r="H339" s="2" t="n">
        <v>12</v>
      </c>
      <c r="I339" s="2" t="n"/>
      <c r="J339" s="2" t="n"/>
      <c r="K339" s="2" t="n"/>
      <c r="L339" s="2" t="inlineStr">
        <is>
          <t>框架:聚丙烯塑膠, 聚丙烯塑膠；抽屜:聚丙烯塑膠</t>
        </is>
      </c>
      <c r="M339" s="2" t="inlineStr">
        <is>
          <t>透明白色</t>
        </is>
      </c>
      <c r="N339" s="2" t="inlineStr">
        <is>
          <t>Y</t>
        </is>
      </c>
      <c r="O339" s="2" t="inlineStr">
        <is>
          <t>N</t>
        </is>
      </c>
      <c r="P339" s="2" t="n">
        <v>299</v>
      </c>
      <c r="Q339" s="2" t="inlineStr">
        <is>
          <t>2026-10-26</t>
        </is>
      </c>
      <c r="R339" s="3" t="inlineStr">
        <is>
          <t>https://www.ikea.com.tw/zh/products/boxes-and-organisers/boxes-and-baskets/sopprot-art-70435947</t>
        </is>
      </c>
      <c r="S339" s="2" t="inlineStr">
        <is>
          <t>官網</t>
        </is>
      </c>
      <c r="T339" s="2" t="inlineStr">
        <is>
          <t>high</t>
        </is>
      </c>
      <c r="U339" s="2" t="inlineStr">
        <is>
          <t>可依需求搭配和堆疊；僅能搭配同深度的抽屜組；最高可疊放3組</t>
        </is>
      </c>
      <c r="V339" s="2" t="inlineStr"/>
    </row>
    <row r="340">
      <c r="A340" s="2" t="inlineStr">
        <is>
          <t>IKEA-092</t>
        </is>
      </c>
      <c r="B340" s="2" t="inlineStr">
        <is>
          <t>IKEA</t>
        </is>
      </c>
      <c r="C340" s="2" t="inlineStr">
        <is>
          <t>STACKSTOD</t>
        </is>
      </c>
      <c r="D340" s="2" t="inlineStr">
        <is>
          <t>STACKSTOD 文具收納盒 32x18x16 公分</t>
        </is>
      </c>
      <c r="E340" s="2" t="inlineStr">
        <is>
          <t>306.201.45</t>
        </is>
      </c>
      <c r="F340" s="2" t="n">
        <v>32</v>
      </c>
      <c r="G340" s="2" t="n">
        <v>18</v>
      </c>
      <c r="H340" s="2" t="n">
        <v>16</v>
      </c>
      <c r="I340" s="2" t="n"/>
      <c r="J340" s="2" t="n"/>
      <c r="K340" s="2" t="n"/>
      <c r="L340" s="2" t="inlineStr">
        <is>
          <t>收納盒:聚丙烯塑膠 (至少50%再生材料)</t>
        </is>
      </c>
      <c r="M340" s="2" t="inlineStr">
        <is>
          <t>紅色</t>
        </is>
      </c>
      <c r="N340" s="2" t="inlineStr"/>
      <c r="O340" s="2" t="inlineStr">
        <is>
          <t>N</t>
        </is>
      </c>
      <c r="P340" s="2" t="n">
        <v>99</v>
      </c>
      <c r="Q340" s="2" t="inlineStr">
        <is>
          <t>2026-10-26</t>
        </is>
      </c>
      <c r="R340" s="3" t="inlineStr">
        <is>
          <t>https://www.ikea.com.tw/zh/products/boxes-and-organisers/organisers/stackstod-art-30620145</t>
        </is>
      </c>
      <c r="S340" s="2" t="inlineStr">
        <is>
          <t>官網</t>
        </is>
      </c>
      <c r="T340" s="2" t="inlineStr">
        <is>
          <t>high</t>
        </is>
      </c>
      <c r="U340" s="2" t="inlineStr"/>
      <c r="V340" s="2" t="inlineStr"/>
    </row>
    <row r="341">
      <c r="A341" s="2" t="inlineStr">
        <is>
          <t>IKEA-093</t>
        </is>
      </c>
      <c r="B341" s="2" t="inlineStr">
        <is>
          <t>IKEA</t>
        </is>
      </c>
      <c r="C341" s="2" t="inlineStr">
        <is>
          <t>STUK</t>
        </is>
      </c>
      <c r="D341" s="2" t="inlineStr">
        <is>
          <t>STUK 分格收納盒 17x32x10 公分</t>
        </is>
      </c>
      <c r="E341" s="2" t="inlineStr">
        <is>
          <t>506.215.25</t>
        </is>
      </c>
      <c r="F341" s="2" t="n">
        <v>17</v>
      </c>
      <c r="G341" s="2" t="n">
        <v>32</v>
      </c>
      <c r="H341" s="2" t="n">
        <v>10</v>
      </c>
      <c r="I341" s="2" t="n"/>
      <c r="J341" s="2" t="n"/>
      <c r="K341" s="2" t="n"/>
      <c r="L341" s="2" t="inlineStr">
        <is>
          <t>布料:100%聚酯纖維 (至少90%再生材料)；夾層材質:聚丙烯塑膠</t>
        </is>
      </c>
      <c r="M341" s="2" t="inlineStr">
        <is>
          <t>白色+黑色</t>
        </is>
      </c>
      <c r="N341" s="2" t="inlineStr"/>
      <c r="O341" s="2" t="inlineStr">
        <is>
          <t>N</t>
        </is>
      </c>
      <c r="P341" s="2" t="n">
        <v>99</v>
      </c>
      <c r="Q341" s="2" t="inlineStr">
        <is>
          <t>2026-10-26</t>
        </is>
      </c>
      <c r="R341" s="3" t="inlineStr">
        <is>
          <t>https://www.ikea.com.tw/zh/products/clothes-and-shoe-organisers-and-accessories/clothes-and-shoes-organisers/stuk-art-50621525</t>
        </is>
      </c>
      <c r="S341" s="2" t="inlineStr">
        <is>
          <t>官網</t>
        </is>
      </c>
      <c r="T341" s="2" t="inlineStr">
        <is>
          <t>high</t>
        </is>
      </c>
      <c r="U341" s="2" t="inlineStr">
        <is>
          <t>尺寸適合LASTARE和PLATSA收納系列，輕鬆整理衣櫃或抽屜中的襪子、內衣及其他小物品；適用於LASTARE系統衣櫃；適用於PLATSA衣櫃；LASTARE框架/抽屜櫃(60x42公分)：可剛好放入3個STUK分格收納盒(17x32x10公分)</t>
        </is>
      </c>
      <c r="V341" s="2" t="inlineStr"/>
    </row>
    <row r="342">
      <c r="A342" s="2" t="inlineStr">
        <is>
          <t>IKEA-094</t>
        </is>
      </c>
      <c r="B342" s="2" t="inlineStr">
        <is>
          <t>IKEA</t>
        </is>
      </c>
      <c r="C342" s="2" t="inlineStr">
        <is>
          <t>SÄTTING</t>
        </is>
      </c>
      <c r="D342" s="2" t="inlineStr">
        <is>
          <t>SÄTTING 附蓋電線收納盒 32x14x13 公分</t>
        </is>
      </c>
      <c r="E342" s="2" t="inlineStr">
        <is>
          <t>305.346.28</t>
        </is>
      </c>
      <c r="F342" s="2" t="n">
        <v>32</v>
      </c>
      <c r="G342" s="2" t="n">
        <v>14</v>
      </c>
      <c r="H342" s="2" t="n">
        <v>13</v>
      </c>
      <c r="I342" s="2" t="n"/>
      <c r="J342" s="2" t="n"/>
      <c r="K342" s="2" t="n"/>
      <c r="L342" s="2" t="inlineStr">
        <is>
          <t>ABS塑膠</t>
        </is>
      </c>
      <c r="M342" s="2" t="inlineStr"/>
      <c r="N342" s="2" t="inlineStr"/>
      <c r="O342" s="2" t="inlineStr">
        <is>
          <t>Y</t>
        </is>
      </c>
      <c r="P342" s="2" t="n">
        <v>249</v>
      </c>
      <c r="Q342" s="2" t="inlineStr">
        <is>
          <t>2026-10-26</t>
        </is>
      </c>
      <c r="R342" s="3" t="inlineStr">
        <is>
          <t>https://www.ikea.com.tw/zh/products/boxes-and-organisers/organisers/satting-art-30534628</t>
        </is>
      </c>
      <c r="S342" s="2" t="inlineStr">
        <is>
          <t>官網</t>
        </is>
      </c>
      <c r="T342" s="2" t="inlineStr">
        <is>
          <t>high</t>
        </is>
      </c>
      <c r="U342" s="2" t="inlineStr"/>
      <c r="V342" s="2" t="inlineStr"/>
    </row>
    <row r="343">
      <c r="A343" s="2" t="inlineStr">
        <is>
          <t>IKEA-095</t>
        </is>
      </c>
      <c r="B343" s="2" t="inlineStr">
        <is>
          <t>IKEA</t>
        </is>
      </c>
      <c r="C343" s="2" t="inlineStr">
        <is>
          <t>UPPDATERA</t>
        </is>
      </c>
      <c r="D343" s="2" t="inlineStr">
        <is>
          <t>UPPDATERA 收納盒 24x17 公分</t>
        </is>
      </c>
      <c r="E343" s="2" t="inlineStr">
        <is>
          <t>806.105.49</t>
        </is>
      </c>
      <c r="F343" s="2" t="n">
        <v>24</v>
      </c>
      <c r="G343" s="2" t="n">
        <v>17</v>
      </c>
      <c r="H343" s="2" t="n">
        <v>10</v>
      </c>
      <c r="I343" s="2" t="n"/>
      <c r="J343" s="2" t="n"/>
      <c r="K343" s="2" t="n"/>
      <c r="L343" s="2" t="inlineStr">
        <is>
          <t>聚丙烯塑膠 (至少50%再生材料)</t>
        </is>
      </c>
      <c r="M343" s="2" t="inlineStr">
        <is>
          <t>灰藍色/白色/碳黑色/紅棕色</t>
        </is>
      </c>
      <c r="N343" s="2" t="inlineStr"/>
      <c r="O343" s="2" t="inlineStr">
        <is>
          <t>N</t>
        </is>
      </c>
      <c r="P343" s="2" t="n">
        <v>59</v>
      </c>
      <c r="Q343" s="2" t="inlineStr">
        <is>
          <t>2026-10-26</t>
        </is>
      </c>
      <c r="R343" s="3" t="inlineStr">
        <is>
          <t>https://www.ikea.com.tw/zh/products/boxes-and-organisers/boxes-and-baskets/uppdatera-art-80610549</t>
        </is>
      </c>
      <c r="S343" s="2" t="inlineStr">
        <is>
          <t>官網</t>
        </is>
      </c>
      <c r="T343" s="2" t="inlineStr">
        <is>
          <t>high</t>
        </is>
      </c>
      <c r="U343" s="2" t="inlineStr">
        <is>
          <t>各色商品編號：灰藍色=806.105.49、白色=005.464.68、碳黑色=205.040.52、紅棕色=406.105.51；UPPDATERA收納盒設有兩個好握的把手，方便你將它們從抽屜或層架內拿出帶到有需要的地方；可以搭配其他UPPDATERA收納盒使用，盡量善用廚房抽屜內的空間；可搭配其他UPPDATERA廚房用具置放盆一併使用；UPPDATERA收納盒輕巧，方便四處移動，加上兩邊有把手孔，輕鬆方便就能從廚房的抽屜或層架中拿出來</t>
        </is>
      </c>
      <c r="V343" s="2" t="inlineStr"/>
    </row>
    <row r="344">
      <c r="A344" s="2" t="inlineStr">
        <is>
          <t>IKEA-096</t>
        </is>
      </c>
      <c r="B344" s="2" t="inlineStr">
        <is>
          <t>IKEA</t>
        </is>
      </c>
      <c r="C344" s="2" t="inlineStr">
        <is>
          <t>UPPDATERA</t>
        </is>
      </c>
      <c r="D344" s="2" t="inlineStr">
        <is>
          <t>UPPDATERA 收納盒 34x24 公分</t>
        </is>
      </c>
      <c r="E344" s="2" t="inlineStr">
        <is>
          <t>205.464.72</t>
        </is>
      </c>
      <c r="F344" s="2" t="n">
        <v>33.5</v>
      </c>
      <c r="G344" s="2" t="n">
        <v>24</v>
      </c>
      <c r="H344" s="2" t="n">
        <v>14.5</v>
      </c>
      <c r="I344" s="2" t="n"/>
      <c r="J344" s="2" t="n"/>
      <c r="K344" s="2" t="n"/>
      <c r="L344" s="2" t="inlineStr">
        <is>
          <t>聚丙烯塑膠 (至少50%再生材料)</t>
        </is>
      </c>
      <c r="M344" s="2" t="inlineStr">
        <is>
          <t>白色/碳黑色</t>
        </is>
      </c>
      <c r="N344" s="2" t="inlineStr"/>
      <c r="O344" s="2" t="inlineStr">
        <is>
          <t>N</t>
        </is>
      </c>
      <c r="P344" s="2" t="n">
        <v>89</v>
      </c>
      <c r="Q344" s="2" t="inlineStr">
        <is>
          <t>2026-10-26</t>
        </is>
      </c>
      <c r="R344" s="3" t="inlineStr">
        <is>
          <t>https://www.ikea.com.tw/zh/products/boxes-and-organisers/boxes-and-baskets/uppdatera-art-20546472</t>
        </is>
      </c>
      <c r="S344" s="2" t="inlineStr">
        <is>
          <t>官網</t>
        </is>
      </c>
      <c r="T344" s="2" t="inlineStr">
        <is>
          <t>high</t>
        </is>
      </c>
      <c r="U344" s="2" t="inlineStr">
        <is>
          <t>各色商品編號：白色=205.464.72、碳黑色=006.105.53；UPPDATERA收納盒輕巧，方便四處移動，加上兩邊有把手孔，輕鬆方便就能從廚房的抽屜或層架中拿出來；可搭配其他UPPDATERA廚房用具置放盆一併使用；UPPDATERA收納盒設有兩個好握的把手，方便你將它們從抽屜或層架內拿出帶到有需要的地方；可以搭配其他UPPDATERA收納盒使用，盡量善用廚房抽屜內的空間</t>
        </is>
      </c>
      <c r="V344" s="2" t="inlineStr"/>
    </row>
    <row r="345">
      <c r="A345" s="2" t="inlineStr">
        <is>
          <t>IKEA-097</t>
        </is>
      </c>
      <c r="B345" s="2" t="inlineStr">
        <is>
          <t>IKEA</t>
        </is>
      </c>
      <c r="C345" s="2" t="inlineStr">
        <is>
          <t>UPPDATERA</t>
        </is>
      </c>
      <c r="D345" s="2" t="inlineStr">
        <is>
          <t>UPPDATERA 收納箱 16x24x15 公分</t>
        </is>
      </c>
      <c r="E345" s="2" t="inlineStr">
        <is>
          <t>205.207.21</t>
        </is>
      </c>
      <c r="F345" s="2" t="n">
        <v>16</v>
      </c>
      <c r="G345" s="2" t="n">
        <v>24</v>
      </c>
      <c r="H345" s="2" t="n">
        <v>15</v>
      </c>
      <c r="I345" s="2" t="n"/>
      <c r="J345" s="2" t="n"/>
      <c r="K345" s="2" t="n"/>
      <c r="L345" s="2" t="inlineStr">
        <is>
          <t>基本材質:竹, 染色, 透明漆；底座:纖維板, 竹子貼皮, 染色, 透明漆</t>
        </is>
      </c>
      <c r="M345" s="2" t="inlineStr">
        <is>
          <t>淺色竹</t>
        </is>
      </c>
      <c r="N345" s="2" t="inlineStr"/>
      <c r="O345" s="2" t="inlineStr">
        <is>
          <t>N</t>
        </is>
      </c>
      <c r="P345" s="2" t="n">
        <v>399</v>
      </c>
      <c r="Q345" s="2" t="inlineStr">
        <is>
          <t>2026-10-26</t>
        </is>
      </c>
      <c r="R345" s="3" t="inlineStr">
        <is>
          <t>https://www.ikea.com.tw/zh/products/boxes-and-organisers/boxes-and-baskets/uppdatera-art-20520721</t>
        </is>
      </c>
      <c r="S345" s="2" t="inlineStr">
        <is>
          <t>官網</t>
        </is>
      </c>
      <c r="T345" s="2" t="inlineStr">
        <is>
          <t>high</t>
        </is>
      </c>
      <c r="U345" s="2" t="inlineStr">
        <is>
          <t>可搭配UPPDATERA抽屜間隔，盡量利用廚房抽屜中的每寸空間</t>
        </is>
      </c>
      <c r="V345" s="2" t="inlineStr"/>
    </row>
    <row r="346">
      <c r="A346" s="2" t="inlineStr">
        <is>
          <t>IKEA-098</t>
        </is>
      </c>
      <c r="B346" s="2" t="inlineStr">
        <is>
          <t>IKEA</t>
        </is>
      </c>
      <c r="C346" s="2" t="inlineStr">
        <is>
          <t>UPPDATERA</t>
        </is>
      </c>
      <c r="D346" s="2" t="inlineStr">
        <is>
          <t>UPPDATERA 收納箱 24x32x15 公分</t>
        </is>
      </c>
      <c r="E346" s="2" t="inlineStr">
        <is>
          <t>005.207.22</t>
        </is>
      </c>
      <c r="F346" s="2" t="n">
        <v>24</v>
      </c>
      <c r="G346" s="2" t="n">
        <v>32</v>
      </c>
      <c r="H346" s="2" t="n">
        <v>15</v>
      </c>
      <c r="I346" s="2" t="n"/>
      <c r="J346" s="2" t="n"/>
      <c r="K346" s="2" t="n"/>
      <c r="L346" s="2" t="inlineStr">
        <is>
          <t>基本材質:竹, 染色, 透明漆；底座:纖維板, 竹子貼皮, 染色, 透明漆</t>
        </is>
      </c>
      <c r="M346" s="2" t="inlineStr">
        <is>
          <t>淺色竹</t>
        </is>
      </c>
      <c r="N346" s="2" t="inlineStr">
        <is>
          <t>Y</t>
        </is>
      </c>
      <c r="O346" s="2" t="inlineStr">
        <is>
          <t>N</t>
        </is>
      </c>
      <c r="P346" s="2" t="n">
        <v>599</v>
      </c>
      <c r="Q346" s="2" t="inlineStr">
        <is>
          <t>2026-10-26</t>
        </is>
      </c>
      <c r="R346" s="3" t="inlineStr">
        <is>
          <t>https://www.ikea.com.tw/zh/products/boxes-and-organisers/boxes-and-baskets/uppdatera-art-00520722</t>
        </is>
      </c>
      <c r="S346" s="2" t="inlineStr">
        <is>
          <t>官網</t>
        </is>
      </c>
      <c r="T346" s="2" t="inlineStr">
        <is>
          <t>high</t>
        </is>
      </c>
      <c r="U346" s="2" t="inlineStr">
        <is>
          <t>可搭配UPPDATERA抽屜間隔，盡量利用廚房抽屜中的每寸空間</t>
        </is>
      </c>
      <c r="V346" s="2" t="inlineStr"/>
    </row>
    <row r="347">
      <c r="A347" s="2" t="inlineStr">
        <is>
          <t>IKEA-099</t>
        </is>
      </c>
      <c r="B347" s="2" t="inlineStr">
        <is>
          <t>IKEA</t>
        </is>
      </c>
      <c r="C347" s="2" t="inlineStr">
        <is>
          <t>UPPDATERA</t>
        </is>
      </c>
      <c r="D347" s="2" t="inlineStr">
        <is>
          <t>UPPDATERA 刀叉收納盤 32x31 公分</t>
        </is>
      </c>
      <c r="E347" s="2" t="inlineStr">
        <is>
          <t>404.864.10</t>
        </is>
      </c>
      <c r="F347" s="2" t="n">
        <v>31.6</v>
      </c>
      <c r="G347" s="2" t="n">
        <v>30.6</v>
      </c>
      <c r="H347" s="2" t="n">
        <v>5</v>
      </c>
      <c r="I347" s="2" t="n"/>
      <c r="J347" s="2" t="n"/>
      <c r="K347" s="2" t="n"/>
      <c r="L347" s="2" t="inlineStr">
        <is>
          <t>聚丙烯塑膠 (至少20%再生材料), 合成橡膠</t>
        </is>
      </c>
      <c r="M347" s="2" t="inlineStr">
        <is>
          <t>白色</t>
        </is>
      </c>
      <c r="N347" s="2" t="inlineStr"/>
      <c r="O347" s="2" t="inlineStr">
        <is>
          <t>N</t>
        </is>
      </c>
      <c r="P347" s="2" t="n">
        <v>159</v>
      </c>
      <c r="Q347" s="2" t="inlineStr">
        <is>
          <t>2026-10-26</t>
        </is>
      </c>
      <c r="R347" s="3" t="inlineStr">
        <is>
          <t>https://www.ikea.com.tw/zh/products/kitchen-accessories/kitchen-interior-organisers/uppdatera-art-40486410</t>
        </is>
      </c>
      <c r="S347" s="2" t="inlineStr">
        <is>
          <t>官網</t>
        </is>
      </c>
      <c r="T347" s="2" t="inlineStr">
        <is>
          <t>high</t>
        </is>
      </c>
      <c r="U347" s="2" t="inlineStr">
        <is>
          <t>適用於寬40公分的MAXIMERA抽屜內。 其他尺寸的抽屜，則可搭配UPPDATERA系列的其他間隔配件，最大地善用空間；方便整齊收納餐具和廚具，讓你快速找到抽屜內的物品，開始烹飪；可保護餐具和廚具，避免放在抽屜內刮傷或受損；可搭配其他UPPDATERA抽屜收納間隔使用，增加廚櫃抽屜的空間</t>
        </is>
      </c>
      <c r="V347" s="2" t="inlineStr"/>
    </row>
    <row r="348">
      <c r="A348" s="2" t="inlineStr">
        <is>
          <t>IKEA-100</t>
        </is>
      </c>
      <c r="B348" s="2" t="inlineStr">
        <is>
          <t>IKEA</t>
        </is>
      </c>
      <c r="C348" s="2" t="inlineStr">
        <is>
          <t>UPPDATERA</t>
        </is>
      </c>
      <c r="D348" s="2" t="inlineStr">
        <is>
          <t>UPPDATERA 廚房用具置放盤 20x31 公分</t>
        </is>
      </c>
      <c r="E348" s="2" t="inlineStr">
        <is>
          <t>604.864.09</t>
        </is>
      </c>
      <c r="F348" s="2" t="n">
        <v>20</v>
      </c>
      <c r="G348" s="2" t="n">
        <v>30.6</v>
      </c>
      <c r="H348" s="2" t="n">
        <v>5</v>
      </c>
      <c r="I348" s="2" t="n"/>
      <c r="J348" s="2" t="n"/>
      <c r="K348" s="2" t="n"/>
      <c r="L348" s="2" t="inlineStr">
        <is>
          <t>聚丙烯塑膠 (至少20%再生材料), 合成橡膠</t>
        </is>
      </c>
      <c r="M348" s="2" t="inlineStr">
        <is>
          <t>白色</t>
        </is>
      </c>
      <c r="N348" s="2" t="inlineStr"/>
      <c r="O348" s="2" t="inlineStr">
        <is>
          <t>N</t>
        </is>
      </c>
      <c r="P348" s="2" t="n">
        <v>79</v>
      </c>
      <c r="Q348" s="2" t="inlineStr">
        <is>
          <t>2026-10-26</t>
        </is>
      </c>
      <c r="R348" s="3" t="inlineStr">
        <is>
          <t>https://www.ikea.com.tw/zh/products/kitchen-accessories/kitchen-interior-organisers/uppdatera-art-60486409</t>
        </is>
      </c>
      <c r="S348" s="2" t="inlineStr">
        <is>
          <t>官網</t>
        </is>
      </c>
      <c r="T348" s="2" t="inlineStr">
        <is>
          <t>high</t>
        </is>
      </c>
      <c r="U348" s="2" t="inlineStr">
        <is>
          <t>方便整齊收納餐具和廚具，讓你快速找到抽屜內的物品，開始烹飪；可保護廚具，避免放在抽屜內刮傷或受損；可搭配其他UPPDATERA抽屜收納間隔使用，增加廚櫃抽屜的空間；當你拉開或關上抽屜時，托盤底的膠腳可防止它在抽屜內滑動，即使你的抽屜較托盤稍為大一點</t>
        </is>
      </c>
      <c r="V348" s="2" t="inlineStr"/>
    </row>
    <row r="349">
      <c r="A349" s="2" t="inlineStr">
        <is>
          <t>IKEA-101</t>
        </is>
      </c>
      <c r="B349" s="2" t="inlineStr">
        <is>
          <t>IKEA</t>
        </is>
      </c>
      <c r="C349" s="2" t="inlineStr">
        <is>
          <t>UPPDATERA</t>
        </is>
      </c>
      <c r="D349" s="2" t="inlineStr">
        <is>
          <t>UPPDATERA 餐具收納籃 12x12 公分</t>
        </is>
      </c>
      <c r="E349" s="2" t="inlineStr">
        <is>
          <t>004.864.26</t>
        </is>
      </c>
      <c r="F349" s="2" t="n">
        <v>12</v>
      </c>
      <c r="G349" s="2" t="n">
        <v>12</v>
      </c>
      <c r="H349" s="2" t="n">
        <v>24.3</v>
      </c>
      <c r="I349" s="2" t="n"/>
      <c r="J349" s="2" t="n"/>
      <c r="K349" s="2" t="n"/>
      <c r="L349" s="2" t="inlineStr">
        <is>
          <t>籃/ 手把/ 下燈管:鋼質, 環氧樹脂塗料, 粉末塗層；分隔板/ 底部夾層材質:聚丙烯塑膠</t>
        </is>
      </c>
      <c r="M349" s="2" t="inlineStr">
        <is>
          <t>碳黑色</t>
        </is>
      </c>
      <c r="N349" s="2" t="inlineStr"/>
      <c r="O349" s="2" t="inlineStr">
        <is>
          <t>N</t>
        </is>
      </c>
      <c r="P349" s="2" t="n">
        <v>129</v>
      </c>
      <c r="Q349" s="2" t="inlineStr">
        <is>
          <t>2026-10-26</t>
        </is>
      </c>
      <c r="R349" s="3" t="inlineStr">
        <is>
          <t>https://www.ikea.com.tw/zh/products/kitchen-accessories/kitchen-interior-organisers/uppdatera-art-00486426</t>
        </is>
      </c>
      <c r="S349" s="2" t="inlineStr">
        <is>
          <t>官網</t>
        </is>
      </c>
      <c r="T349" s="2" t="inlineStr">
        <is>
          <t>high</t>
        </is>
      </c>
      <c r="U349" s="2" t="inlineStr">
        <is>
          <t>官網標示為長度×寬度×高度，outer_d 填「長度」值；將它放在抽屜內或是廚房工作檯上，方便隨時取用；可搭配其他UPPDATERA廚房用具置放盆一併使用</t>
        </is>
      </c>
      <c r="V349" s="2" t="inlineStr"/>
    </row>
    <row r="350">
      <c r="A350" s="2" t="inlineStr">
        <is>
          <t>IKEA-102</t>
        </is>
      </c>
      <c r="B350" s="2" t="inlineStr">
        <is>
          <t>IKEA</t>
        </is>
      </c>
      <c r="C350" s="2" t="inlineStr">
        <is>
          <t>UPPSNOFSAD</t>
        </is>
      </c>
      <c r="D350" s="2" t="inlineStr">
        <is>
          <t>UPPSNOFSAD 收納盒 25x17x12 公分/3.5 公升</t>
        </is>
      </c>
      <c r="E350" s="2" t="inlineStr">
        <is>
          <t>604.407.65</t>
        </is>
      </c>
      <c r="F350" s="2" t="n">
        <v>17</v>
      </c>
      <c r="G350" s="2" t="n">
        <v>25</v>
      </c>
      <c r="H350" s="2" t="n">
        <v>11.5</v>
      </c>
      <c r="I350" s="2" t="n"/>
      <c r="J350" s="2" t="n"/>
      <c r="K350" s="2" t="n"/>
      <c r="L350" s="2" t="inlineStr">
        <is>
          <t>聚丙烯 (至少50%再生材料)</t>
        </is>
      </c>
      <c r="M350" s="2" t="inlineStr">
        <is>
          <t>黑色/透明白色</t>
        </is>
      </c>
      <c r="N350" s="2" t="inlineStr">
        <is>
          <t>Y</t>
        </is>
      </c>
      <c r="O350" s="2" t="inlineStr">
        <is>
          <t>N</t>
        </is>
      </c>
      <c r="P350" s="2" t="n">
        <v>29</v>
      </c>
      <c r="Q350" s="2" t="inlineStr">
        <is>
          <t>2026-10-26</t>
        </is>
      </c>
      <c r="R350" s="3" t="inlineStr">
        <is>
          <t>https://www.ikea.com.tw/zh/products/boxes-and-organisers/boxes-and-baskets/uppsnofsad-art-60440765</t>
        </is>
      </c>
      <c r="S350" s="2" t="inlineStr">
        <is>
          <t>官網</t>
        </is>
      </c>
      <c r="T350" s="2" t="inlineStr">
        <is>
          <t>high</t>
        </is>
      </c>
      <c r="U350" s="2" t="inlineStr">
        <is>
          <t>官網標示為長度×寬度×高度，outer_d 填「長度」值；容積 3.5公升；各色商品編號：黑色=604.407.65、透明白色=206.442.84；同尺寸 UPPSNOFSAD 蓋子另售；可堆疊，都能讓你清楚看到收納物</t>
        </is>
      </c>
      <c r="V350" s="2" t="inlineStr"/>
    </row>
    <row r="351">
      <c r="A351" s="2" t="inlineStr">
        <is>
          <t>IKEA-103</t>
        </is>
      </c>
      <c r="B351" s="2" t="inlineStr">
        <is>
          <t>IKEA</t>
        </is>
      </c>
      <c r="C351" s="2" t="inlineStr">
        <is>
          <t>UPPSNOFSAD</t>
        </is>
      </c>
      <c r="D351" s="2" t="inlineStr">
        <is>
          <t>UPPSNOFSAD 收納盒 35x25x14 公分/9 公升</t>
        </is>
      </c>
      <c r="E351" s="2" t="inlineStr">
        <is>
          <t>305.982.05</t>
        </is>
      </c>
      <c r="F351" s="2" t="n">
        <v>25</v>
      </c>
      <c r="G351" s="2" t="n">
        <v>35</v>
      </c>
      <c r="H351" s="2" t="n">
        <v>14</v>
      </c>
      <c r="I351" s="2" t="n"/>
      <c r="J351" s="2" t="n"/>
      <c r="K351" s="2" t="n"/>
      <c r="L351" s="2" t="inlineStr">
        <is>
          <t>聚丙烯 (至少50%再生材料)</t>
        </is>
      </c>
      <c r="M351" s="2" t="inlineStr">
        <is>
          <t>黑色/透明白色</t>
        </is>
      </c>
      <c r="N351" s="2" t="inlineStr">
        <is>
          <t>Y</t>
        </is>
      </c>
      <c r="O351" s="2" t="inlineStr">
        <is>
          <t>N</t>
        </is>
      </c>
      <c r="P351" s="2" t="n">
        <v>49</v>
      </c>
      <c r="Q351" s="2" t="inlineStr">
        <is>
          <t>2026-10-26</t>
        </is>
      </c>
      <c r="R351" s="3" t="inlineStr">
        <is>
          <t>https://www.ikea.com.tw/zh/products/boxes-and-organisers/storage-boxes-and-accessories/uppsnofsad-art-30598205</t>
        </is>
      </c>
      <c r="S351" s="2" t="inlineStr">
        <is>
          <t>官網</t>
        </is>
      </c>
      <c r="T351" s="2" t="inlineStr">
        <is>
          <t>high</t>
        </is>
      </c>
      <c r="U351" s="2" t="inlineStr">
        <is>
          <t>官網標示為長度×寬度×高度，outer_d 填「長度」值；容積 9公升；各色商品編號：黑色=305.982.05、透明白色=906.442.85；同尺寸 UPPSNOFSAD 蓋子另售；可堆疊，都能讓你清楚看到收納物；適用於最少有25公分深的收納家具和層架上</t>
        </is>
      </c>
      <c r="V351" s="2" t="inlineStr"/>
    </row>
    <row r="352">
      <c r="A352" s="2" t="inlineStr">
        <is>
          <t>IKEA-104</t>
        </is>
      </c>
      <c r="B352" s="2" t="inlineStr">
        <is>
          <t>IKEA</t>
        </is>
      </c>
      <c r="C352" s="2" t="inlineStr">
        <is>
          <t>UPPSNOFSAD</t>
        </is>
      </c>
      <c r="D352" s="2" t="inlineStr">
        <is>
          <t>UPPSNOFSAD 附蓋收納盒 35x25x14 公分/9 公升</t>
        </is>
      </c>
      <c r="E352" s="2" t="inlineStr">
        <is>
          <t>295.999.94</t>
        </is>
      </c>
      <c r="F352" s="2" t="n">
        <v>25</v>
      </c>
      <c r="G352" s="2" t="n">
        <v>35</v>
      </c>
      <c r="H352" s="2" t="n">
        <v>14</v>
      </c>
      <c r="I352" s="2" t="n"/>
      <c r="J352" s="2" t="n"/>
      <c r="K352" s="2" t="n"/>
      <c r="L352" s="2" t="inlineStr">
        <is>
          <t>聚丙烯 (至少50%再生材料)</t>
        </is>
      </c>
      <c r="M352" s="2" t="inlineStr">
        <is>
          <t>黑色/透明</t>
        </is>
      </c>
      <c r="N352" s="2" t="inlineStr"/>
      <c r="O352" s="2" t="inlineStr">
        <is>
          <t>Y</t>
        </is>
      </c>
      <c r="P352" s="2" t="n">
        <v>79</v>
      </c>
      <c r="Q352" s="2" t="inlineStr">
        <is>
          <t>2026-10-26</t>
        </is>
      </c>
      <c r="R352" s="3" t="inlineStr">
        <is>
          <t>https://www.ikea.com.tw/zh/products/boxes-and-organisers/storage-boxes-and-accessories/uppsnofsad-spr-29599994</t>
        </is>
      </c>
      <c r="S352" s="2" t="inlineStr">
        <is>
          <t>官網</t>
        </is>
      </c>
      <c r="T352" s="2" t="inlineStr">
        <is>
          <t>high</t>
        </is>
      </c>
      <c r="U352" s="2" t="inlineStr">
        <is>
          <t>官網標示為長度×寬度×高度，outer_d 填「長度」值；容積 9公升；收納盒＋蓋子組合，外寸為官網組合尺寸；內附：1 x 收納盒 UPPSNOFSAD 35x25x14 公分/9 公升 1 x 蓋子 UPPSNOFSAD 35x25 公分；各色商品編號：黑色=295.999.94、透明=496.300.74</t>
        </is>
      </c>
      <c r="V352" s="2" t="inlineStr"/>
    </row>
    <row r="353">
      <c r="A353" s="2" t="inlineStr">
        <is>
          <t>IKEA-105</t>
        </is>
      </c>
      <c r="B353" s="2" t="inlineStr">
        <is>
          <t>IKEA</t>
        </is>
      </c>
      <c r="C353" s="2" t="inlineStr">
        <is>
          <t>UPPSNOFSAD</t>
        </is>
      </c>
      <c r="D353" s="2" t="inlineStr">
        <is>
          <t>UPPSNOFSAD 附蓋收納盒 25x17x12 公分/3.5 公升</t>
        </is>
      </c>
      <c r="E353" s="2" t="inlineStr">
        <is>
          <t>696.300.73</t>
        </is>
      </c>
      <c r="F353" s="2" t="n">
        <v>17</v>
      </c>
      <c r="G353" s="2" t="n">
        <v>25</v>
      </c>
      <c r="H353" s="2" t="n">
        <v>12</v>
      </c>
      <c r="I353" s="2" t="n"/>
      <c r="J353" s="2" t="n"/>
      <c r="K353" s="2" t="n"/>
      <c r="L353" s="2" t="inlineStr">
        <is>
          <t>聚丙烯塑膠</t>
        </is>
      </c>
      <c r="M353" s="2" t="inlineStr">
        <is>
          <t>透明</t>
        </is>
      </c>
      <c r="N353" s="2" t="inlineStr"/>
      <c r="O353" s="2" t="inlineStr">
        <is>
          <t>Y</t>
        </is>
      </c>
      <c r="P353" s="2" t="n">
        <v>39</v>
      </c>
      <c r="Q353" s="2" t="inlineStr">
        <is>
          <t>2026-10-26</t>
        </is>
      </c>
      <c r="R353" s="3" t="inlineStr">
        <is>
          <t>https://www.ikea.com.tw/zh/products/boxes-and-organisers/storage-boxes-and-accessories/uppsnofsad-spr-69630073</t>
        </is>
      </c>
      <c r="S353" s="2" t="inlineStr">
        <is>
          <t>官網</t>
        </is>
      </c>
      <c r="T353" s="2" t="inlineStr">
        <is>
          <t>high</t>
        </is>
      </c>
      <c r="U353" s="2" t="inlineStr">
        <is>
          <t>官網標示為長度×寬度×高度，outer_d 填「長度」值；容積 3.5公升；收納盒＋蓋子組合，外寸為官網組合尺寸；內附：1 x 收納盒 UPPSNOFSAD 25x17x12 公分/3.5 公升 1 x 蓋子 UPPSNOFSAD 25x17 公分</t>
        </is>
      </c>
      <c r="V353" s="2" t="inlineStr"/>
    </row>
    <row r="354">
      <c r="A354" s="2" t="inlineStr">
        <is>
          <t>IKEA-106</t>
        </is>
      </c>
      <c r="B354" s="2" t="inlineStr">
        <is>
          <t>IKEA</t>
        </is>
      </c>
      <c r="C354" s="2" t="inlineStr">
        <is>
          <t>VATTENTRÅG</t>
        </is>
      </c>
      <c r="D354" s="2" t="inlineStr">
        <is>
          <t>VATTENTRÅG 附蓋收納盒 32x23x10 公分</t>
        </is>
      </c>
      <c r="E354" s="2" t="inlineStr">
        <is>
          <t>005.510.92</t>
        </is>
      </c>
      <c r="F354" s="2" t="n">
        <v>32</v>
      </c>
      <c r="G354" s="2" t="n">
        <v>23</v>
      </c>
      <c r="H354" s="2" t="n">
        <v>10</v>
      </c>
      <c r="I354" s="2" t="n"/>
      <c r="J354" s="2" t="n"/>
      <c r="K354" s="2" t="n"/>
      <c r="L354" s="2" t="inlineStr">
        <is>
          <t>100%再生瓦楞板</t>
        </is>
      </c>
      <c r="M354" s="2" t="inlineStr"/>
      <c r="N354" s="2" t="inlineStr"/>
      <c r="O354" s="2" t="inlineStr">
        <is>
          <t>Y</t>
        </is>
      </c>
      <c r="P354" s="2" t="n">
        <v>29</v>
      </c>
      <c r="Q354" s="2" t="inlineStr">
        <is>
          <t>2026-10-26</t>
        </is>
      </c>
      <c r="R354" s="3" t="inlineStr">
        <is>
          <t>https://www.ikea.com.tw/zh/products/boxes-and-organisers/boxes-and-baskets/vattentrag-art-00551092</t>
        </is>
      </c>
      <c r="S354" s="2" t="inlineStr">
        <is>
          <t>官網</t>
        </is>
      </c>
      <c r="T354" s="2" t="inlineStr">
        <is>
          <t>high</t>
        </is>
      </c>
      <c r="U354" s="2" t="inlineStr"/>
      <c r="V354" s="2" t="inlineStr"/>
    </row>
    <row r="355">
      <c r="A355" s="2" t="inlineStr">
        <is>
          <t>IKEA-107</t>
        </is>
      </c>
      <c r="B355" s="2" t="inlineStr">
        <is>
          <t>IKEA</t>
        </is>
      </c>
      <c r="C355" s="2" t="inlineStr">
        <is>
          <t>SKUBB</t>
        </is>
      </c>
      <c r="D355" s="2" t="inlineStr">
        <is>
          <t>SKUBB 收納盒 6件組（拆件 14x14x13）</t>
        </is>
      </c>
      <c r="E355" s="2" t="inlineStr">
        <is>
          <t>004.729.57</t>
        </is>
      </c>
      <c r="F355" s="2" t="n">
        <v>14</v>
      </c>
      <c r="G355" s="2" t="n">
        <v>14</v>
      </c>
      <c r="H355" s="2" t="n">
        <v>13</v>
      </c>
      <c r="I355" s="2" t="n"/>
      <c r="J355" s="2" t="n"/>
      <c r="K355" s="2" t="n"/>
      <c r="L355" s="2" t="inlineStr">
        <is>
          <t>布料:100%聚酯纖維 (至少90%再生材料)；嵌件:聚丙烯塑膠</t>
        </is>
      </c>
      <c r="M355" s="2" t="inlineStr">
        <is>
          <t>深灰色/白色</t>
        </is>
      </c>
      <c r="N355" s="2" t="inlineStr"/>
      <c r="O355" s="2" t="inlineStr">
        <is>
          <t>N</t>
        </is>
      </c>
      <c r="P355" s="2" t="n"/>
      <c r="Q355" s="2" t="inlineStr">
        <is>
          <t>2026-10-26</t>
        </is>
      </c>
      <c r="R355" s="3" t="inlineStr">
        <is>
          <t>https://www.ikea.com.tw/zh/products/boxes-and-organisers/organisers/skubb-art-00472957</t>
        </is>
      </c>
      <c r="S355" s="2" t="inlineStr">
        <is>
          <t>官網</t>
        </is>
      </c>
      <c r="T355" s="2" t="inlineStr">
        <is>
          <t>high</t>
        </is>
      </c>
      <c r="U355" s="2" t="inlineStr">
        <is>
          <t>SET:004.729.57|249|2|6; 套組拆件，不單售；官網說明「尺寸：14x14x13公分、28x14x13公分和28x28x13公分；各2件」；尺寸取自官網說明文字，寬/深依文字順序（官網未分別標示寬深）；白色套組編號 204.285.53（同價 249）；可將襪子、皮帶和首飾收納在抽屜櫃及衣櫃</t>
        </is>
      </c>
      <c r="V355" s="2" t="inlineStr">
        <is>
          <t>整組 NT$249，此尺寸 2 件／共 6 件</t>
        </is>
      </c>
    </row>
    <row r="356">
      <c r="A356" s="2" t="inlineStr">
        <is>
          <t>IKEA-108</t>
        </is>
      </c>
      <c r="B356" s="2" t="inlineStr">
        <is>
          <t>IKEA</t>
        </is>
      </c>
      <c r="C356" s="2" t="inlineStr">
        <is>
          <t>SKUBB</t>
        </is>
      </c>
      <c r="D356" s="2" t="inlineStr">
        <is>
          <t>SKUBB 收納盒 6件組（拆件 28x14x13）</t>
        </is>
      </c>
      <c r="E356" s="2" t="inlineStr">
        <is>
          <t>004.729.57</t>
        </is>
      </c>
      <c r="F356" s="2" t="n">
        <v>28</v>
      </c>
      <c r="G356" s="2" t="n">
        <v>14</v>
      </c>
      <c r="H356" s="2" t="n">
        <v>13</v>
      </c>
      <c r="I356" s="2" t="n"/>
      <c r="J356" s="2" t="n"/>
      <c r="K356" s="2" t="n"/>
      <c r="L356" s="2" t="inlineStr">
        <is>
          <t>布料:100%聚酯纖維 (至少90%再生材料)；嵌件:聚丙烯塑膠</t>
        </is>
      </c>
      <c r="M356" s="2" t="inlineStr">
        <is>
          <t>深灰色/白色</t>
        </is>
      </c>
      <c r="N356" s="2" t="inlineStr"/>
      <c r="O356" s="2" t="inlineStr">
        <is>
          <t>N</t>
        </is>
      </c>
      <c r="P356" s="2" t="n"/>
      <c r="Q356" s="2" t="inlineStr">
        <is>
          <t>2026-10-26</t>
        </is>
      </c>
      <c r="R356" s="3" t="inlineStr">
        <is>
          <t>https://www.ikea.com.tw/zh/products/boxes-and-organisers/organisers/skubb-art-00472957</t>
        </is>
      </c>
      <c r="S356" s="2" t="inlineStr">
        <is>
          <t>官網</t>
        </is>
      </c>
      <c r="T356" s="2" t="inlineStr">
        <is>
          <t>high</t>
        </is>
      </c>
      <c r="U356" s="2" t="inlineStr">
        <is>
          <t>SET:004.729.57|249|2|6; 套組拆件，不單售；官網說明「尺寸：14x14x13公分、28x14x13公分和28x28x13公分；各2件」；尺寸取自官網說明文字，寬/深依文字順序（官網未分別標示寬深）；白色套組編號 204.285.53（同價 249）；可將襪子、皮帶和首飾收納在抽屜櫃及衣櫃</t>
        </is>
      </c>
      <c r="V356" s="2" t="inlineStr">
        <is>
          <t>整組 NT$249，此尺寸 2 件／共 6 件</t>
        </is>
      </c>
    </row>
    <row r="357">
      <c r="A357" s="2" t="inlineStr">
        <is>
          <t>IKEA-109</t>
        </is>
      </c>
      <c r="B357" s="2" t="inlineStr">
        <is>
          <t>IKEA</t>
        </is>
      </c>
      <c r="C357" s="2" t="inlineStr">
        <is>
          <t>SKUBB</t>
        </is>
      </c>
      <c r="D357" s="2" t="inlineStr">
        <is>
          <t>SKUBB 收納盒 6件組（拆件 28x28x13）</t>
        </is>
      </c>
      <c r="E357" s="2" t="inlineStr">
        <is>
          <t>004.729.57</t>
        </is>
      </c>
      <c r="F357" s="2" t="n">
        <v>28</v>
      </c>
      <c r="G357" s="2" t="n">
        <v>28</v>
      </c>
      <c r="H357" s="2" t="n">
        <v>13</v>
      </c>
      <c r="I357" s="2" t="n"/>
      <c r="J357" s="2" t="n"/>
      <c r="K357" s="2" t="n"/>
      <c r="L357" s="2" t="inlineStr">
        <is>
          <t>布料:100%聚酯纖維 (至少90%再生材料)；嵌件:聚丙烯塑膠</t>
        </is>
      </c>
      <c r="M357" s="2" t="inlineStr">
        <is>
          <t>深灰色/白色</t>
        </is>
      </c>
      <c r="N357" s="2" t="inlineStr"/>
      <c r="O357" s="2" t="inlineStr">
        <is>
          <t>N</t>
        </is>
      </c>
      <c r="P357" s="2" t="n"/>
      <c r="Q357" s="2" t="inlineStr">
        <is>
          <t>2026-10-26</t>
        </is>
      </c>
      <c r="R357" s="3" t="inlineStr">
        <is>
          <t>https://www.ikea.com.tw/zh/products/boxes-and-organisers/organisers/skubb-art-00472957</t>
        </is>
      </c>
      <c r="S357" s="2" t="inlineStr">
        <is>
          <t>官網</t>
        </is>
      </c>
      <c r="T357" s="2" t="inlineStr">
        <is>
          <t>high</t>
        </is>
      </c>
      <c r="U357" s="2" t="inlineStr">
        <is>
          <t>SET:004.729.57|249|2|6; 套組拆件，不單售；官網說明「尺寸：14x14x13公分、28x14x13公分和28x28x13公分；各2件」；尺寸取自官網說明文字，寬/深依文字順序（官網未分別標示寬深）；白色套組編號 204.285.53（同價 249）；可將襪子、皮帶和首飾收納在抽屜櫃及衣櫃</t>
        </is>
      </c>
      <c r="V357" s="2" t="inlineStr">
        <is>
          <t>整組 NT$249，此尺寸 2 件／共 6 件</t>
        </is>
      </c>
    </row>
    <row r="358">
      <c r="A358" s="2" t="inlineStr">
        <is>
          <t>IKEA-110</t>
        </is>
      </c>
      <c r="B358" s="2" t="inlineStr">
        <is>
          <t>IKEA</t>
        </is>
      </c>
      <c r="C358" s="2" t="inlineStr">
        <is>
          <t>BROGRUND</t>
        </is>
      </c>
      <c r="D358" s="2" t="inlineStr">
        <is>
          <t>BROGRUND 收納盒 3件組（拆件 14x10x7）</t>
        </is>
      </c>
      <c r="E358" s="2" t="inlineStr">
        <is>
          <t>903.290.93</t>
        </is>
      </c>
      <c r="F358" s="2" t="n">
        <v>14</v>
      </c>
      <c r="G358" s="2" t="n">
        <v>10</v>
      </c>
      <c r="H358" s="2" t="n">
        <v>7</v>
      </c>
      <c r="I358" s="2" t="n"/>
      <c r="J358" s="2" t="n"/>
      <c r="K358" s="2" t="n"/>
      <c r="L358" s="2" t="inlineStr">
        <is>
          <t>PET塑膠 (至少20%再生材料)</t>
        </is>
      </c>
      <c r="M358" s="2" t="inlineStr">
        <is>
          <t>透明灰色+白色</t>
        </is>
      </c>
      <c r="N358" s="2" t="inlineStr"/>
      <c r="O358" s="2" t="inlineStr">
        <is>
          <t>N</t>
        </is>
      </c>
      <c r="P358" s="2" t="n"/>
      <c r="Q358" s="2" t="inlineStr">
        <is>
          <t>2026-10-26</t>
        </is>
      </c>
      <c r="R358" s="3" t="inlineStr">
        <is>
          <t>https://www.ikea.com.tw/zh/products/boxes-and-organisers/boxes-and-baskets/brogrund-art-90329093</t>
        </is>
      </c>
      <c r="S358" s="2" t="inlineStr">
        <is>
          <t>官網</t>
        </is>
      </c>
      <c r="T358" s="2" t="inlineStr">
        <is>
          <t>high</t>
        </is>
      </c>
      <c r="U358" s="2" t="inlineStr">
        <is>
          <t>SET:903.290.93|299|2|3; 套組拆件，不單售；官網說明「含：2個14x10x7公分及1個28x10x7公分」；尺寸取自官網說明文字，寬/深依文字順序（官網未分別標示寬深）；適用於浴室，可收納首飾和化妝品</t>
        </is>
      </c>
      <c r="V358" s="2" t="inlineStr">
        <is>
          <t>整組 NT$299，此尺寸 2 件／共 3 件</t>
        </is>
      </c>
    </row>
    <row r="359">
      <c r="A359" s="2" t="inlineStr">
        <is>
          <t>IKEA-111</t>
        </is>
      </c>
      <c r="B359" s="2" t="inlineStr">
        <is>
          <t>IKEA</t>
        </is>
      </c>
      <c r="C359" s="2" t="inlineStr">
        <is>
          <t>BROGRUND</t>
        </is>
      </c>
      <c r="D359" s="2" t="inlineStr">
        <is>
          <t>BROGRUND 收納盒 3件組（拆件 28x10x7）</t>
        </is>
      </c>
      <c r="E359" s="2" t="inlineStr">
        <is>
          <t>903.290.93</t>
        </is>
      </c>
      <c r="F359" s="2" t="n">
        <v>28</v>
      </c>
      <c r="G359" s="2" t="n">
        <v>10</v>
      </c>
      <c r="H359" s="2" t="n">
        <v>7</v>
      </c>
      <c r="I359" s="2" t="n"/>
      <c r="J359" s="2" t="n"/>
      <c r="K359" s="2" t="n"/>
      <c r="L359" s="2" t="inlineStr">
        <is>
          <t>PET塑膠 (至少20%再生材料)</t>
        </is>
      </c>
      <c r="M359" s="2" t="inlineStr">
        <is>
          <t>透明灰色+白色</t>
        </is>
      </c>
      <c r="N359" s="2" t="inlineStr"/>
      <c r="O359" s="2" t="inlineStr">
        <is>
          <t>N</t>
        </is>
      </c>
      <c r="P359" s="2" t="n"/>
      <c r="Q359" s="2" t="inlineStr">
        <is>
          <t>2026-10-26</t>
        </is>
      </c>
      <c r="R359" s="3" t="inlineStr">
        <is>
          <t>https://www.ikea.com.tw/zh/products/boxes-and-organisers/boxes-and-baskets/brogrund-art-90329093</t>
        </is>
      </c>
      <c r="S359" s="2" t="inlineStr">
        <is>
          <t>官網</t>
        </is>
      </c>
      <c r="T359" s="2" t="inlineStr">
        <is>
          <t>high</t>
        </is>
      </c>
      <c r="U359" s="2" t="inlineStr">
        <is>
          <t>SET:903.290.93|299|1|3; 套組拆件，不單售；官網說明「含：2個14x10x7公分及1個28x10x7公分」；尺寸取自官網說明文字，寬/深依文字順序（官網未分別標示寬深）；適用於浴室，可收納首飾和化妝品</t>
        </is>
      </c>
      <c r="V359" s="2" t="inlineStr">
        <is>
          <t>整組 NT$299，此尺寸 1 件／共 3 件</t>
        </is>
      </c>
    </row>
    <row r="360">
      <c r="A360" s="2" t="inlineStr">
        <is>
          <t>IKEA-112</t>
        </is>
      </c>
      <c r="B360" s="2" t="inlineStr">
        <is>
          <t>IKEA</t>
        </is>
      </c>
      <c r="C360" s="2" t="inlineStr">
        <is>
          <t>KOMPLEMENT</t>
        </is>
      </c>
      <c r="D360" s="2" t="inlineStr">
        <is>
          <t>KOMPLEMENT 收納盒 4件組（拆件 15x27x12）</t>
        </is>
      </c>
      <c r="E360" s="2" t="inlineStr">
        <is>
          <t>792.608.39</t>
        </is>
      </c>
      <c r="F360" s="2" t="n">
        <v>15</v>
      </c>
      <c r="G360" s="2" t="n">
        <v>27</v>
      </c>
      <c r="H360" s="2" t="n">
        <v>12</v>
      </c>
      <c r="I360" s="2" t="n"/>
      <c r="J360" s="2" t="n"/>
      <c r="K360" s="2" t="n"/>
      <c r="L360" s="2" t="inlineStr">
        <is>
          <t>100%聚酯纖維</t>
        </is>
      </c>
      <c r="M360" s="2" t="inlineStr">
        <is>
          <t>淺灰色</t>
        </is>
      </c>
      <c r="N360" s="2" t="inlineStr"/>
      <c r="O360" s="2" t="inlineStr">
        <is>
          <t>N</t>
        </is>
      </c>
      <c r="P360" s="2" t="n"/>
      <c r="Q360" s="2" t="inlineStr">
        <is>
          <t>2026-10-26</t>
        </is>
      </c>
      <c r="R360" s="3" t="inlineStr">
        <is>
          <t>https://www.ikea.com.tw/zh/products/boxes-and-organisers/organisers/komplement-spr-79260839</t>
        </is>
      </c>
      <c r="S360" s="2" t="inlineStr">
        <is>
          <t>官網</t>
        </is>
      </c>
      <c r="T360" s="2" t="inlineStr">
        <is>
          <t>high</t>
        </is>
      </c>
      <c r="U360" s="2" t="inlineStr">
        <is>
          <t>SET:792.608.39|698|2|4; 套組拆件；官網說明「含：2個收納盒(15x27x12公分)及2個收納盒(25x27x12公分)」；寬深高依同款單售商品 204.057.78 尺寸區（寬15 深27 高12）；同尺寸單品見 IKEA-040；適用於PAX櫃框內的KOMPLEMENT抽屜和外拉式收納盤</t>
        </is>
      </c>
      <c r="V360" s="2" t="inlineStr">
        <is>
          <t>整組 NT$698，此尺寸 2 件／共 4 件</t>
        </is>
      </c>
    </row>
    <row r="361">
      <c r="A361" s="2" t="inlineStr">
        <is>
          <t>IKEA-113</t>
        </is>
      </c>
      <c r="B361" s="2" t="inlineStr">
        <is>
          <t>IKEA</t>
        </is>
      </c>
      <c r="C361" s="2" t="inlineStr">
        <is>
          <t>KOMPLEMENT</t>
        </is>
      </c>
      <c r="D361" s="2" t="inlineStr">
        <is>
          <t>KOMPLEMENT 收納盒 4件組（拆件 25x27x12）</t>
        </is>
      </c>
      <c r="E361" s="2" t="inlineStr">
        <is>
          <t>792.608.39</t>
        </is>
      </c>
      <c r="F361" s="2" t="n">
        <v>25</v>
      </c>
      <c r="G361" s="2" t="n">
        <v>26.5</v>
      </c>
      <c r="H361" s="2" t="n">
        <v>12</v>
      </c>
      <c r="I361" s="2" t="n"/>
      <c r="J361" s="2" t="n"/>
      <c r="K361" s="2" t="n"/>
      <c r="L361" s="2" t="inlineStr">
        <is>
          <t>100%聚酯纖維</t>
        </is>
      </c>
      <c r="M361" s="2" t="inlineStr">
        <is>
          <t>淺灰色</t>
        </is>
      </c>
      <c r="N361" s="2" t="inlineStr"/>
      <c r="O361" s="2" t="inlineStr">
        <is>
          <t>N</t>
        </is>
      </c>
      <c r="P361" s="2" t="n"/>
      <c r="Q361" s="2" t="inlineStr">
        <is>
          <t>2026-10-26</t>
        </is>
      </c>
      <c r="R361" s="3" t="inlineStr">
        <is>
          <t>https://www.ikea.com.tw/zh/products/boxes-and-organisers/organisers/komplement-spr-79260839</t>
        </is>
      </c>
      <c r="S361" s="2" t="inlineStr">
        <is>
          <t>官網</t>
        </is>
      </c>
      <c r="T361" s="2" t="inlineStr">
        <is>
          <t>high</t>
        </is>
      </c>
      <c r="U361" s="2" t="inlineStr">
        <is>
          <t>SET:792.608.39|698|2|4; 套組拆件；官網說明寫 25x27x12 公分，同款單售商品 004.057.79 尺寸區為寬25 深26.5 高12，outer_d 採 26.5；同尺寸單品見 IKEA-041；適用於PAX櫃框內的KOMPLEMENT抽屜和外拉式收納盤</t>
        </is>
      </c>
      <c r="V361" s="2" t="inlineStr">
        <is>
          <t>整組 NT$698，此尺寸 2 件／共 4 件</t>
        </is>
      </c>
    </row>
    <row r="362">
      <c r="A362" s="2" t="inlineStr">
        <is>
          <t>IKEA-114</t>
        </is>
      </c>
      <c r="B362" s="2" t="inlineStr">
        <is>
          <t>IKEA</t>
        </is>
      </c>
      <c r="C362" s="2" t="inlineStr">
        <is>
          <t>KOMPLEMENT</t>
        </is>
      </c>
      <c r="D362" s="2" t="inlineStr">
        <is>
          <t>KOMPLEMENT 收納盒 6件組（拆件 15x27x12）</t>
        </is>
      </c>
      <c r="E362" s="2" t="inlineStr">
        <is>
          <t>192.608.42</t>
        </is>
      </c>
      <c r="F362" s="2" t="n">
        <v>15</v>
      </c>
      <c r="G362" s="2" t="n">
        <v>27</v>
      </c>
      <c r="H362" s="2" t="n">
        <v>12</v>
      </c>
      <c r="I362" s="2" t="n"/>
      <c r="J362" s="2" t="n"/>
      <c r="K362" s="2" t="n"/>
      <c r="L362" s="2" t="inlineStr">
        <is>
          <t>100%聚酯纖維</t>
        </is>
      </c>
      <c r="M362" s="2" t="inlineStr">
        <is>
          <t>淺灰色</t>
        </is>
      </c>
      <c r="N362" s="2" t="inlineStr"/>
      <c r="O362" s="2" t="inlineStr">
        <is>
          <t>N</t>
        </is>
      </c>
      <c r="P362" s="2" t="n"/>
      <c r="Q362" s="2" t="inlineStr">
        <is>
          <t>2026-10-26</t>
        </is>
      </c>
      <c r="R362" s="3" t="inlineStr">
        <is>
          <t>https://www.ikea.com.tw/zh/products/boxes-and-organisers/organisers/komplement-spr-19260842</t>
        </is>
      </c>
      <c r="S362" s="2" t="inlineStr">
        <is>
          <t>官網</t>
        </is>
      </c>
      <c r="T362" s="2" t="inlineStr">
        <is>
          <t>high</t>
        </is>
      </c>
      <c r="U362" s="2" t="inlineStr">
        <is>
          <t>SET:192.608.42|1097|2|6; 套組拆件；官網說明「含：2個收納盒(15x27x12公分)及4個收納盒(25x27x12公分)」；寬深高依同款單售商品 204.057.78 尺寸區（寬15 深27 高12）；同尺寸單品見 IKEA-040；適用於PAX櫃框內的KOMPLEMENT抽屜和外拉式收納盤</t>
        </is>
      </c>
      <c r="V362" s="2" t="inlineStr">
        <is>
          <t>整組 NT$1097，此尺寸 2 件／共 6 件</t>
        </is>
      </c>
    </row>
    <row r="363">
      <c r="A363" s="2" t="inlineStr">
        <is>
          <t>IKEA-115</t>
        </is>
      </c>
      <c r="B363" s="2" t="inlineStr">
        <is>
          <t>IKEA</t>
        </is>
      </c>
      <c r="C363" s="2" t="inlineStr">
        <is>
          <t>KOMPLEMENT</t>
        </is>
      </c>
      <c r="D363" s="2" t="inlineStr">
        <is>
          <t>KOMPLEMENT 收納盒 6件組（拆件 25x27x12）</t>
        </is>
      </c>
      <c r="E363" s="2" t="inlineStr">
        <is>
          <t>192.608.42</t>
        </is>
      </c>
      <c r="F363" s="2" t="n">
        <v>25</v>
      </c>
      <c r="G363" s="2" t="n">
        <v>26.5</v>
      </c>
      <c r="H363" s="2" t="n">
        <v>12</v>
      </c>
      <c r="I363" s="2" t="n"/>
      <c r="J363" s="2" t="n"/>
      <c r="K363" s="2" t="n"/>
      <c r="L363" s="2" t="inlineStr">
        <is>
          <t>100%聚酯纖維</t>
        </is>
      </c>
      <c r="M363" s="2" t="inlineStr">
        <is>
          <t>淺灰色</t>
        </is>
      </c>
      <c r="N363" s="2" t="inlineStr"/>
      <c r="O363" s="2" t="inlineStr">
        <is>
          <t>N</t>
        </is>
      </c>
      <c r="P363" s="2" t="n"/>
      <c r="Q363" s="2" t="inlineStr">
        <is>
          <t>2026-10-26</t>
        </is>
      </c>
      <c r="R363" s="3" t="inlineStr">
        <is>
          <t>https://www.ikea.com.tw/zh/products/boxes-and-organisers/organisers/komplement-spr-19260842</t>
        </is>
      </c>
      <c r="S363" s="2" t="inlineStr">
        <is>
          <t>官網</t>
        </is>
      </c>
      <c r="T363" s="2" t="inlineStr">
        <is>
          <t>high</t>
        </is>
      </c>
      <c r="U363" s="2" t="inlineStr">
        <is>
          <t>SET:192.608.42|1097|4|6; 套組拆件；官網說明寫 25x27x12 公分，同款單售商品 004.057.79 尺寸區為寬25 深26.5 高12，outer_d 採 26.5；同尺寸單品見 IKEA-041；適用於PAX櫃框內的KOMPLEMENT抽屜和外拉式收納盤</t>
        </is>
      </c>
      <c r="V363" s="2" t="inlineStr">
        <is>
          <t>整組 NT$1097，此尺寸 4 件／共 6 件</t>
        </is>
      </c>
    </row>
    <row r="364">
      <c r="A364" s="2" t="inlineStr">
        <is>
          <t>IKEA-116</t>
        </is>
      </c>
      <c r="B364" s="2" t="inlineStr">
        <is>
          <t>IKEA</t>
        </is>
      </c>
      <c r="C364" s="2" t="inlineStr">
        <is>
          <t>KOMPLEMENT</t>
        </is>
      </c>
      <c r="D364" s="2" t="inlineStr">
        <is>
          <t>KOMPLEMENT 收納盒 8件組（拆件 15x27x12）</t>
        </is>
      </c>
      <c r="E364" s="2" t="inlineStr">
        <is>
          <t>492.608.45</t>
        </is>
      </c>
      <c r="F364" s="2" t="n">
        <v>15</v>
      </c>
      <c r="G364" s="2" t="n">
        <v>27</v>
      </c>
      <c r="H364" s="2" t="n">
        <v>12</v>
      </c>
      <c r="I364" s="2" t="n"/>
      <c r="J364" s="2" t="n"/>
      <c r="K364" s="2" t="n"/>
      <c r="L364" s="2" t="inlineStr">
        <is>
          <t>100%聚酯纖維</t>
        </is>
      </c>
      <c r="M364" s="2" t="inlineStr">
        <is>
          <t>淺灰色</t>
        </is>
      </c>
      <c r="N364" s="2" t="inlineStr"/>
      <c r="O364" s="2" t="inlineStr">
        <is>
          <t>N</t>
        </is>
      </c>
      <c r="P364" s="2" t="n"/>
      <c r="Q364" s="2" t="inlineStr">
        <is>
          <t>2026-10-26</t>
        </is>
      </c>
      <c r="R364" s="3" t="inlineStr">
        <is>
          <t>https://www.ikea.com.tw/zh/products/boxes-and-organisers/organisers/komplement-spr-49260845</t>
        </is>
      </c>
      <c r="S364" s="2" t="inlineStr">
        <is>
          <t>官網</t>
        </is>
      </c>
      <c r="T364" s="2" t="inlineStr">
        <is>
          <t>high</t>
        </is>
      </c>
      <c r="U364" s="2" t="inlineStr">
        <is>
          <t>SET:492.608.45|1496|2|8; 套組拆件；官網說明「含：2個收納盒(15x27x12公分)及6個收納盒(25x27x12公分)」；寬深高依同款單售商品 204.057.78 尺寸區（寬15 深27 高12）；同尺寸單品見 IKEA-040；適用於PAX櫃框內的KOMPLEMENT抽屜和外拉式收納盤</t>
        </is>
      </c>
      <c r="V364" s="2" t="inlineStr">
        <is>
          <t>整組 NT$1496，此尺寸 2 件／共 8 件</t>
        </is>
      </c>
    </row>
    <row r="365">
      <c r="A365" s="2" t="inlineStr">
        <is>
          <t>IKEA-117</t>
        </is>
      </c>
      <c r="B365" s="2" t="inlineStr">
        <is>
          <t>IKEA</t>
        </is>
      </c>
      <c r="C365" s="2" t="inlineStr">
        <is>
          <t>KOMPLEMENT</t>
        </is>
      </c>
      <c r="D365" s="2" t="inlineStr">
        <is>
          <t>KOMPLEMENT 收納盒 8件組（拆件 25x27x12）</t>
        </is>
      </c>
      <c r="E365" s="2" t="inlineStr">
        <is>
          <t>492.608.45</t>
        </is>
      </c>
      <c r="F365" s="2" t="n">
        <v>25</v>
      </c>
      <c r="G365" s="2" t="n">
        <v>26.5</v>
      </c>
      <c r="H365" s="2" t="n">
        <v>12</v>
      </c>
      <c r="I365" s="2" t="n"/>
      <c r="J365" s="2" t="n"/>
      <c r="K365" s="2" t="n"/>
      <c r="L365" s="2" t="inlineStr">
        <is>
          <t>100%聚酯纖維</t>
        </is>
      </c>
      <c r="M365" s="2" t="inlineStr">
        <is>
          <t>淺灰色</t>
        </is>
      </c>
      <c r="N365" s="2" t="inlineStr"/>
      <c r="O365" s="2" t="inlineStr">
        <is>
          <t>N</t>
        </is>
      </c>
      <c r="P365" s="2" t="n"/>
      <c r="Q365" s="2" t="inlineStr">
        <is>
          <t>2026-10-26</t>
        </is>
      </c>
      <c r="R365" s="3" t="inlineStr">
        <is>
          <t>https://www.ikea.com.tw/zh/products/boxes-and-organisers/organisers/komplement-spr-49260845</t>
        </is>
      </c>
      <c r="S365" s="2" t="inlineStr">
        <is>
          <t>官網</t>
        </is>
      </c>
      <c r="T365" s="2" t="inlineStr">
        <is>
          <t>high</t>
        </is>
      </c>
      <c r="U365" s="2" t="inlineStr">
        <is>
          <t>SET:492.608.45|1496|6|8; 套組拆件；官網說明寫 25x27x12 公分，同款單售商品 004.057.79 尺寸區為寬25 深26.5 高12，outer_d 採 26.5；同尺寸單品見 IKEA-041；適用於PAX櫃框內的KOMPLEMENT抽屜和外拉式收納盤</t>
        </is>
      </c>
      <c r="V365" s="2" t="inlineStr">
        <is>
          <t>整組 NT$1496，此尺寸 6 件／共 8 件</t>
        </is>
      </c>
    </row>
    <row r="366">
      <c r="A366" s="2" t="inlineStr">
        <is>
          <t>IKEA-118</t>
        </is>
      </c>
      <c r="B366" s="2" t="inlineStr">
        <is>
          <t>IKEA</t>
        </is>
      </c>
      <c r="C366" s="2" t="inlineStr">
        <is>
          <t>DRÖNJÖNS</t>
        </is>
      </c>
      <c r="D366" s="2" t="inlineStr">
        <is>
          <t>DRÖNJÖNS 雜誌匣（拆件 24x32.5x8.5）</t>
        </is>
      </c>
      <c r="E366" s="2" t="inlineStr">
        <is>
          <t>804.396.95</t>
        </is>
      </c>
      <c r="F366" s="2" t="n">
        <v>24</v>
      </c>
      <c r="G366" s="2" t="n">
        <v>32.5</v>
      </c>
      <c r="H366" s="2" t="n">
        <v>8.5</v>
      </c>
      <c r="I366" s="2" t="n"/>
      <c r="J366" s="2" t="n"/>
      <c r="K366" s="2" t="n"/>
      <c r="L366" s="2" t="inlineStr">
        <is>
          <t>基本材質:鋼質, 粉末塗層；防刮痕保護:100 % 聚酯纖維</t>
        </is>
      </c>
      <c r="M366" s="2" t="inlineStr">
        <is>
          <t>白色</t>
        </is>
      </c>
      <c r="N366" s="2" t="inlineStr"/>
      <c r="O366" s="2" t="inlineStr">
        <is>
          <t>N</t>
        </is>
      </c>
      <c r="P366" s="2" t="n"/>
      <c r="Q366" s="2" t="inlineStr">
        <is>
          <t>2026-10-26</t>
        </is>
      </c>
      <c r="R366" s="3" t="inlineStr">
        <is>
          <t>https://www.ikea.com.tw/zh/products/boxes-and-organisers/organisers/dronjons-art-80439695</t>
        </is>
      </c>
      <c r="S366" s="2" t="inlineStr">
        <is>
          <t>官網</t>
        </is>
      </c>
      <c r="T366" s="2" t="inlineStr">
        <is>
          <t>high</t>
        </is>
      </c>
      <c r="U366" s="2" t="inlineStr">
        <is>
          <t>SET:804.396.95|249|1|2; 雜誌匣；套組拆件，不單售；官網說明「尺寸：24x32.5x8.5公分及25.5x32.5x10公分」；尺寸取自官網說明文字，寬/深依文字順序（官網未分別標示寬深）；網狀金屬收納盒，附把手孔</t>
        </is>
      </c>
      <c r="V366" s="2" t="inlineStr">
        <is>
          <t>整組 NT$249，此尺寸 1 件／共 2 件</t>
        </is>
      </c>
    </row>
    <row r="367">
      <c r="A367" s="2" t="inlineStr">
        <is>
          <t>IKEA-119</t>
        </is>
      </c>
      <c r="B367" s="2" t="inlineStr">
        <is>
          <t>IKEA</t>
        </is>
      </c>
      <c r="C367" s="2" t="inlineStr">
        <is>
          <t>DRÖNJÖNS</t>
        </is>
      </c>
      <c r="D367" s="2" t="inlineStr">
        <is>
          <t>DRÖNJÖNS 雜誌匣（拆件 25.5x32.5x10）</t>
        </is>
      </c>
      <c r="E367" s="2" t="inlineStr">
        <is>
          <t>804.396.95</t>
        </is>
      </c>
      <c r="F367" s="2" t="n">
        <v>25.5</v>
      </c>
      <c r="G367" s="2" t="n">
        <v>32.5</v>
      </c>
      <c r="H367" s="2" t="n">
        <v>10</v>
      </c>
      <c r="I367" s="2" t="n"/>
      <c r="J367" s="2" t="n"/>
      <c r="K367" s="2" t="n"/>
      <c r="L367" s="2" t="inlineStr">
        <is>
          <t>基本材質:鋼質, 粉末塗層；防刮痕保護:100 % 聚酯纖維</t>
        </is>
      </c>
      <c r="M367" s="2" t="inlineStr">
        <is>
          <t>白色</t>
        </is>
      </c>
      <c r="N367" s="2" t="inlineStr"/>
      <c r="O367" s="2" t="inlineStr">
        <is>
          <t>N</t>
        </is>
      </c>
      <c r="P367" s="2" t="n"/>
      <c r="Q367" s="2" t="inlineStr">
        <is>
          <t>2026-10-26</t>
        </is>
      </c>
      <c r="R367" s="3" t="inlineStr">
        <is>
          <t>https://www.ikea.com.tw/zh/products/boxes-and-organisers/organisers/dronjons-art-80439695</t>
        </is>
      </c>
      <c r="S367" s="2" t="inlineStr">
        <is>
          <t>官網</t>
        </is>
      </c>
      <c r="T367" s="2" t="inlineStr">
        <is>
          <t>high</t>
        </is>
      </c>
      <c r="U367" s="2" t="inlineStr">
        <is>
          <t>SET:804.396.95|249|1|2; 雜誌匣；套組拆件，不單售；官網說明「尺寸：24x32.5x8.5公分及25.5x32.5x10公分」；尺寸取自官網說明文字，寬/深依文字順序（官網未分別標示寬深）；網狀金屬收納盒，附把手孔</t>
        </is>
      </c>
      <c r="V367" s="2" t="inlineStr">
        <is>
          <t>整組 NT$249，此尺寸 1 件／共 2 件</t>
        </is>
      </c>
    </row>
    <row r="368">
      <c r="A368" s="2" t="inlineStr">
        <is>
          <t>IKEA-120</t>
        </is>
      </c>
      <c r="B368" s="2" t="inlineStr">
        <is>
          <t>IKEA</t>
        </is>
      </c>
      <c r="C368" s="2" t="inlineStr">
        <is>
          <t>KUGGIS</t>
        </is>
      </c>
      <c r="D368" s="2" t="inlineStr">
        <is>
          <t>KUGGIS 雜誌匣 10x25x29 公分</t>
        </is>
      </c>
      <c r="E368" s="2" t="inlineStr">
        <is>
          <t>805.153.35</t>
        </is>
      </c>
      <c r="F368" s="2" t="n">
        <v>10</v>
      </c>
      <c r="G368" s="2" t="n">
        <v>25</v>
      </c>
      <c r="H368" s="2" t="n">
        <v>29</v>
      </c>
      <c r="I368" s="2" t="n"/>
      <c r="J368" s="2" t="n"/>
      <c r="K368" s="2" t="n"/>
      <c r="L368" s="2" t="inlineStr">
        <is>
          <t>PET塑膠 (至少50%再生材料)</t>
        </is>
      </c>
      <c r="M368" s="2" t="inlineStr">
        <is>
          <t>白色</t>
        </is>
      </c>
      <c r="N368" s="2" t="inlineStr"/>
      <c r="O368" s="2" t="inlineStr">
        <is>
          <t>N</t>
        </is>
      </c>
      <c r="P368" s="2" t="n"/>
      <c r="Q368" s="2" t="inlineStr">
        <is>
          <t>2026-10-26</t>
        </is>
      </c>
      <c r="R368" s="3" t="inlineStr">
        <is>
          <t>https://www.ikea.com.tw/zh/products/boxes-and-organisers/organisers/kuggis-art-80515335</t>
        </is>
      </c>
      <c r="S368" s="2" t="inlineStr">
        <is>
          <t>官網</t>
        </is>
      </c>
      <c r="T368" s="2" t="inlineStr">
        <is>
          <t>high</t>
        </is>
      </c>
      <c r="U368" s="2" t="inlineStr">
        <is>
          <t>SET:805.153.35|399|2|2;同尺寸2件裝，整包價399；雜誌匣；包裝內含 2件裝，price_twd 為 2 件價；尺寸取自官網尺寸區（寬10 深25 高29）；專為收納A4和22x28公分紙張所設計；KUGGIS系列</t>
        </is>
      </c>
      <c r="V368" s="2" t="inlineStr">
        <is>
          <t>整組 NT$399，此尺寸 2 件／共 2 件</t>
        </is>
      </c>
    </row>
    <row r="369">
      <c r="A369" s="2" t="inlineStr">
        <is>
          <t>IKEA-121</t>
        </is>
      </c>
      <c r="B369" s="2" t="inlineStr">
        <is>
          <t>IKEA</t>
        </is>
      </c>
      <c r="C369" s="2" t="inlineStr">
        <is>
          <t>FJÄDERHARV</t>
        </is>
      </c>
      <c r="D369" s="2" t="inlineStr">
        <is>
          <t>FJÄDERHARV 雜誌匣 10x25x31 公分</t>
        </is>
      </c>
      <c r="E369" s="2" t="inlineStr">
        <is>
          <t>905.969.15</t>
        </is>
      </c>
      <c r="F369" s="2" t="n">
        <v>10</v>
      </c>
      <c r="G369" s="2" t="n">
        <v>25</v>
      </c>
      <c r="H369" s="2" t="n">
        <v>31</v>
      </c>
      <c r="I369" s="2" t="n"/>
      <c r="J369" s="2" t="n"/>
      <c r="K369" s="2" t="n"/>
      <c r="L369" s="2" t="inlineStr">
        <is>
          <t>紙板 (至少100%再生材料), 紙</t>
        </is>
      </c>
      <c r="M369" s="2" t="inlineStr">
        <is>
          <t>白色/碳黑色</t>
        </is>
      </c>
      <c r="N369" s="2" t="inlineStr"/>
      <c r="O369" s="2" t="inlineStr">
        <is>
          <t>N</t>
        </is>
      </c>
      <c r="P369" s="2" t="n"/>
      <c r="Q369" s="2" t="inlineStr">
        <is>
          <t>2026-10-26</t>
        </is>
      </c>
      <c r="R369" s="3" t="inlineStr">
        <is>
          <t>https://www.ikea.com.tw/zh/products/boxes-and-organisers/organisers/fjaderharv-art-90596915</t>
        </is>
      </c>
      <c r="S369" s="2" t="inlineStr">
        <is>
          <t>官網</t>
        </is>
      </c>
      <c r="T369" s="2" t="inlineStr">
        <is>
          <t>high</t>
        </is>
      </c>
      <c r="U369" s="2" t="inlineStr">
        <is>
          <t>SET:905.969.15|129|2|2;同尺寸2件裝，整包價129；雜誌匣；包裝內含 2件裝，price_twd 為 2 件價；各色商品編號：白色=905.969.15、碳黑色=205.969.14；尺寸取自官網尺寸區；適合放在BILLY書櫃或其他深度最少有25公分的層架內；與 FJÄDERHARV 附蓋收納盒同高度系列</t>
        </is>
      </c>
      <c r="V369" s="2" t="inlineStr">
        <is>
          <t>整組 NT$129，此尺寸 2 件／共 2 件</t>
        </is>
      </c>
    </row>
    <row r="370">
      <c r="A370" s="2" t="inlineStr">
        <is>
          <t>IKEA-122</t>
        </is>
      </c>
      <c r="B370" s="2" t="inlineStr">
        <is>
          <t>IKEA</t>
        </is>
      </c>
      <c r="C370" s="2" t="inlineStr">
        <is>
          <t>GÄRDESGÅRD</t>
        </is>
      </c>
      <c r="D370" s="2" t="inlineStr">
        <is>
          <t>GÄRDESGÅRD 雜誌匣 10x25x31 公分</t>
        </is>
      </c>
      <c r="E370" s="2" t="inlineStr">
        <is>
          <t>405.969.51</t>
        </is>
      </c>
      <c r="F370" s="2" t="n">
        <v>10</v>
      </c>
      <c r="G370" s="2" t="n">
        <v>25</v>
      </c>
      <c r="H370" s="2" t="n">
        <v>31</v>
      </c>
      <c r="I370" s="2" t="n"/>
      <c r="J370" s="2" t="n"/>
      <c r="K370" s="2" t="n"/>
      <c r="L370" s="2" t="inlineStr">
        <is>
          <t>紙板 (至少100%再生材料), 紙</t>
        </is>
      </c>
      <c r="M370" s="2" t="inlineStr">
        <is>
          <t>自然色</t>
        </is>
      </c>
      <c r="N370" s="2" t="inlineStr"/>
      <c r="O370" s="2" t="inlineStr">
        <is>
          <t>N</t>
        </is>
      </c>
      <c r="P370" s="2" t="n"/>
      <c r="Q370" s="2" t="inlineStr">
        <is>
          <t>2026-10-26</t>
        </is>
      </c>
      <c r="R370" s="3" t="inlineStr">
        <is>
          <t>https://www.ikea.com.tw/zh/products/boxes-and-organisers/organisers/gardesgard-art-40596951</t>
        </is>
      </c>
      <c r="S370" s="2" t="inlineStr">
        <is>
          <t>官網</t>
        </is>
      </c>
      <c r="T370" s="2" t="inlineStr">
        <is>
          <t>high</t>
        </is>
      </c>
      <c r="U370" s="2" t="inlineStr">
        <is>
          <t>SET:405.969.51|149|2|2;同尺寸2件裝，整包價149；雜誌匣；包裝內含 2件裝，price_twd 為 2 件價；尺寸取自官網尺寸區</t>
        </is>
      </c>
      <c r="V370" s="2" t="inlineStr">
        <is>
          <t>整組 NT$149，此尺寸 2 件／共 2 件</t>
        </is>
      </c>
    </row>
    <row r="371">
      <c r="A371" s="2" t="inlineStr">
        <is>
          <t>IKEA-123</t>
        </is>
      </c>
      <c r="B371" s="2" t="inlineStr">
        <is>
          <t>IKEA</t>
        </is>
      </c>
      <c r="C371" s="2" t="inlineStr">
        <is>
          <t>TJABBA</t>
        </is>
      </c>
      <c r="D371" s="2" t="inlineStr">
        <is>
          <t>TJABBA 雜誌匣 10x25x30 公分</t>
        </is>
      </c>
      <c r="E371" s="2" t="inlineStr">
        <is>
          <t>504.975.02</t>
        </is>
      </c>
      <c r="F371" s="2" t="n">
        <v>10</v>
      </c>
      <c r="G371" s="2" t="n">
        <v>25</v>
      </c>
      <c r="H371" s="2" t="n">
        <v>30</v>
      </c>
      <c r="I371" s="2" t="n"/>
      <c r="J371" s="2" t="n"/>
      <c r="K371" s="2" t="n"/>
      <c r="L371" s="2" t="inlineStr">
        <is>
          <t>100%再生瓦楞板</t>
        </is>
      </c>
      <c r="M371" s="2" t="inlineStr">
        <is>
          <t>白色</t>
        </is>
      </c>
      <c r="N371" s="2" t="inlineStr"/>
      <c r="O371" s="2" t="inlineStr">
        <is>
          <t>N</t>
        </is>
      </c>
      <c r="P371" s="2" t="n"/>
      <c r="Q371" s="2" t="inlineStr">
        <is>
          <t>2026-10-26</t>
        </is>
      </c>
      <c r="R371" s="3" t="inlineStr">
        <is>
          <t>https://www.ikea.com.tw/zh/products/boxes-and-organisers/organisers/tjabba-art-50497502</t>
        </is>
      </c>
      <c r="S371" s="2" t="inlineStr">
        <is>
          <t>官網</t>
        </is>
      </c>
      <c r="T371" s="2" t="inlineStr">
        <is>
          <t>high</t>
        </is>
      </c>
      <c r="U371" s="2" t="inlineStr">
        <is>
          <t>SET:504.975.02|29|2|2;同尺寸2件裝，整包價29；雜誌匣；包裝內含 2件裝，price_twd 為 2 件價；尺寸取自官網尺寸區；可折疊</t>
        </is>
      </c>
      <c r="V371" s="2" t="inlineStr">
        <is>
          <t>整組 NT$29，此尺寸 2 件／共 2 件</t>
        </is>
      </c>
    </row>
    <row r="372">
      <c r="A372" s="2" t="inlineStr">
        <is>
          <t>IKEA-124</t>
        </is>
      </c>
      <c r="B372" s="2" t="inlineStr">
        <is>
          <t>IKEA</t>
        </is>
      </c>
      <c r="C372" s="2" t="inlineStr">
        <is>
          <t>HARVMATTA</t>
        </is>
      </c>
      <c r="D372" s="2" t="inlineStr">
        <is>
          <t>HARVMATTA 文件匣 32x25x32 公分</t>
        </is>
      </c>
      <c r="E372" s="2" t="inlineStr">
        <is>
          <t>005.785.86</t>
        </is>
      </c>
      <c r="F372" s="2" t="n">
        <v>32</v>
      </c>
      <c r="G372" s="2" t="n">
        <v>25</v>
      </c>
      <c r="H372" s="2" t="n">
        <v>32</v>
      </c>
      <c r="I372" s="2" t="n"/>
      <c r="J372" s="2" t="n"/>
      <c r="K372" s="2" t="n"/>
      <c r="L372" s="2" t="inlineStr">
        <is>
          <t>鋼質, 軟木, 環氧/聚酯粉末塗料</t>
        </is>
      </c>
      <c r="M372" s="2" t="inlineStr">
        <is>
          <t>碳黑色</t>
        </is>
      </c>
      <c r="N372" s="2" t="inlineStr"/>
      <c r="O372" s="2" t="inlineStr">
        <is>
          <t>N</t>
        </is>
      </c>
      <c r="P372" s="2" t="n">
        <v>899</v>
      </c>
      <c r="Q372" s="2" t="inlineStr">
        <is>
          <t>2026-10-26</t>
        </is>
      </c>
      <c r="R372" s="3" t="inlineStr">
        <is>
          <t>https://www.ikea.com.tw/zh/products/boxes-and-organisers/organisers/harvmatta-art-00578586</t>
        </is>
      </c>
      <c r="S372" s="2" t="inlineStr">
        <is>
          <t>官網</t>
        </is>
      </c>
      <c r="T372" s="2" t="inlineStr">
        <is>
          <t>high</t>
        </is>
      </c>
      <c r="U372" s="2" t="inlineStr">
        <is>
          <t>文件匣；尺寸取自官網尺寸區（寬32 深25 高32）；外拉式隔層設計；可搭配HARVMATTA系列其他產品</t>
        </is>
      </c>
      <c r="V372" s="2" t="inlineStr"/>
    </row>
    <row r="373">
      <c r="A373" s="2" t="inlineStr">
        <is>
          <t>DAISO-001</t>
        </is>
      </c>
      <c r="B373" s="2" t="inlineStr">
        <is>
          <t>DAISO</t>
        </is>
      </c>
      <c r="C373" s="2" t="inlineStr">
        <is>
          <t>Sanada Seiko 檔案盒</t>
        </is>
      </c>
      <c r="D373" s="2" t="inlineStr">
        <is>
          <t>A4可連結立式檔案盒</t>
        </is>
      </c>
      <c r="E373" s="2" t="inlineStr">
        <is>
          <t>4973430025447</t>
        </is>
      </c>
      <c r="F373" s="2" t="n">
        <v>9.699999999999999</v>
      </c>
      <c r="G373" s="2" t="n">
        <v>22.2</v>
      </c>
      <c r="H373" s="2" t="n">
        <v>28</v>
      </c>
      <c r="I373" s="2" t="n"/>
      <c r="J373" s="2" t="n"/>
      <c r="K373" s="2" t="n"/>
      <c r="L373" s="2" t="inlineStr"/>
      <c r="M373" s="2" t="inlineStr"/>
      <c r="N373" s="2" t="inlineStr"/>
      <c r="O373" s="2" t="inlineStr">
        <is>
          <t>N</t>
        </is>
      </c>
      <c r="P373" s="2" t="n">
        <v>69</v>
      </c>
      <c r="Q373" s="2" t="inlineStr">
        <is>
          <t>2026-10-26</t>
        </is>
      </c>
      <c r="R373" s="3" t="inlineStr">
        <is>
          <t>https://shop.daiso.com.tw/products/4973430025447</t>
        </is>
      </c>
      <c r="S373" s="2" t="inlineStr">
        <is>
          <t>官網</t>
        </is>
      </c>
      <c r="T373" s="2" t="inlineStr">
        <is>
          <t>medium</t>
        </is>
      </c>
      <c r="U373" s="2" t="inlineStr">
        <is>
          <t>A4雜誌型立式檔案盒；可連結；依同品牌(Sanada Seiko)規格寫法(寬×高×深)與商品圖判讀；官方規格原文：9.7cm × 28cm × 22.2cm</t>
        </is>
      </c>
      <c r="V373" s="2" t="inlineStr"/>
    </row>
    <row r="374">
      <c r="A374" s="2" t="inlineStr">
        <is>
          <t>DAISO-002</t>
        </is>
      </c>
      <c r="B374" s="2" t="inlineStr">
        <is>
          <t>DAISO</t>
        </is>
      </c>
      <c r="C374" s="2" t="inlineStr">
        <is>
          <t>Sanada Seiko 檔案盒</t>
        </is>
      </c>
      <c r="D374" s="2" t="inlineStr">
        <is>
          <t>A4立式收納盒</t>
        </is>
      </c>
      <c r="E374" s="2" t="inlineStr">
        <is>
          <t>4973430022583</t>
        </is>
      </c>
      <c r="F374" s="2" t="n">
        <v>9.1</v>
      </c>
      <c r="G374" s="2" t="n">
        <v>25.8</v>
      </c>
      <c r="H374" s="2" t="n">
        <v>16.4</v>
      </c>
      <c r="I374" s="2" t="n"/>
      <c r="J374" s="2" t="n"/>
      <c r="K374" s="2" t="n"/>
      <c r="L374" s="2" t="inlineStr"/>
      <c r="M374" s="2" t="inlineStr"/>
      <c r="N374" s="2" t="inlineStr"/>
      <c r="O374" s="2" t="inlineStr">
        <is>
          <t>N</t>
        </is>
      </c>
      <c r="P374" s="2" t="n">
        <v>49</v>
      </c>
      <c r="Q374" s="2" t="inlineStr">
        <is>
          <t>2026-10-26</t>
        </is>
      </c>
      <c r="R374" s="3" t="inlineStr">
        <is>
          <t>https://shop.daiso.com.tw/products/4973430022583</t>
        </is>
      </c>
      <c r="S374" s="2" t="inlineStr">
        <is>
          <t>官網</t>
        </is>
      </c>
      <c r="T374" s="2" t="inlineStr">
        <is>
          <t>medium</t>
        </is>
      </c>
      <c r="U374" s="2" t="inlineStr">
        <is>
          <t>A4立式收納盒；依商品圖（A4紙高出盒身）判讀高16.4；官方規格原文：9.1cm × 16.4cm × 25.8cm</t>
        </is>
      </c>
      <c r="V374" s="2" t="inlineStr"/>
    </row>
    <row r="375">
      <c r="A375" s="2" t="inlineStr">
        <is>
          <t>DAISO-003</t>
        </is>
      </c>
      <c r="B375" s="2" t="inlineStr">
        <is>
          <t>DAISO</t>
        </is>
      </c>
      <c r="C375" s="2" t="inlineStr">
        <is>
          <t>Sanada Seiko 檔案盒</t>
        </is>
      </c>
      <c r="D375" s="2" t="inlineStr">
        <is>
          <t>A4文件收納盒/8.9x8.6x25.7cm</t>
        </is>
      </c>
      <c r="E375" s="2" t="inlineStr">
        <is>
          <t>4973430024693</t>
        </is>
      </c>
      <c r="F375" s="2" t="n">
        <v>8.9</v>
      </c>
      <c r="G375" s="2" t="n">
        <v>25.7</v>
      </c>
      <c r="H375" s="2" t="n">
        <v>8.6</v>
      </c>
      <c r="I375" s="2" t="n"/>
      <c r="J375" s="2" t="n"/>
      <c r="K375" s="2" t="n"/>
      <c r="L375" s="2" t="inlineStr"/>
      <c r="M375" s="2" t="inlineStr"/>
      <c r="N375" s="2" t="inlineStr"/>
      <c r="O375" s="2" t="inlineStr">
        <is>
          <t>N</t>
        </is>
      </c>
      <c r="P375" s="2" t="n">
        <v>49</v>
      </c>
      <c r="Q375" s="2" t="inlineStr">
        <is>
          <t>2026-10-26</t>
        </is>
      </c>
      <c r="R375" s="3" t="inlineStr">
        <is>
          <t>https://shop.daiso.com.tw/products/4973430024693</t>
        </is>
      </c>
      <c r="S375" s="2" t="inlineStr">
        <is>
          <t>官網</t>
        </is>
      </c>
      <c r="T375" s="2" t="inlineStr">
        <is>
          <t>medium</t>
        </is>
      </c>
      <c r="U375" s="2" t="inlineStr">
        <is>
          <t>A4長型收納盒；依同品牌規格寫法(寬×高×深)判讀；官方規格原文：8.9cm×8.6cm×25.7cm</t>
        </is>
      </c>
      <c r="V375" s="2" t="inlineStr"/>
    </row>
    <row r="376">
      <c r="A376" s="2" t="inlineStr">
        <is>
          <t>DAISO-004</t>
        </is>
      </c>
      <c r="B376" s="2" t="inlineStr">
        <is>
          <t>DAISO</t>
        </is>
      </c>
      <c r="C376" s="2" t="inlineStr">
        <is>
          <t>Sanada Seiko 檔案盒</t>
        </is>
      </c>
      <c r="D376" s="2" t="inlineStr">
        <is>
          <t>A5文件收納盒/17.1x2.2x24.2cm</t>
        </is>
      </c>
      <c r="E376" s="2" t="inlineStr">
        <is>
          <t>4973430019576</t>
        </is>
      </c>
      <c r="F376" s="2" t="n">
        <v>17.1</v>
      </c>
      <c r="G376" s="2" t="n">
        <v>24.2</v>
      </c>
      <c r="H376" s="2" t="n">
        <v>2.2</v>
      </c>
      <c r="I376" s="2" t="n"/>
      <c r="J376" s="2" t="n"/>
      <c r="K376" s="2" t="n"/>
      <c r="L376" s="2" t="inlineStr"/>
      <c r="M376" s="2" t="inlineStr">
        <is>
          <t>白/淺綠/透明</t>
        </is>
      </c>
      <c r="N376" s="2" t="inlineStr"/>
      <c r="O376" s="2" t="inlineStr">
        <is>
          <t>Y</t>
        </is>
      </c>
      <c r="P376" s="2" t="n">
        <v>49</v>
      </c>
      <c r="Q376" s="2" t="inlineStr">
        <is>
          <t>2026-10-26</t>
        </is>
      </c>
      <c r="R376" s="3" t="inlineStr">
        <is>
          <t>https://shop.daiso.com.tw/products/4973430019576</t>
        </is>
      </c>
      <c r="S376" s="2" t="inlineStr">
        <is>
          <t>官網</t>
        </is>
      </c>
      <c r="T376" s="2" t="inlineStr">
        <is>
          <t>high</t>
        </is>
      </c>
      <c r="U376" s="2" t="inlineStr">
        <is>
          <t>A5薄型文件盒（掀蓋）；耐溫-20~100℃；顏色隨機出貨；官方規格原文：17.1cm×2.2cm×24.2cm</t>
        </is>
      </c>
      <c r="V376" s="2" t="inlineStr"/>
    </row>
    <row r="377">
      <c r="A377" s="2" t="inlineStr">
        <is>
          <t>DAISO-005</t>
        </is>
      </c>
      <c r="B377" s="2" t="inlineStr">
        <is>
          <t>DAISO</t>
        </is>
      </c>
      <c r="C377" s="2" t="inlineStr">
        <is>
          <t>檔案盒</t>
        </is>
      </c>
      <c r="D377" s="2" t="inlineStr">
        <is>
          <t>A4檔案收納盒/透明</t>
        </is>
      </c>
      <c r="E377" s="2" t="inlineStr">
        <is>
          <t>4984355716266</t>
        </is>
      </c>
      <c r="F377" s="2" t="n">
        <v>9.5</v>
      </c>
      <c r="G377" s="2" t="n">
        <v>32.2</v>
      </c>
      <c r="H377" s="2" t="n">
        <v>24.3</v>
      </c>
      <c r="I377" s="2" t="n"/>
      <c r="J377" s="2" t="n"/>
      <c r="K377" s="2" t="n"/>
      <c r="L377" s="2" t="inlineStr"/>
      <c r="M377" s="2" t="inlineStr">
        <is>
          <t>透明</t>
        </is>
      </c>
      <c r="N377" s="2" t="inlineStr"/>
      <c r="O377" s="2" t="inlineStr">
        <is>
          <t>N</t>
        </is>
      </c>
      <c r="P377" s="2" t="n">
        <v>99</v>
      </c>
      <c r="Q377" s="2" t="inlineStr">
        <is>
          <t>2026-10-26</t>
        </is>
      </c>
      <c r="R377" s="3" t="inlineStr">
        <is>
          <t>https://shop.daiso.com.tw/products/4984355716266</t>
        </is>
      </c>
      <c r="S377" s="2" t="inlineStr">
        <is>
          <t>官網</t>
        </is>
      </c>
      <c r="T377" s="2" t="inlineStr">
        <is>
          <t>medium</t>
        </is>
      </c>
      <c r="U377" s="2" t="inlineStr">
        <is>
          <t>A4檔案收納盒；官方規格未標示長寬高順序，依商品圖判讀高度（直立式檔案盒，高24.3、深32.2）；官方規格原文：9.5cm×24.3cm×32.2cm</t>
        </is>
      </c>
      <c r="V377" s="2" t="inlineStr"/>
    </row>
    <row r="378">
      <c r="A378" s="2" t="inlineStr">
        <is>
          <t>DAISO-006</t>
        </is>
      </c>
      <c r="B378" s="2" t="inlineStr">
        <is>
          <t>DAISO</t>
        </is>
      </c>
      <c r="C378" s="2" t="inlineStr">
        <is>
          <t>文件收納盒</t>
        </is>
      </c>
      <c r="D378" s="2" t="inlineStr">
        <is>
          <t>A4文件收納盒</t>
        </is>
      </c>
      <c r="E378" s="2" t="inlineStr">
        <is>
          <t>4906137337919</t>
        </is>
      </c>
      <c r="F378" s="2" t="n">
        <v>32.1</v>
      </c>
      <c r="G378" s="2" t="n">
        <v>25</v>
      </c>
      <c r="H378" s="2" t="n">
        <v>4.2</v>
      </c>
      <c r="I378" s="2" t="n"/>
      <c r="J378" s="2" t="n"/>
      <c r="K378" s="2" t="n"/>
      <c r="L378" s="2" t="inlineStr"/>
      <c r="M378" s="2" t="inlineStr">
        <is>
          <t>白/黑</t>
        </is>
      </c>
      <c r="N378" s="2" t="inlineStr"/>
      <c r="O378" s="2" t="inlineStr">
        <is>
          <t>Y</t>
        </is>
      </c>
      <c r="P378" s="2" t="n">
        <v>69</v>
      </c>
      <c r="Q378" s="2" t="inlineStr">
        <is>
          <t>2026-10-26</t>
        </is>
      </c>
      <c r="R378" s="3" t="inlineStr">
        <is>
          <t>https://shop.daiso.com.tw/products/4906137337919</t>
        </is>
      </c>
      <c r="S378" s="2" t="inlineStr">
        <is>
          <t>官網</t>
        </is>
      </c>
      <c r="T378" s="2" t="inlineStr">
        <is>
          <t>high</t>
        </is>
      </c>
      <c r="U378" s="2" t="inlineStr">
        <is>
          <t>A4扣蓋式文件盒；顏色隨機出貨；官方規格原文：32.1cm × 25cm × 4.2cm</t>
        </is>
      </c>
      <c r="V378" s="2" t="inlineStr"/>
    </row>
    <row r="379">
      <c r="A379" s="2" t="inlineStr">
        <is>
          <t>DAISO-007</t>
        </is>
      </c>
      <c r="B379" s="2" t="inlineStr">
        <is>
          <t>DAISO</t>
        </is>
      </c>
      <c r="C379" s="2" t="inlineStr">
        <is>
          <t>文件收納盒</t>
        </is>
      </c>
      <c r="D379" s="2" t="inlineStr">
        <is>
          <t>B5文件收納盒</t>
        </is>
      </c>
      <c r="E379" s="2" t="inlineStr">
        <is>
          <t>4549131883596</t>
        </is>
      </c>
      <c r="F379" s="2" t="n">
        <v>26.8</v>
      </c>
      <c r="G379" s="2" t="n">
        <v>20.8</v>
      </c>
      <c r="H379" s="2" t="n">
        <v>4.3</v>
      </c>
      <c r="I379" s="2" t="n"/>
      <c r="J379" s="2" t="n"/>
      <c r="K379" s="2" t="n"/>
      <c r="L379" s="2" t="inlineStr"/>
      <c r="M379" s="2" t="inlineStr"/>
      <c r="N379" s="2" t="inlineStr"/>
      <c r="O379" s="2" t="inlineStr">
        <is>
          <t>Y</t>
        </is>
      </c>
      <c r="P379" s="2" t="n">
        <v>49</v>
      </c>
      <c r="Q379" s="2" t="inlineStr">
        <is>
          <t>2026-10-26</t>
        </is>
      </c>
      <c r="R379" s="3" t="inlineStr">
        <is>
          <t>https://shop.daiso.com.tw/products/4549131883596</t>
        </is>
      </c>
      <c r="S379" s="2" t="inlineStr">
        <is>
          <t>官網</t>
        </is>
      </c>
      <c r="T379" s="2" t="inlineStr">
        <is>
          <t>high</t>
        </is>
      </c>
      <c r="U379" s="2" t="inlineStr">
        <is>
          <t>B5附蓋文件盒；可容納400張B5紙；官方規格原文：26.8cm×20.8cm×4.3cm</t>
        </is>
      </c>
      <c r="V379" s="2" t="inlineStr"/>
    </row>
    <row r="380">
      <c r="A380" s="2" t="inlineStr">
        <is>
          <t>DAISO-008</t>
        </is>
      </c>
      <c r="B380" s="2" t="inlineStr">
        <is>
          <t>DAISO</t>
        </is>
      </c>
      <c r="C380" s="2" t="inlineStr">
        <is>
          <t>文件收納盒</t>
        </is>
      </c>
      <c r="D380" s="2" t="inlineStr">
        <is>
          <t>A4手提文件收納盒/附提把 透明</t>
        </is>
      </c>
      <c r="E380" s="2" t="inlineStr">
        <is>
          <t>4973911834216</t>
        </is>
      </c>
      <c r="F380" s="2" t="n">
        <v>32.5</v>
      </c>
      <c r="G380" s="2" t="n">
        <v>24</v>
      </c>
      <c r="H380" s="2" t="n">
        <v>4</v>
      </c>
      <c r="I380" s="2" t="n"/>
      <c r="J380" s="2" t="n"/>
      <c r="K380" s="2" t="n"/>
      <c r="L380" s="2" t="inlineStr"/>
      <c r="M380" s="2" t="inlineStr">
        <is>
          <t>透明</t>
        </is>
      </c>
      <c r="N380" s="2" t="inlineStr"/>
      <c r="O380" s="2" t="inlineStr">
        <is>
          <t>Y</t>
        </is>
      </c>
      <c r="P380" s="2" t="n">
        <v>99</v>
      </c>
      <c r="Q380" s="2" t="inlineStr">
        <is>
          <t>2026-10-26</t>
        </is>
      </c>
      <c r="R380" s="3" t="inlineStr">
        <is>
          <t>https://shop.daiso.com.tw/products/4973911834216</t>
        </is>
      </c>
      <c r="S380" s="2" t="inlineStr">
        <is>
          <t>官網</t>
        </is>
      </c>
      <c r="T380" s="2" t="inlineStr">
        <is>
          <t>high</t>
        </is>
      </c>
      <c r="U380" s="2" t="inlineStr">
        <is>
          <t>A4手提文件收納盒（附提把）；官方規格原文：32.5cm × 24cm × 4cm</t>
        </is>
      </c>
      <c r="V380" s="2" t="inlineStr"/>
    </row>
    <row r="381">
      <c r="A381" s="2" t="inlineStr">
        <is>
          <t>DAISO-009</t>
        </is>
      </c>
      <c r="B381" s="2" t="inlineStr">
        <is>
          <t>DAISO</t>
        </is>
      </c>
      <c r="C381" s="2" t="inlineStr">
        <is>
          <t>文件收納盒</t>
        </is>
      </c>
      <c r="D381" s="2" t="inlineStr">
        <is>
          <t>A4手提文件盒/33x28.8x7cm</t>
        </is>
      </c>
      <c r="E381" s="2" t="inlineStr">
        <is>
          <t>4550480353241</t>
        </is>
      </c>
      <c r="F381" s="2" t="n">
        <v>33</v>
      </c>
      <c r="G381" s="2" t="n">
        <v>28.8</v>
      </c>
      <c r="H381" s="2" t="n">
        <v>7</v>
      </c>
      <c r="I381" s="2" t="n"/>
      <c r="J381" s="2" t="n"/>
      <c r="K381" s="2" t="n"/>
      <c r="L381" s="2" t="inlineStr"/>
      <c r="M381" s="2" t="inlineStr"/>
      <c r="N381" s="2" t="inlineStr"/>
      <c r="O381" s="2" t="inlineStr">
        <is>
          <t>Y</t>
        </is>
      </c>
      <c r="P381" s="2" t="n">
        <v>99</v>
      </c>
      <c r="Q381" s="2" t="inlineStr">
        <is>
          <t>2026-10-26</t>
        </is>
      </c>
      <c r="R381" s="3" t="inlineStr">
        <is>
          <t>https://shop.daiso.com.tw/products/4550480353241</t>
        </is>
      </c>
      <c r="S381" s="2" t="inlineStr">
        <is>
          <t>官網</t>
        </is>
      </c>
      <c r="T381" s="2" t="inlineStr">
        <is>
          <t>high</t>
        </is>
      </c>
      <c r="U381" s="2" t="inlineStr">
        <is>
          <t>A4手提文件盒（附提把）；官方規格原文：33cm×28.8cm×7cm</t>
        </is>
      </c>
      <c r="V381" s="2" t="inlineStr"/>
    </row>
    <row r="382">
      <c r="A382" s="2" t="inlineStr">
        <is>
          <t>DAISO-010</t>
        </is>
      </c>
      <c r="B382" s="2" t="inlineStr">
        <is>
          <t>DAISO</t>
        </is>
      </c>
      <c r="C382" s="2" t="inlineStr">
        <is>
          <t>文件收納盒</t>
        </is>
      </c>
      <c r="D382" s="2" t="inlineStr">
        <is>
          <t>A4折疊式文件收納盒</t>
        </is>
      </c>
      <c r="E382" s="2" t="inlineStr">
        <is>
          <t>4550480646077/4550480646084</t>
        </is>
      </c>
      <c r="F382" s="2" t="n">
        <v>26</v>
      </c>
      <c r="G382" s="2" t="n">
        <v>36</v>
      </c>
      <c r="H382" s="2" t="n">
        <v>4</v>
      </c>
      <c r="I382" s="2" t="n"/>
      <c r="J382" s="2" t="n"/>
      <c r="K382" s="2" t="n"/>
      <c r="L382" s="2" t="inlineStr"/>
      <c r="M382" s="2" t="inlineStr">
        <is>
          <t>紫/藍/白</t>
        </is>
      </c>
      <c r="N382" s="2" t="inlineStr"/>
      <c r="O382" s="2" t="inlineStr">
        <is>
          <t>Y</t>
        </is>
      </c>
      <c r="P382" s="2" t="n">
        <v>69</v>
      </c>
      <c r="Q382" s="2" t="inlineStr">
        <is>
          <t>2026-10-26</t>
        </is>
      </c>
      <c r="R382" s="3" t="inlineStr">
        <is>
          <t>https://shop.daiso.com.tw/products/4550480646077</t>
        </is>
      </c>
      <c r="S382" s="2" t="inlineStr">
        <is>
          <t>官網</t>
        </is>
      </c>
      <c r="T382" s="2" t="inlineStr">
        <is>
          <t>medium</t>
        </is>
      </c>
      <c r="U382" s="2" t="inlineStr">
        <is>
          <t>折疊式A4文件收納盒；紫藍款(4550480646077)隨機出貨，白色為另一編號(4550480646084)，同價69元；組裝後尺寸，官方規格未標示長寬高順序；官方規格原文：26cm × 36cm × 4cm</t>
        </is>
      </c>
      <c r="V382" s="2" t="inlineStr"/>
    </row>
    <row r="383">
      <c r="A383" s="2" t="inlineStr">
        <is>
          <t>DAISO-011</t>
        </is>
      </c>
      <c r="B383" s="2" t="inlineStr">
        <is>
          <t>DAISO</t>
        </is>
      </c>
      <c r="C383" s="2" t="inlineStr">
        <is>
          <t>文件收納盤</t>
        </is>
      </c>
      <c r="D383" s="2" t="inlineStr">
        <is>
          <t>A4文件收納盤/灰 33.9x24.1x7cm</t>
        </is>
      </c>
      <c r="E383" s="2" t="inlineStr">
        <is>
          <t>4905596431558/4905596431572</t>
        </is>
      </c>
      <c r="F383" s="2" t="n">
        <v>33.9</v>
      </c>
      <c r="G383" s="2" t="n">
        <v>24.1</v>
      </c>
      <c r="H383" s="2" t="n">
        <v>7</v>
      </c>
      <c r="I383" s="2" t="n"/>
      <c r="J383" s="2" t="n"/>
      <c r="K383" s="2" t="n"/>
      <c r="L383" s="2" t="inlineStr"/>
      <c r="M383" s="2" t="inlineStr">
        <is>
          <t>灰/黑</t>
        </is>
      </c>
      <c r="N383" s="2" t="inlineStr"/>
      <c r="O383" s="2" t="inlineStr">
        <is>
          <t>N</t>
        </is>
      </c>
      <c r="P383" s="2" t="n">
        <v>49</v>
      </c>
      <c r="Q383" s="2" t="inlineStr">
        <is>
          <t>2026-10-26</t>
        </is>
      </c>
      <c r="R383" s="3" t="inlineStr">
        <is>
          <t>https://shop.daiso.com.tw/products/4905596431558</t>
        </is>
      </c>
      <c r="S383" s="2" t="inlineStr">
        <is>
          <t>官網</t>
        </is>
      </c>
      <c r="T383" s="2" t="inlineStr">
        <is>
          <t>high</t>
        </is>
      </c>
      <c r="U383" s="2" t="inlineStr">
        <is>
          <t>A4文件收納盤；耐熱120℃；官方規格原文：120℃</t>
        </is>
      </c>
      <c r="V383" s="2" t="inlineStr"/>
    </row>
    <row r="384">
      <c r="A384" s="2" t="inlineStr">
        <is>
          <t>DAISO-012</t>
        </is>
      </c>
      <c r="B384" s="2" t="inlineStr">
        <is>
          <t>DAISO</t>
        </is>
      </c>
      <c r="C384" s="2" t="inlineStr">
        <is>
          <t>Standard Products × KING JIM</t>
        </is>
      </c>
      <c r="D384" s="2" t="inlineStr">
        <is>
          <t>SP KING JIM聯名款磁吸式收納盒/直式A4 白</t>
        </is>
      </c>
      <c r="E384" s="2" t="inlineStr">
        <is>
          <t>4550480901077/4550480901107</t>
        </is>
      </c>
      <c r="F384" s="2" t="n">
        <v>25.5</v>
      </c>
      <c r="G384" s="2" t="n">
        <v>5.3</v>
      </c>
      <c r="H384" s="2" t="n">
        <v>33.7</v>
      </c>
      <c r="I384" s="2" t="n"/>
      <c r="J384" s="2" t="n"/>
      <c r="K384" s="2" t="n"/>
      <c r="L384" s="2" t="inlineStr"/>
      <c r="M384" s="2" t="inlineStr">
        <is>
          <t>白/黑</t>
        </is>
      </c>
      <c r="N384" s="2" t="inlineStr"/>
      <c r="O384" s="2" t="inlineStr">
        <is>
          <t>N</t>
        </is>
      </c>
      <c r="P384" s="2" t="n">
        <v>299</v>
      </c>
      <c r="Q384" s="2" t="inlineStr">
        <is>
          <t>2026-10-26</t>
        </is>
      </c>
      <c r="R384" s="3" t="inlineStr">
        <is>
          <t>https://shop.daiso.com.tw/products/4550480901077</t>
        </is>
      </c>
      <c r="S384" s="2" t="inlineStr">
        <is>
          <t>官網</t>
        </is>
      </c>
      <c r="T384" s="2" t="inlineStr">
        <is>
          <t>medium</t>
        </is>
      </c>
      <c r="U384" s="2" t="inlineStr">
        <is>
          <t>磁吸式直式A4收納盒（吸附於鐵面使用）；可耐重約1.6kg；最多約400張A4；依商品圖判讀高度；官方規格原文：25.5cm×33.7cm×5.3cm</t>
        </is>
      </c>
      <c r="V384" s="2" t="inlineStr"/>
    </row>
    <row r="385">
      <c r="A385" s="2" t="inlineStr">
        <is>
          <t>DAISO-013</t>
        </is>
      </c>
      <c r="B385" s="2" t="inlineStr">
        <is>
          <t>DAISO</t>
        </is>
      </c>
      <c r="C385" s="2" t="inlineStr">
        <is>
          <t>PP編織</t>
        </is>
      </c>
      <c r="D385" s="2" t="inlineStr">
        <is>
          <t>PP編織雜誌收納架/33x11.5x24cm</t>
        </is>
      </c>
      <c r="E385" s="2" t="inlineStr">
        <is>
          <t>4550480519531</t>
        </is>
      </c>
      <c r="F385" s="2" t="n">
        <v>33</v>
      </c>
      <c r="G385" s="2" t="n">
        <v>11.5</v>
      </c>
      <c r="H385" s="2" t="n">
        <v>24</v>
      </c>
      <c r="I385" s="2" t="n"/>
      <c r="J385" s="2" t="n"/>
      <c r="K385" s="2" t="n"/>
      <c r="L385" s="2" t="inlineStr">
        <is>
          <t>PP編織</t>
        </is>
      </c>
      <c r="M385" s="2" t="inlineStr">
        <is>
          <t>黑/棕/卡其/白</t>
        </is>
      </c>
      <c r="N385" s="2" t="inlineStr"/>
      <c r="O385" s="2" t="inlineStr">
        <is>
          <t>N</t>
        </is>
      </c>
      <c r="P385" s="2" t="n">
        <v>139</v>
      </c>
      <c r="Q385" s="2" t="inlineStr">
        <is>
          <t>2026-10-26</t>
        </is>
      </c>
      <c r="R385" s="3" t="inlineStr">
        <is>
          <t>https://shop.daiso.com.tw/products/4550480519531</t>
        </is>
      </c>
      <c r="S385" s="2" t="inlineStr">
        <is>
          <t>官網</t>
        </is>
      </c>
      <c r="T385" s="2" t="inlineStr">
        <is>
          <t>medium</t>
        </is>
      </c>
      <c r="U385" s="2" t="inlineStr">
        <is>
          <t>雜誌收納架；顏色隨機出貨；官方規格未標示長寬高順序；官方規格原文：33cm×11.5cm×24cm</t>
        </is>
      </c>
      <c r="V385" s="2" t="inlineStr"/>
    </row>
    <row r="386">
      <c r="A386" s="2" t="inlineStr">
        <is>
          <t>DAISO-014</t>
        </is>
      </c>
      <c r="B386" s="2" t="inlineStr">
        <is>
          <t>DAISO</t>
        </is>
      </c>
      <c r="C386" s="2" t="inlineStr">
        <is>
          <t>DAISO可堆疊收納盒</t>
        </is>
      </c>
      <c r="D386" s="2" t="inlineStr">
        <is>
          <t>DAISO可堆疊分隔收納盒/10.7x15.2x8.3cm</t>
        </is>
      </c>
      <c r="E386" s="2" t="inlineStr">
        <is>
          <t>4984355715962</t>
        </is>
      </c>
      <c r="F386" s="2" t="n">
        <v>10.7</v>
      </c>
      <c r="G386" s="2" t="n">
        <v>15.2</v>
      </c>
      <c r="H386" s="2" t="n">
        <v>8.300000000000001</v>
      </c>
      <c r="I386" s="2" t="n"/>
      <c r="J386" s="2" t="n"/>
      <c r="K386" s="2" t="n"/>
      <c r="L386" s="2" t="inlineStr"/>
      <c r="M386" s="2" t="inlineStr"/>
      <c r="N386" s="2" t="inlineStr">
        <is>
          <t>Y</t>
        </is>
      </c>
      <c r="O386" s="2" t="inlineStr">
        <is>
          <t>N</t>
        </is>
      </c>
      <c r="P386" s="2" t="n">
        <v>49</v>
      </c>
      <c r="Q386" s="2" t="inlineStr">
        <is>
          <t>2026-10-26</t>
        </is>
      </c>
      <c r="R386" s="3" t="inlineStr">
        <is>
          <t>https://shop.daiso.com.tw/products/4984355715962</t>
        </is>
      </c>
      <c r="S386" s="2" t="inlineStr">
        <is>
          <t>官網</t>
        </is>
      </c>
      <c r="T386" s="2" t="inlineStr">
        <is>
          <t>high</t>
        </is>
      </c>
      <c r="U386" s="2" t="inlineStr">
        <is>
          <t>內附分隔；官方：全系列可依需求堆疊；日本製；官方規格原文：10.7cm×15.2cm×8.3cm</t>
        </is>
      </c>
      <c r="V386" s="2" t="inlineStr"/>
    </row>
    <row r="387">
      <c r="A387" s="2" t="inlineStr">
        <is>
          <t>DAISO-015</t>
        </is>
      </c>
      <c r="B387" s="2" t="inlineStr">
        <is>
          <t>DAISO</t>
        </is>
      </c>
      <c r="C387" s="2" t="inlineStr">
        <is>
          <t>DAISO可堆疊收納盒</t>
        </is>
      </c>
      <c r="D387" s="2" t="inlineStr">
        <is>
          <t>DAISO可堆疊附蓋收納盒/15.2x10.8x9.9cm</t>
        </is>
      </c>
      <c r="E387" s="2" t="inlineStr">
        <is>
          <t>4984355716037</t>
        </is>
      </c>
      <c r="F387" s="2" t="n">
        <v>15.2</v>
      </c>
      <c r="G387" s="2" t="n">
        <v>10.8</v>
      </c>
      <c r="H387" s="2" t="n">
        <v>9.9</v>
      </c>
      <c r="I387" s="2" t="n"/>
      <c r="J387" s="2" t="n"/>
      <c r="K387" s="2" t="n"/>
      <c r="L387" s="2" t="inlineStr"/>
      <c r="M387" s="2" t="inlineStr"/>
      <c r="N387" s="2" t="inlineStr">
        <is>
          <t>Y</t>
        </is>
      </c>
      <c r="O387" s="2" t="inlineStr">
        <is>
          <t>Y</t>
        </is>
      </c>
      <c r="P387" s="2" t="n">
        <v>49</v>
      </c>
      <c r="Q387" s="2" t="inlineStr">
        <is>
          <t>2026-10-26</t>
        </is>
      </c>
      <c r="R387" s="3" t="inlineStr">
        <is>
          <t>https://shop.daiso.com.tw/products/4984355716037</t>
        </is>
      </c>
      <c r="S387" s="2" t="inlineStr">
        <is>
          <t>官網</t>
        </is>
      </c>
      <c r="T387" s="2" t="inlineStr">
        <is>
          <t>high</t>
        </is>
      </c>
      <c r="U387" s="2" t="inlineStr">
        <is>
          <t>附蓋；官方：全系列可依需求堆疊；日本製；官方規格原文：15.2cm×10.8cm×9.9cm</t>
        </is>
      </c>
      <c r="V387" s="2" t="inlineStr"/>
    </row>
    <row r="388">
      <c r="A388" s="2" t="inlineStr">
        <is>
          <t>DAISO-016</t>
        </is>
      </c>
      <c r="B388" s="2" t="inlineStr">
        <is>
          <t>DAISO</t>
        </is>
      </c>
      <c r="C388" s="2" t="inlineStr">
        <is>
          <t>DAISO可堆疊收納盒</t>
        </is>
      </c>
      <c r="D388" s="2" t="inlineStr">
        <is>
          <t>DAISO可堆疊附蓋收納盒/21.5x15.5x9.9cm</t>
        </is>
      </c>
      <c r="E388" s="2" t="inlineStr">
        <is>
          <t>4984355716020</t>
        </is>
      </c>
      <c r="F388" s="2" t="n">
        <v>21.5</v>
      </c>
      <c r="G388" s="2" t="n">
        <v>15.5</v>
      </c>
      <c r="H388" s="2" t="n">
        <v>9.9</v>
      </c>
      <c r="I388" s="2" t="n"/>
      <c r="J388" s="2" t="n"/>
      <c r="K388" s="2" t="n"/>
      <c r="L388" s="2" t="inlineStr"/>
      <c r="M388" s="2" t="inlineStr"/>
      <c r="N388" s="2" t="inlineStr">
        <is>
          <t>Y</t>
        </is>
      </c>
      <c r="O388" s="2" t="inlineStr">
        <is>
          <t>Y</t>
        </is>
      </c>
      <c r="P388" s="2" t="n">
        <v>69</v>
      </c>
      <c r="Q388" s="2" t="inlineStr">
        <is>
          <t>2026-10-26</t>
        </is>
      </c>
      <c r="R388" s="3" t="inlineStr">
        <is>
          <t>https://shop.daiso.com.tw/products/4984355716020</t>
        </is>
      </c>
      <c r="S388" s="2" t="inlineStr">
        <is>
          <t>官網</t>
        </is>
      </c>
      <c r="T388" s="2" t="inlineStr">
        <is>
          <t>high</t>
        </is>
      </c>
      <c r="U388" s="2" t="inlineStr">
        <is>
          <t>附蓋；官方：全系列可依需求堆疊；日本製；官方規格原文：21.5cm×15.5cm×9.9cm</t>
        </is>
      </c>
      <c r="V388" s="2" t="inlineStr"/>
    </row>
    <row r="389">
      <c r="A389" s="2" t="inlineStr">
        <is>
          <t>DAISO-017</t>
        </is>
      </c>
      <c r="B389" s="2" t="inlineStr">
        <is>
          <t>DAISO</t>
        </is>
      </c>
      <c r="C389" s="2" t="inlineStr">
        <is>
          <t>堆疊式收納盒</t>
        </is>
      </c>
      <c r="D389" s="2" t="inlineStr">
        <is>
          <t>堆疊式收納盒/白 15.2x8.3x21.5cm</t>
        </is>
      </c>
      <c r="E389" s="2" t="inlineStr">
        <is>
          <t>4550480364087</t>
        </is>
      </c>
      <c r="F389" s="2" t="n">
        <v>15.2</v>
      </c>
      <c r="G389" s="2" t="n">
        <v>21.5</v>
      </c>
      <c r="H389" s="2" t="n">
        <v>8.300000000000001</v>
      </c>
      <c r="I389" s="2" t="n"/>
      <c r="J389" s="2" t="n"/>
      <c r="K389" s="2" t="n"/>
      <c r="L389" s="2" t="inlineStr"/>
      <c r="M389" s="2" t="inlineStr">
        <is>
          <t>白</t>
        </is>
      </c>
      <c r="N389" s="2" t="inlineStr">
        <is>
          <t>Y</t>
        </is>
      </c>
      <c r="O389" s="2" t="inlineStr">
        <is>
          <t>N</t>
        </is>
      </c>
      <c r="P389" s="2" t="n">
        <v>49</v>
      </c>
      <c r="Q389" s="2" t="inlineStr">
        <is>
          <t>2026-10-26</t>
        </is>
      </c>
      <c r="R389" s="3" t="inlineStr">
        <is>
          <t>https://shop.daiso.com.tw/products/4550480364087</t>
        </is>
      </c>
      <c r="S389" s="2" t="inlineStr">
        <is>
          <t>官網</t>
        </is>
      </c>
      <c r="T389" s="2" t="inlineStr">
        <is>
          <t>high</t>
        </is>
      </c>
      <c r="U389" s="2" t="inlineStr">
        <is>
          <t>日本製；耐溫-20~120℃；官方規格寫法為寬×高×深，依商品圖判讀高度；可與同系列及底座組合；官方規格原文：15.2cm×8.3cm×21.5cm</t>
        </is>
      </c>
      <c r="V389" s="2" t="inlineStr"/>
    </row>
    <row r="390">
      <c r="A390" s="2" t="inlineStr">
        <is>
          <t>DAISO-018</t>
        </is>
      </c>
      <c r="B390" s="2" t="inlineStr">
        <is>
          <t>DAISO</t>
        </is>
      </c>
      <c r="C390" s="2" t="inlineStr">
        <is>
          <t>堆疊式收納盒</t>
        </is>
      </c>
      <c r="D390" s="2" t="inlineStr">
        <is>
          <t>堆疊式收納盒/白 淺型 15.2x4.3x21.5cm</t>
        </is>
      </c>
      <c r="E390" s="2" t="inlineStr">
        <is>
          <t>4550480364148</t>
        </is>
      </c>
      <c r="F390" s="2" t="n">
        <v>15.2</v>
      </c>
      <c r="G390" s="2" t="n">
        <v>21.5</v>
      </c>
      <c r="H390" s="2" t="n">
        <v>4.3</v>
      </c>
      <c r="I390" s="2" t="n"/>
      <c r="J390" s="2" t="n"/>
      <c r="K390" s="2" t="n"/>
      <c r="L390" s="2" t="inlineStr"/>
      <c r="M390" s="2" t="inlineStr">
        <is>
          <t>白</t>
        </is>
      </c>
      <c r="N390" s="2" t="inlineStr">
        <is>
          <t>Y</t>
        </is>
      </c>
      <c r="O390" s="2" t="inlineStr">
        <is>
          <t>N</t>
        </is>
      </c>
      <c r="P390" s="2" t="n">
        <v>49</v>
      </c>
      <c r="Q390" s="2" t="inlineStr">
        <is>
          <t>2026-10-26</t>
        </is>
      </c>
      <c r="R390" s="3" t="inlineStr">
        <is>
          <t>https://shop.daiso.com.tw/products/4550480364148</t>
        </is>
      </c>
      <c r="S390" s="2" t="inlineStr">
        <is>
          <t>官網</t>
        </is>
      </c>
      <c r="T390" s="2" t="inlineStr">
        <is>
          <t>high</t>
        </is>
      </c>
      <c r="U390" s="2" t="inlineStr">
        <is>
          <t>淺型；官方規格寫法為寬×高×深，依商品圖判讀高度；耐溫-20~120℃；官方規格原文：15.2cm×4.3cm×21.5cm</t>
        </is>
      </c>
      <c r="V390" s="2" t="inlineStr"/>
    </row>
    <row r="391">
      <c r="A391" s="2" t="inlineStr">
        <is>
          <t>DAISO-019</t>
        </is>
      </c>
      <c r="B391" s="2" t="inlineStr">
        <is>
          <t>DAISO</t>
        </is>
      </c>
      <c r="C391" s="2" t="inlineStr">
        <is>
          <t>堆疊式收納盒</t>
        </is>
      </c>
      <c r="D391" s="2" t="inlineStr">
        <is>
          <t>堆疊式收納盒/正方形 15.2x8.3x15.2cm</t>
        </is>
      </c>
      <c r="E391" s="2" t="inlineStr">
        <is>
          <t>4550480364186</t>
        </is>
      </c>
      <c r="F391" s="2" t="n">
        <v>15.2</v>
      </c>
      <c r="G391" s="2" t="n">
        <v>15.2</v>
      </c>
      <c r="H391" s="2" t="n">
        <v>8.300000000000001</v>
      </c>
      <c r="I391" s="2" t="n"/>
      <c r="J391" s="2" t="n"/>
      <c r="K391" s="2" t="n"/>
      <c r="L391" s="2" t="inlineStr"/>
      <c r="M391" s="2" t="inlineStr">
        <is>
          <t>白</t>
        </is>
      </c>
      <c r="N391" s="2" t="inlineStr">
        <is>
          <t>Y</t>
        </is>
      </c>
      <c r="O391" s="2" t="inlineStr">
        <is>
          <t>N</t>
        </is>
      </c>
      <c r="P391" s="2" t="n">
        <v>49</v>
      </c>
      <c r="Q391" s="2" t="inlineStr">
        <is>
          <t>2026-10-26</t>
        </is>
      </c>
      <c r="R391" s="3" t="inlineStr">
        <is>
          <t>https://shop.daiso.com.tw/products/4550480364186</t>
        </is>
      </c>
      <c r="S391" s="2" t="inlineStr">
        <is>
          <t>官網</t>
        </is>
      </c>
      <c r="T391" s="2" t="inlineStr">
        <is>
          <t>high</t>
        </is>
      </c>
      <c r="U391" s="2" t="inlineStr">
        <is>
          <t>正方形；官方規格寫法為寬×高×深；耐溫-20~120℃；官方規格原文：15.2cm×8.3cm×15.2cm</t>
        </is>
      </c>
      <c r="V391" s="2" t="inlineStr"/>
    </row>
    <row r="392">
      <c r="A392" s="2" t="inlineStr">
        <is>
          <t>DAISO-020</t>
        </is>
      </c>
      <c r="B392" s="2" t="inlineStr">
        <is>
          <t>DAISO</t>
        </is>
      </c>
      <c r="C392" s="2" t="inlineStr">
        <is>
          <t>堆疊式收納盒</t>
        </is>
      </c>
      <c r="D392" s="2" t="inlineStr">
        <is>
          <t>堆疊式收納盒/深型 10.7x8.3x15.2cm</t>
        </is>
      </c>
      <c r="E392" s="2" t="inlineStr">
        <is>
          <t>4550480364124</t>
        </is>
      </c>
      <c r="F392" s="2" t="n">
        <v>10.7</v>
      </c>
      <c r="G392" s="2" t="n">
        <v>15.2</v>
      </c>
      <c r="H392" s="2" t="n">
        <v>8.300000000000001</v>
      </c>
      <c r="I392" s="2" t="n"/>
      <c r="J392" s="2" t="n"/>
      <c r="K392" s="2" t="n"/>
      <c r="L392" s="2" t="inlineStr"/>
      <c r="M392" s="2" t="inlineStr">
        <is>
          <t>白</t>
        </is>
      </c>
      <c r="N392" s="2" t="inlineStr">
        <is>
          <t>Y</t>
        </is>
      </c>
      <c r="O392" s="2" t="inlineStr">
        <is>
          <t>N</t>
        </is>
      </c>
      <c r="P392" s="2" t="n">
        <v>49</v>
      </c>
      <c r="Q392" s="2" t="inlineStr">
        <is>
          <t>2026-10-26</t>
        </is>
      </c>
      <c r="R392" s="3" t="inlineStr">
        <is>
          <t>https://shop.daiso.com.tw/products/4550480364124</t>
        </is>
      </c>
      <c r="S392" s="2" t="inlineStr">
        <is>
          <t>官網</t>
        </is>
      </c>
      <c r="T392" s="2" t="inlineStr">
        <is>
          <t>high</t>
        </is>
      </c>
      <c r="U392" s="2" t="inlineStr">
        <is>
          <t>深型；官方規格寫法為寬×高×深；耐溫-20~120℃；官方規格原文：10.7cm×8.3cm×15.2cm</t>
        </is>
      </c>
      <c r="V392" s="2" t="inlineStr"/>
    </row>
    <row r="393">
      <c r="A393" s="2" t="inlineStr">
        <is>
          <t>DAISO-021</t>
        </is>
      </c>
      <c r="B393" s="2" t="inlineStr">
        <is>
          <t>DAISO</t>
        </is>
      </c>
      <c r="C393" s="2" t="inlineStr">
        <is>
          <t>堆疊式收納盒</t>
        </is>
      </c>
      <c r="D393" s="2" t="inlineStr">
        <is>
          <t>堆疊式收納盒/隔板 10.7x8.3x15.2cm</t>
        </is>
      </c>
      <c r="E393" s="2" t="inlineStr">
        <is>
          <t>4550480364100</t>
        </is>
      </c>
      <c r="F393" s="2" t="n">
        <v>10.7</v>
      </c>
      <c r="G393" s="2" t="n">
        <v>15.2</v>
      </c>
      <c r="H393" s="2" t="n">
        <v>8.300000000000001</v>
      </c>
      <c r="I393" s="2" t="n"/>
      <c r="J393" s="2" t="n"/>
      <c r="K393" s="2" t="n"/>
      <c r="L393" s="2" t="inlineStr"/>
      <c r="M393" s="2" t="inlineStr">
        <is>
          <t>白</t>
        </is>
      </c>
      <c r="N393" s="2" t="inlineStr">
        <is>
          <t>Y</t>
        </is>
      </c>
      <c r="O393" s="2" t="inlineStr">
        <is>
          <t>N</t>
        </is>
      </c>
      <c r="P393" s="2" t="n">
        <v>49</v>
      </c>
      <c r="Q393" s="2" t="inlineStr">
        <is>
          <t>2026-10-26</t>
        </is>
      </c>
      <c r="R393" s="3" t="inlineStr">
        <is>
          <t>https://shop.daiso.com.tw/products/4550480364100</t>
        </is>
      </c>
      <c r="S393" s="2" t="inlineStr">
        <is>
          <t>官網</t>
        </is>
      </c>
      <c r="T393" s="2" t="inlineStr">
        <is>
          <t>high</t>
        </is>
      </c>
      <c r="U393" s="2" t="inlineStr">
        <is>
          <t>內附隔板；官方規格寫法為寬×高×深；耐溫-20~120℃；官方規格原文：10.7cm×8.3cm×15.2cm</t>
        </is>
      </c>
      <c r="V393" s="2" t="inlineStr"/>
    </row>
    <row r="394">
      <c r="A394" s="2" t="inlineStr">
        <is>
          <t>DAISO-022</t>
        </is>
      </c>
      <c r="B394" s="2" t="inlineStr">
        <is>
          <t>DAISO</t>
        </is>
      </c>
      <c r="C394" s="2" t="inlineStr">
        <is>
          <t>堆疊式收納盒</t>
        </is>
      </c>
      <c r="D394" s="2" t="inlineStr">
        <is>
          <t>堆疊式附蓋收納盒/白 21.5x9.9x15.5cm</t>
        </is>
      </c>
      <c r="E394" s="2" t="inlineStr">
        <is>
          <t>4550480364162</t>
        </is>
      </c>
      <c r="F394" s="2" t="n">
        <v>21.5</v>
      </c>
      <c r="G394" s="2" t="n">
        <v>15.5</v>
      </c>
      <c r="H394" s="2" t="n">
        <v>9.9</v>
      </c>
      <c r="I394" s="2" t="n"/>
      <c r="J394" s="2" t="n"/>
      <c r="K394" s="2" t="n"/>
      <c r="L394" s="2" t="inlineStr"/>
      <c r="M394" s="2" t="inlineStr">
        <is>
          <t>白</t>
        </is>
      </c>
      <c r="N394" s="2" t="inlineStr">
        <is>
          <t>Y</t>
        </is>
      </c>
      <c r="O394" s="2" t="inlineStr">
        <is>
          <t>Y</t>
        </is>
      </c>
      <c r="P394" s="2" t="n">
        <v>69</v>
      </c>
      <c r="Q394" s="2" t="inlineStr">
        <is>
          <t>2026-10-26</t>
        </is>
      </c>
      <c r="R394" s="3" t="inlineStr">
        <is>
          <t>https://shop.daiso.com.tw/products/4550480364162</t>
        </is>
      </c>
      <c r="S394" s="2" t="inlineStr">
        <is>
          <t>官網</t>
        </is>
      </c>
      <c r="T394" s="2" t="inlineStr">
        <is>
          <t>high</t>
        </is>
      </c>
      <c r="U394" s="2" t="inlineStr">
        <is>
          <t>附蓋；官方規格寫法為寬×高×深；耐溫-20~120℃；官方規格原文：21.5cm×9.9cm×15.5cm</t>
        </is>
      </c>
      <c r="V394" s="2" t="inlineStr"/>
    </row>
    <row r="395">
      <c r="A395" s="2" t="inlineStr">
        <is>
          <t>DAISO-023</t>
        </is>
      </c>
      <c r="B395" s="2" t="inlineStr">
        <is>
          <t>DAISO</t>
        </is>
      </c>
      <c r="C395" s="2" t="inlineStr">
        <is>
          <t>堆疊式收納盒</t>
        </is>
      </c>
      <c r="D395" s="2" t="inlineStr">
        <is>
          <t>堆疊式提把收納盒/10.7x12x15.2cm</t>
        </is>
      </c>
      <c r="E395" s="2" t="inlineStr">
        <is>
          <t>4550480239934</t>
        </is>
      </c>
      <c r="F395" s="2" t="n">
        <v>10.7</v>
      </c>
      <c r="G395" s="2" t="n">
        <v>15.2</v>
      </c>
      <c r="H395" s="2" t="n">
        <v>12</v>
      </c>
      <c r="I395" s="2" t="n"/>
      <c r="J395" s="2" t="n"/>
      <c r="K395" s="2" t="n"/>
      <c r="L395" s="2" t="inlineStr"/>
      <c r="M395" s="2" t="inlineStr"/>
      <c r="N395" s="2" t="inlineStr">
        <is>
          <t>Y</t>
        </is>
      </c>
      <c r="O395" s="2" t="inlineStr">
        <is>
          <t>N</t>
        </is>
      </c>
      <c r="P395" s="2" t="n">
        <v>49</v>
      </c>
      <c r="Q395" s="2" t="inlineStr">
        <is>
          <t>2026-10-26</t>
        </is>
      </c>
      <c r="R395" s="3" t="inlineStr">
        <is>
          <t>https://shop.daiso.com.tw/products/4550480239934</t>
        </is>
      </c>
      <c r="S395" s="2" t="inlineStr">
        <is>
          <t>官網</t>
        </is>
      </c>
      <c r="T395" s="2" t="inlineStr">
        <is>
          <t>medium</t>
        </is>
      </c>
      <c r="U395" s="2" t="inlineStr">
        <is>
          <t>附提把，堆疊後也能取物；耐溫-20~120℃；官方規格未標示長寬高順序，依商品圖判讀高度；官方規格原文：10.7cm×12cm×15.2cm</t>
        </is>
      </c>
      <c r="V395" s="2" t="inlineStr"/>
    </row>
    <row r="396">
      <c r="A396" s="2" t="inlineStr">
        <is>
          <t>DAISO-024</t>
        </is>
      </c>
      <c r="B396" s="2" t="inlineStr">
        <is>
          <t>DAISO</t>
        </is>
      </c>
      <c r="C396" s="2" t="inlineStr">
        <is>
          <t>堆疊式收納盒</t>
        </is>
      </c>
      <c r="D396" s="2" t="inlineStr">
        <is>
          <t>堆疊式提把收納盒/15.2x12.5x21.5cm</t>
        </is>
      </c>
      <c r="E396" s="2" t="inlineStr">
        <is>
          <t>4550480239927</t>
        </is>
      </c>
      <c r="F396" s="2" t="n">
        <v>15.2</v>
      </c>
      <c r="G396" s="2" t="n">
        <v>21.5</v>
      </c>
      <c r="H396" s="2" t="n">
        <v>12.5</v>
      </c>
      <c r="I396" s="2" t="n"/>
      <c r="J396" s="2" t="n"/>
      <c r="K396" s="2" t="n"/>
      <c r="L396" s="2" t="inlineStr"/>
      <c r="M396" s="2" t="inlineStr"/>
      <c r="N396" s="2" t="inlineStr">
        <is>
          <t>Y</t>
        </is>
      </c>
      <c r="O396" s="2" t="inlineStr">
        <is>
          <t>N</t>
        </is>
      </c>
      <c r="P396" s="2" t="n">
        <v>69</v>
      </c>
      <c r="Q396" s="2" t="inlineStr">
        <is>
          <t>2026-10-26</t>
        </is>
      </c>
      <c r="R396" s="3" t="inlineStr">
        <is>
          <t>https://shop.daiso.com.tw/products/4550480239927</t>
        </is>
      </c>
      <c r="S396" s="2" t="inlineStr">
        <is>
          <t>官網</t>
        </is>
      </c>
      <c r="T396" s="2" t="inlineStr">
        <is>
          <t>medium</t>
        </is>
      </c>
      <c r="U396" s="2" t="inlineStr">
        <is>
          <t>附提把；商品頁無規格表，尺寸取自官方商品名稱；官方規格未標示長寬高順序，依商品圖判讀高度；官方規格原文：（無規格表）</t>
        </is>
      </c>
      <c r="V396" s="2" t="inlineStr"/>
    </row>
    <row r="397">
      <c r="A397" s="2" t="inlineStr">
        <is>
          <t>DAISO-025</t>
        </is>
      </c>
      <c r="B397" s="2" t="inlineStr">
        <is>
          <t>DAISO</t>
        </is>
      </c>
      <c r="C397" s="2" t="inlineStr">
        <is>
          <t>堆疊式收納盒</t>
        </is>
      </c>
      <c r="D397" s="2" t="inlineStr">
        <is>
          <t>堆疊式收納盒/8.7×9.2×18cm</t>
        </is>
      </c>
      <c r="E397" s="2" t="inlineStr">
        <is>
          <t>4550480709239</t>
        </is>
      </c>
      <c r="F397" s="2" t="n">
        <v>8.699999999999999</v>
      </c>
      <c r="G397" s="2" t="n">
        <v>18</v>
      </c>
      <c r="H397" s="2" t="n">
        <v>9.199999999999999</v>
      </c>
      <c r="I397" s="2" t="n"/>
      <c r="J397" s="2" t="n"/>
      <c r="K397" s="2" t="n"/>
      <c r="L397" s="2" t="inlineStr"/>
      <c r="M397" s="2" t="inlineStr">
        <is>
          <t>透明</t>
        </is>
      </c>
      <c r="N397" s="2" t="inlineStr">
        <is>
          <t>Y</t>
        </is>
      </c>
      <c r="O397" s="2" t="inlineStr">
        <is>
          <t>Y</t>
        </is>
      </c>
      <c r="P397" s="2" t="n">
        <v>99</v>
      </c>
      <c r="Q397" s="2" t="inlineStr">
        <is>
          <t>2026-10-26</t>
        </is>
      </c>
      <c r="R397" s="3" t="inlineStr">
        <is>
          <t>https://shop.daiso.com.tw/products/4550480709239</t>
        </is>
      </c>
      <c r="S397" s="2" t="inlineStr">
        <is>
          <t>官網</t>
        </is>
      </c>
      <c r="T397" s="2" t="inlineStr">
        <is>
          <t>medium</t>
        </is>
      </c>
      <c r="U397" s="2" t="inlineStr">
        <is>
          <t>官方規格未標示長寬高順序，依商品圖判讀高度；官方規格原文：8.7 × 9.2 × 18 cm</t>
        </is>
      </c>
      <c r="V397" s="2" t="inlineStr"/>
    </row>
    <row r="398">
      <c r="A398" s="2" t="inlineStr">
        <is>
          <t>DAISO-026</t>
        </is>
      </c>
      <c r="B398" s="2" t="inlineStr">
        <is>
          <t>DAISO</t>
        </is>
      </c>
      <c r="C398" s="2" t="inlineStr">
        <is>
          <t>堆疊式收納盒</t>
        </is>
      </c>
      <c r="D398" s="2" t="inlineStr">
        <is>
          <t>堆疊式附蓋收納盒/2格 15.8×3.8×23.8cm</t>
        </is>
      </c>
      <c r="E398" s="2" t="inlineStr">
        <is>
          <t>4550480586380</t>
        </is>
      </c>
      <c r="F398" s="2" t="n">
        <v>15.8</v>
      </c>
      <c r="G398" s="2" t="n">
        <v>23.8</v>
      </c>
      <c r="H398" s="2" t="n">
        <v>3.8</v>
      </c>
      <c r="I398" s="2" t="n"/>
      <c r="J398" s="2" t="n"/>
      <c r="K398" s="2" t="n"/>
      <c r="L398" s="2" t="inlineStr"/>
      <c r="M398" s="2" t="inlineStr">
        <is>
          <t>透明</t>
        </is>
      </c>
      <c r="N398" s="2" t="inlineStr">
        <is>
          <t>Y</t>
        </is>
      </c>
      <c r="O398" s="2" t="inlineStr">
        <is>
          <t>Y</t>
        </is>
      </c>
      <c r="P398" s="2" t="n">
        <v>69</v>
      </c>
      <c r="Q398" s="2" t="inlineStr">
        <is>
          <t>2026-10-26</t>
        </is>
      </c>
      <c r="R398" s="3" t="inlineStr">
        <is>
          <t>https://shop.daiso.com.tw/products/4550480586380</t>
        </is>
      </c>
      <c r="S398" s="2" t="inlineStr">
        <is>
          <t>官網</t>
        </is>
      </c>
      <c r="T398" s="2" t="inlineStr">
        <is>
          <t>high</t>
        </is>
      </c>
      <c r="U398" s="2" t="inlineStr">
        <is>
          <t>2格附蓋；商品圖標示 15.8×23.8×高3.8cm；官方規格原文：15.8cm × 3.8cm × 23.8cm</t>
        </is>
      </c>
      <c r="V398" s="2" t="inlineStr"/>
    </row>
    <row r="399">
      <c r="A399" s="2" t="inlineStr">
        <is>
          <t>DAISO-027</t>
        </is>
      </c>
      <c r="B399" s="2" t="inlineStr">
        <is>
          <t>DAISO</t>
        </is>
      </c>
      <c r="C399" s="2" t="inlineStr">
        <is>
          <t>堆疊式收納盒</t>
        </is>
      </c>
      <c r="D399" s="2" t="inlineStr">
        <is>
          <t>堆疊式編織收納盒/14.5×10.6×10.5cm</t>
        </is>
      </c>
      <c r="E399" s="2" t="inlineStr">
        <is>
          <t>4550480641584</t>
        </is>
      </c>
      <c r="F399" s="2" t="n">
        <v>14.5</v>
      </c>
      <c r="G399" s="2" t="n">
        <v>10.5</v>
      </c>
      <c r="H399" s="2" t="n">
        <v>10.6</v>
      </c>
      <c r="I399" s="2" t="n"/>
      <c r="J399" s="2" t="n"/>
      <c r="K399" s="2" t="n"/>
      <c r="L399" s="2" t="inlineStr"/>
      <c r="M399" s="2" t="inlineStr"/>
      <c r="N399" s="2" t="inlineStr">
        <is>
          <t>Y</t>
        </is>
      </c>
      <c r="O399" s="2" t="inlineStr">
        <is>
          <t>N</t>
        </is>
      </c>
      <c r="P399" s="2" t="n">
        <v>49</v>
      </c>
      <c r="Q399" s="2" t="inlineStr">
        <is>
          <t>2026-10-26</t>
        </is>
      </c>
      <c r="R399" s="3" t="inlineStr">
        <is>
          <t>https://shop.daiso.com.tw/products/4550480641584</t>
        </is>
      </c>
      <c r="S399" s="2" t="inlineStr">
        <is>
          <t>官網</t>
        </is>
      </c>
      <c r="T399" s="2" t="inlineStr">
        <is>
          <t>high</t>
        </is>
      </c>
      <c r="U399" s="2" t="inlineStr">
        <is>
          <t>編織紋鏤空盒；商品圖標示 寬14.5×深10.5×高10.6cm；官方規格原文：14.5cm × 10.6cm × 10.5cm</t>
        </is>
      </c>
      <c r="V399" s="2" t="inlineStr"/>
    </row>
    <row r="400">
      <c r="A400" s="2" t="inlineStr">
        <is>
          <t>DAISO-028</t>
        </is>
      </c>
      <c r="B400" s="2" t="inlineStr">
        <is>
          <t>DAISO</t>
        </is>
      </c>
      <c r="C400" s="2" t="inlineStr">
        <is>
          <t>堆疊式抽屜收納盒</t>
        </is>
      </c>
      <c r="D400" s="2" t="inlineStr">
        <is>
          <t>堆疊式抽屜收納盒/粉 20cm×12.2cm×18cm</t>
        </is>
      </c>
      <c r="E400" s="2" t="inlineStr">
        <is>
          <t>4550480580333</t>
        </is>
      </c>
      <c r="F400" s="2" t="n">
        <v>20</v>
      </c>
      <c r="G400" s="2" t="n">
        <v>18</v>
      </c>
      <c r="H400" s="2" t="n">
        <v>12.2</v>
      </c>
      <c r="I400" s="2" t="n"/>
      <c r="J400" s="2" t="n"/>
      <c r="K400" s="2" t="n"/>
      <c r="L400" s="2" t="inlineStr"/>
      <c r="M400" s="2" t="inlineStr">
        <is>
          <t>粉</t>
        </is>
      </c>
      <c r="N400" s="2" t="inlineStr">
        <is>
          <t>Y</t>
        </is>
      </c>
      <c r="O400" s="2" t="inlineStr">
        <is>
          <t>N</t>
        </is>
      </c>
      <c r="P400" s="2" t="n">
        <v>139</v>
      </c>
      <c r="Q400" s="2" t="inlineStr">
        <is>
          <t>2026-10-26</t>
        </is>
      </c>
      <c r="R400" s="3" t="inlineStr">
        <is>
          <t>https://shop.daiso.com.tw/products/4550480580333</t>
        </is>
      </c>
      <c r="S400" s="2" t="inlineStr">
        <is>
          <t>官網</t>
        </is>
      </c>
      <c r="T400" s="2" t="inlineStr">
        <is>
          <t>medium</t>
        </is>
      </c>
      <c r="U400" s="2" t="inlineStr">
        <is>
          <t>抽屜式；官方規格未標示長寬高順序，依商品圖判讀高度；官方規格原文：20cm×12.2cm×18cm</t>
        </is>
      </c>
      <c r="V400" s="2" t="inlineStr"/>
    </row>
    <row r="401">
      <c r="A401" s="2" t="inlineStr">
        <is>
          <t>DAISO-029</t>
        </is>
      </c>
      <c r="B401" s="2" t="inlineStr">
        <is>
          <t>DAISO</t>
        </is>
      </c>
      <c r="C401" s="2" t="inlineStr">
        <is>
          <t>THREEPPY</t>
        </is>
      </c>
      <c r="D401" s="2" t="inlineStr">
        <is>
          <t>TP 堆疊式抽屜收納盒/灰 10cm×12.2cm×18cm</t>
        </is>
      </c>
      <c r="E401" s="2" t="inlineStr">
        <is>
          <t>4550480580395</t>
        </is>
      </c>
      <c r="F401" s="2" t="n">
        <v>10</v>
      </c>
      <c r="G401" s="2" t="n">
        <v>18</v>
      </c>
      <c r="H401" s="2" t="n">
        <v>12.2</v>
      </c>
      <c r="I401" s="2" t="n"/>
      <c r="J401" s="2" t="n"/>
      <c r="K401" s="2" t="n"/>
      <c r="L401" s="2" t="inlineStr"/>
      <c r="M401" s="2" t="inlineStr">
        <is>
          <t>灰</t>
        </is>
      </c>
      <c r="N401" s="2" t="inlineStr">
        <is>
          <t>Y</t>
        </is>
      </c>
      <c r="O401" s="2" t="inlineStr">
        <is>
          <t>N</t>
        </is>
      </c>
      <c r="P401" s="2" t="n">
        <v>99</v>
      </c>
      <c r="Q401" s="2" t="inlineStr">
        <is>
          <t>2026-10-26</t>
        </is>
      </c>
      <c r="R401" s="3" t="inlineStr">
        <is>
          <t>https://shop.daiso.com.tw/products/4550480580395</t>
        </is>
      </c>
      <c r="S401" s="2" t="inlineStr">
        <is>
          <t>官網</t>
        </is>
      </c>
      <c r="T401" s="2" t="inlineStr">
        <is>
          <t>medium</t>
        </is>
      </c>
      <c r="U401" s="2" t="inlineStr">
        <is>
          <t>TP 堆疊式抽屜收納盒；官方規格未標示長寬高順序，依商品圖判讀高度；官方規格原文：10cm×12.2cm×18cm</t>
        </is>
      </c>
      <c r="V401" s="2" t="inlineStr"/>
    </row>
    <row r="402">
      <c r="A402" s="2" t="inlineStr">
        <is>
          <t>DAISO-030</t>
        </is>
      </c>
      <c r="B402" s="2" t="inlineStr">
        <is>
          <t>DAISO</t>
        </is>
      </c>
      <c r="C402" s="2" t="inlineStr">
        <is>
          <t>ONE收納盒</t>
        </is>
      </c>
      <c r="D402" s="2" t="inlineStr">
        <is>
          <t>ONE收納盒/17x4.5x8.5cm</t>
        </is>
      </c>
      <c r="E402" s="2" t="inlineStr">
        <is>
          <t>4549131885620</t>
        </is>
      </c>
      <c r="F402" s="2" t="n">
        <v>17</v>
      </c>
      <c r="G402" s="2" t="n">
        <v>8.5</v>
      </c>
      <c r="H402" s="2" t="n">
        <v>4.5</v>
      </c>
      <c r="I402" s="2" t="n"/>
      <c r="J402" s="2" t="n"/>
      <c r="K402" s="2" t="n"/>
      <c r="L402" s="2" t="inlineStr"/>
      <c r="M402" s="2" t="inlineStr">
        <is>
          <t>白</t>
        </is>
      </c>
      <c r="N402" s="2" t="inlineStr">
        <is>
          <t>Y</t>
        </is>
      </c>
      <c r="O402" s="2" t="inlineStr">
        <is>
          <t>N</t>
        </is>
      </c>
      <c r="P402" s="2" t="n">
        <v>49</v>
      </c>
      <c r="Q402" s="2" t="inlineStr">
        <is>
          <t>2026-10-26</t>
        </is>
      </c>
      <c r="R402" s="3" t="inlineStr">
        <is>
          <t>https://shop.daiso.com.tw/products/4549131885620</t>
        </is>
      </c>
      <c r="S402" s="2" t="inlineStr">
        <is>
          <t>官網</t>
        </is>
      </c>
      <c r="T402" s="2" t="inlineStr">
        <is>
          <t>medium</t>
        </is>
      </c>
      <c r="U402" s="2" t="inlineStr">
        <is>
          <t>官方：全系列可堆疊；官方規格未標示長寬高順序，依商品圖判讀高度；官方規格原文：17cm×4.5cm×8.5cm</t>
        </is>
      </c>
      <c r="V402" s="2" t="inlineStr"/>
    </row>
    <row r="403">
      <c r="A403" s="2" t="inlineStr">
        <is>
          <t>DAISO-031</t>
        </is>
      </c>
      <c r="B403" s="2" t="inlineStr">
        <is>
          <t>DAISO</t>
        </is>
      </c>
      <c r="C403" s="2" t="inlineStr">
        <is>
          <t>ONE收納盒</t>
        </is>
      </c>
      <c r="D403" s="2" t="inlineStr">
        <is>
          <t>ONE收納盒/25.5x4.5x8.5cm</t>
        </is>
      </c>
      <c r="E403" s="2" t="inlineStr">
        <is>
          <t>4549131885606</t>
        </is>
      </c>
      <c r="F403" s="2" t="n">
        <v>25.5</v>
      </c>
      <c r="G403" s="2" t="n">
        <v>8.5</v>
      </c>
      <c r="H403" s="2" t="n">
        <v>4.5</v>
      </c>
      <c r="I403" s="2" t="n"/>
      <c r="J403" s="2" t="n"/>
      <c r="K403" s="2" t="n"/>
      <c r="L403" s="2" t="inlineStr"/>
      <c r="M403" s="2" t="inlineStr">
        <is>
          <t>白</t>
        </is>
      </c>
      <c r="N403" s="2" t="inlineStr">
        <is>
          <t>Y</t>
        </is>
      </c>
      <c r="O403" s="2" t="inlineStr">
        <is>
          <t>N</t>
        </is>
      </c>
      <c r="P403" s="2" t="n">
        <v>49</v>
      </c>
      <c r="Q403" s="2" t="inlineStr">
        <is>
          <t>2026-10-26</t>
        </is>
      </c>
      <c r="R403" s="3" t="inlineStr">
        <is>
          <t>https://shop.daiso.com.tw/products/4549131885606</t>
        </is>
      </c>
      <c r="S403" s="2" t="inlineStr">
        <is>
          <t>官網</t>
        </is>
      </c>
      <c r="T403" s="2" t="inlineStr">
        <is>
          <t>medium</t>
        </is>
      </c>
      <c r="U403" s="2" t="inlineStr">
        <is>
          <t>官方：全系列可堆疊；官方規格未標示長寬高順序，依商品圖判讀高度；官方規格原文：25.5cm×4.5cm×8.5cm</t>
        </is>
      </c>
      <c r="V403" s="2" t="inlineStr"/>
    </row>
    <row r="404">
      <c r="A404" s="2" t="inlineStr">
        <is>
          <t>DAISO-032</t>
        </is>
      </c>
      <c r="B404" s="2" t="inlineStr">
        <is>
          <t>DAISO</t>
        </is>
      </c>
      <c r="C404" s="2" t="inlineStr">
        <is>
          <t>透明收納盒</t>
        </is>
      </c>
      <c r="D404" s="2" t="inlineStr">
        <is>
          <t>2格收納盒/約18x6x6cmクリアケース２マス</t>
        </is>
      </c>
      <c r="E404" s="2" t="inlineStr">
        <is>
          <t>4549131485318</t>
        </is>
      </c>
      <c r="F404" s="2" t="n">
        <v>17.9</v>
      </c>
      <c r="G404" s="2" t="n">
        <v>6.1</v>
      </c>
      <c r="H404" s="2" t="n">
        <v>6.1</v>
      </c>
      <c r="I404" s="2" t="n"/>
      <c r="J404" s="2" t="n"/>
      <c r="K404" s="2" t="n"/>
      <c r="L404" s="2" t="inlineStr">
        <is>
          <t>壓克力</t>
        </is>
      </c>
      <c r="M404" s="2" t="inlineStr">
        <is>
          <t>透明</t>
        </is>
      </c>
      <c r="N404" s="2" t="inlineStr">
        <is>
          <t>Y</t>
        </is>
      </c>
      <c r="O404" s="2" t="inlineStr">
        <is>
          <t>N</t>
        </is>
      </c>
      <c r="P404" s="2" t="n">
        <v>49</v>
      </c>
      <c r="Q404" s="2" t="inlineStr">
        <is>
          <t>2026-10-26</t>
        </is>
      </c>
      <c r="R404" s="3" t="inlineStr">
        <is>
          <t>https://shop.daiso.com.tw/products/4549131485318</t>
        </is>
      </c>
      <c r="S404" s="2" t="inlineStr">
        <is>
          <t>官網</t>
        </is>
      </c>
      <c r="T404" s="2" t="inlineStr">
        <is>
          <t>high</t>
        </is>
      </c>
      <c r="U404" s="2" t="inlineStr">
        <is>
          <t>2格壓克力盒；官方：可堆疊；日本製；官方規格原文：本體尺寸約17.9x6.1x6.1cm</t>
        </is>
      </c>
      <c r="V404" s="2" t="inlineStr"/>
    </row>
    <row r="405">
      <c r="A405" s="2" t="inlineStr">
        <is>
          <t>DAISO-033</t>
        </is>
      </c>
      <c r="B405" s="2" t="inlineStr">
        <is>
          <t>DAISO</t>
        </is>
      </c>
      <c r="C405" s="2" t="inlineStr">
        <is>
          <t>透明收納盒</t>
        </is>
      </c>
      <c r="D405" s="2" t="inlineStr">
        <is>
          <t>分隔收納盒/17.9x9.1x4cm仕切り３トールトレー</t>
        </is>
      </c>
      <c r="E405" s="2" t="inlineStr">
        <is>
          <t>4906137325411</t>
        </is>
      </c>
      <c r="F405" s="2" t="n">
        <v>17.9</v>
      </c>
      <c r="G405" s="2" t="n">
        <v>4</v>
      </c>
      <c r="H405" s="2" t="n">
        <v>9.1</v>
      </c>
      <c r="I405" s="2" t="n"/>
      <c r="J405" s="2" t="n"/>
      <c r="K405" s="2" t="n"/>
      <c r="L405" s="2" t="inlineStr"/>
      <c r="M405" s="2" t="inlineStr">
        <is>
          <t>透明</t>
        </is>
      </c>
      <c r="N405" s="2" t="inlineStr">
        <is>
          <t>Y</t>
        </is>
      </c>
      <c r="O405" s="2" t="inlineStr">
        <is>
          <t>N</t>
        </is>
      </c>
      <c r="P405" s="2" t="n">
        <v>49</v>
      </c>
      <c r="Q405" s="2" t="inlineStr">
        <is>
          <t>2026-10-26</t>
        </is>
      </c>
      <c r="R405" s="3" t="inlineStr">
        <is>
          <t>https://shop.daiso.com.tw/products/4906137325411</t>
        </is>
      </c>
      <c r="S405" s="2" t="inlineStr">
        <is>
          <t>官網</t>
        </is>
      </c>
      <c r="T405" s="2" t="inlineStr">
        <is>
          <t>medium</t>
        </is>
      </c>
      <c r="U405" s="2" t="inlineStr">
        <is>
          <t>三格透明收納（トールトレー）；官方：可堆疊；官方規格未標示長寬高順序，依商品圖判讀高度；官方規格原文：約17.9x9.1x4cm</t>
        </is>
      </c>
      <c r="V405" s="2" t="inlineStr"/>
    </row>
    <row r="406">
      <c r="A406" s="2" t="inlineStr">
        <is>
          <t>DAISO-034</t>
        </is>
      </c>
      <c r="B406" s="2" t="inlineStr">
        <is>
          <t>DAISO</t>
        </is>
      </c>
      <c r="C406" s="2" t="inlineStr">
        <is>
          <t>透明收納盒</t>
        </is>
      </c>
      <c r="D406" s="2" t="inlineStr">
        <is>
          <t>透明附蓋收納盒/28x19x14.5cm</t>
        </is>
      </c>
      <c r="E406" s="2" t="inlineStr">
        <is>
          <t>4549131590685</t>
        </is>
      </c>
      <c r="F406" s="2" t="n">
        <v>28</v>
      </c>
      <c r="G406" s="2" t="n">
        <v>19</v>
      </c>
      <c r="H406" s="2" t="n">
        <v>14.5</v>
      </c>
      <c r="I406" s="2" t="n"/>
      <c r="J406" s="2" t="n"/>
      <c r="K406" s="2" t="n"/>
      <c r="L406" s="2" t="inlineStr"/>
      <c r="M406" s="2" t="inlineStr">
        <is>
          <t>透明</t>
        </is>
      </c>
      <c r="N406" s="2" t="inlineStr">
        <is>
          <t>Y</t>
        </is>
      </c>
      <c r="O406" s="2" t="inlineStr">
        <is>
          <t>Y</t>
        </is>
      </c>
      <c r="P406" s="2" t="n">
        <v>99</v>
      </c>
      <c r="Q406" s="2" t="inlineStr">
        <is>
          <t>2026-10-26</t>
        </is>
      </c>
      <c r="R406" s="3" t="inlineStr">
        <is>
          <t>https://shop.daiso.com.tw/products/4549131590685</t>
        </is>
      </c>
      <c r="S406" s="2" t="inlineStr">
        <is>
          <t>官網</t>
        </is>
      </c>
      <c r="T406" s="2" t="inlineStr">
        <is>
          <t>high</t>
        </is>
      </c>
      <c r="U406" s="2" t="inlineStr">
        <is>
          <t>附蓋，官方：可堆疊收納；官方規格原文：約28 x 19 x 14.5 cm</t>
        </is>
      </c>
      <c r="V406" s="2" t="inlineStr"/>
    </row>
    <row r="407">
      <c r="A407" s="2" t="inlineStr">
        <is>
          <t>DAISO-035</t>
        </is>
      </c>
      <c r="B407" s="2" t="inlineStr">
        <is>
          <t>DAISO</t>
        </is>
      </c>
      <c r="C407" s="2" t="inlineStr">
        <is>
          <t>環保材質收納箱</t>
        </is>
      </c>
      <c r="D407" s="2" t="inlineStr">
        <is>
          <t>環保材質收納箱/24.4x13x17.4cm</t>
        </is>
      </c>
      <c r="E407" s="2" t="inlineStr">
        <is>
          <t>4550480392110</t>
        </is>
      </c>
      <c r="F407" s="2" t="n">
        <v>24.4</v>
      </c>
      <c r="G407" s="2" t="n">
        <v>17.4</v>
      </c>
      <c r="H407" s="2" t="n">
        <v>13</v>
      </c>
      <c r="I407" s="2" t="n"/>
      <c r="J407" s="2" t="n"/>
      <c r="K407" s="2" t="n"/>
      <c r="L407" s="2" t="inlineStr">
        <is>
          <t>環保材質（官方未註明成分）</t>
        </is>
      </c>
      <c r="M407" s="2" t="inlineStr">
        <is>
          <t>米/白</t>
        </is>
      </c>
      <c r="N407" s="2" t="inlineStr">
        <is>
          <t>Y</t>
        </is>
      </c>
      <c r="O407" s="2" t="inlineStr">
        <is>
          <t>Y</t>
        </is>
      </c>
      <c r="P407" s="2" t="n">
        <v>49</v>
      </c>
      <c r="Q407" s="2" t="inlineStr">
        <is>
          <t>2026-10-26</t>
        </is>
      </c>
      <c r="R407" s="3" t="inlineStr">
        <is>
          <t>https://shop.daiso.com.tw/products/4550480392110</t>
        </is>
      </c>
      <c r="S407" s="2" t="inlineStr">
        <is>
          <t>官網</t>
        </is>
      </c>
      <c r="T407" s="2" t="inlineStr">
        <is>
          <t>medium</t>
        </is>
      </c>
      <c r="U407" s="2" t="inlineStr">
        <is>
          <t>官方：附蓋、可堆疊；共3款尺寸，本列為最小款；顏色隨機出貨；官方規格未標示長寬高順序，依商品圖判讀高度；官方規格原文：24.4cm×13cm×17.4cm</t>
        </is>
      </c>
      <c r="V407" s="2" t="inlineStr"/>
    </row>
    <row r="408">
      <c r="A408" s="2" t="inlineStr">
        <is>
          <t>DAISO-036</t>
        </is>
      </c>
      <c r="B408" s="2" t="inlineStr">
        <is>
          <t>DAISO</t>
        </is>
      </c>
      <c r="C408" s="2" t="inlineStr">
        <is>
          <t>透明收納盒</t>
        </is>
      </c>
      <c r="D408" s="2" t="inlineStr">
        <is>
          <t>PS透明收納盒/8x24x5.5cmＰＳクリアケース</t>
        </is>
      </c>
      <c r="E408" s="2" t="inlineStr">
        <is>
          <t>4549131714517</t>
        </is>
      </c>
      <c r="F408" s="2" t="n">
        <v>8</v>
      </c>
      <c r="G408" s="2" t="n">
        <v>24.5</v>
      </c>
      <c r="H408" s="2" t="n">
        <v>5.5</v>
      </c>
      <c r="I408" s="2" t="n"/>
      <c r="J408" s="2" t="n"/>
      <c r="K408" s="2" t="n"/>
      <c r="L408" s="2" t="inlineStr">
        <is>
          <t>PS</t>
        </is>
      </c>
      <c r="M408" s="2" t="inlineStr">
        <is>
          <t>透明</t>
        </is>
      </c>
      <c r="N408" s="2" t="inlineStr"/>
      <c r="O408" s="2" t="inlineStr">
        <is>
          <t>N</t>
        </is>
      </c>
      <c r="P408" s="2" t="n">
        <v>49</v>
      </c>
      <c r="Q408" s="2" t="inlineStr">
        <is>
          <t>2026-10-26</t>
        </is>
      </c>
      <c r="R408" s="3" t="inlineStr">
        <is>
          <t>https://shop.daiso.com.tw/products/4549131714517</t>
        </is>
      </c>
      <c r="S408" s="2" t="inlineStr">
        <is>
          <t>官網</t>
        </is>
      </c>
      <c r="T408" s="2" t="inlineStr">
        <is>
          <t>high</t>
        </is>
      </c>
      <c r="U408" s="2" t="inlineStr">
        <is>
          <t>PS透明長型盒；規格表約8×24.5×5.5，商品名稱寫8×24；官方規格原文：約8x24.5x5.5cm</t>
        </is>
      </c>
      <c r="V408" s="2" t="inlineStr"/>
    </row>
    <row r="409">
      <c r="A409" s="2" t="inlineStr">
        <is>
          <t>DAISO-037</t>
        </is>
      </c>
      <c r="B409" s="2" t="inlineStr">
        <is>
          <t>DAISO</t>
        </is>
      </c>
      <c r="C409" s="2" t="inlineStr">
        <is>
          <t>Standard Products</t>
        </is>
      </c>
      <c r="D409" s="2" t="inlineStr">
        <is>
          <t>SP PP收納盒/灰 8x4x8cm</t>
        </is>
      </c>
      <c r="E409" s="2" t="inlineStr">
        <is>
          <t>4549131980998</t>
        </is>
      </c>
      <c r="F409" s="2" t="n">
        <v>8</v>
      </c>
      <c r="G409" s="2" t="n">
        <v>8</v>
      </c>
      <c r="H409" s="2" t="n">
        <v>4</v>
      </c>
      <c r="I409" s="2" t="n"/>
      <c r="J409" s="2" t="n"/>
      <c r="K409" s="2" t="n"/>
      <c r="L409" s="2" t="inlineStr">
        <is>
          <t>PP</t>
        </is>
      </c>
      <c r="M409" s="2" t="inlineStr">
        <is>
          <t>灰</t>
        </is>
      </c>
      <c r="N409" s="2" t="inlineStr"/>
      <c r="O409" s="2" t="inlineStr">
        <is>
          <t>N</t>
        </is>
      </c>
      <c r="P409" s="2" t="n">
        <v>49</v>
      </c>
      <c r="Q409" s="2" t="inlineStr">
        <is>
          <t>2026-10-26</t>
        </is>
      </c>
      <c r="R409" s="3" t="inlineStr">
        <is>
          <t>https://shop.daiso.com.tw/products/4549131980998</t>
        </is>
      </c>
      <c r="S409" s="2" t="inlineStr">
        <is>
          <t>官網</t>
        </is>
      </c>
      <c r="T409" s="2" t="inlineStr">
        <is>
          <t>medium</t>
        </is>
      </c>
      <c r="U409" s="2" t="inlineStr">
        <is>
          <t>SP PP收納盒；官方規格未標示長寬高順序，依商品圖判讀高度；官方規格原文：8cm×4cm×8cm</t>
        </is>
      </c>
      <c r="V409" s="2" t="inlineStr"/>
    </row>
    <row r="410">
      <c r="A410" s="2" t="inlineStr">
        <is>
          <t>DAISO-038</t>
        </is>
      </c>
      <c r="B410" s="2" t="inlineStr">
        <is>
          <t>DAISO</t>
        </is>
      </c>
      <c r="C410" s="2" t="inlineStr">
        <is>
          <t>Standard Products</t>
        </is>
      </c>
      <c r="D410" s="2" t="inlineStr">
        <is>
          <t>SP R30附蓋收納盒/冷灰 26x18x16cm</t>
        </is>
      </c>
      <c r="E410" s="2" t="inlineStr">
        <is>
          <t>4550480596518</t>
        </is>
      </c>
      <c r="F410" s="2" t="n">
        <v>26</v>
      </c>
      <c r="G410" s="2" t="n">
        <v>18</v>
      </c>
      <c r="H410" s="2" t="n">
        <v>16</v>
      </c>
      <c r="I410" s="2" t="n"/>
      <c r="J410" s="2" t="n"/>
      <c r="K410" s="2" t="n"/>
      <c r="L410" s="2" t="inlineStr"/>
      <c r="M410" s="2" t="inlineStr">
        <is>
          <t>冷灰</t>
        </is>
      </c>
      <c r="N410" s="2" t="inlineStr"/>
      <c r="O410" s="2" t="inlineStr">
        <is>
          <t>Y</t>
        </is>
      </c>
      <c r="P410" s="2" t="n">
        <v>69</v>
      </c>
      <c r="Q410" s="2" t="inlineStr">
        <is>
          <t>2026-10-26</t>
        </is>
      </c>
      <c r="R410" s="3" t="inlineStr">
        <is>
          <t>https://shop.daiso.com.tw/products/4550480596518</t>
        </is>
      </c>
      <c r="S410" s="2" t="inlineStr">
        <is>
          <t>官網</t>
        </is>
      </c>
      <c r="T410" s="2" t="inlineStr">
        <is>
          <t>high</t>
        </is>
      </c>
      <c r="U410" s="2" t="inlineStr">
        <is>
          <t>SP R30附蓋收納盒；官方規格原文：26cm×18cm×16cm</t>
        </is>
      </c>
      <c r="V410" s="2" t="inlineStr"/>
    </row>
    <row r="411">
      <c r="A411" s="2" t="inlineStr">
        <is>
          <t>DAISO-039</t>
        </is>
      </c>
      <c r="B411" s="2" t="inlineStr">
        <is>
          <t>DAISO</t>
        </is>
      </c>
      <c r="C411" s="2" t="inlineStr">
        <is>
          <t>Standard Products</t>
        </is>
      </c>
      <c r="D411" s="2" t="inlineStr">
        <is>
          <t>SP R30附蓋收納盒/橘 17.5×12.5×8.5cm 2入</t>
        </is>
      </c>
      <c r="E411" s="2" t="inlineStr">
        <is>
          <t>4550480596600</t>
        </is>
      </c>
      <c r="F411" s="2" t="n">
        <v>17.5</v>
      </c>
      <c r="G411" s="2" t="n">
        <v>12.5</v>
      </c>
      <c r="H411" s="2" t="n">
        <v>8.5</v>
      </c>
      <c r="I411" s="2" t="n"/>
      <c r="J411" s="2" t="n"/>
      <c r="K411" s="2" t="n"/>
      <c r="L411" s="2" t="inlineStr"/>
      <c r="M411" s="2" t="inlineStr">
        <is>
          <t>橘</t>
        </is>
      </c>
      <c r="N411" s="2" t="inlineStr"/>
      <c r="O411" s="2" t="inlineStr">
        <is>
          <t>Y</t>
        </is>
      </c>
      <c r="P411" s="2" t="n"/>
      <c r="Q411" s="2" t="inlineStr">
        <is>
          <t>2026-10-26</t>
        </is>
      </c>
      <c r="R411" s="3" t="inlineStr">
        <is>
          <t>https://shop.daiso.com.tw/products/4550480596600</t>
        </is>
      </c>
      <c r="S411" s="2" t="inlineStr">
        <is>
          <t>官網</t>
        </is>
      </c>
      <c r="T411" s="2" t="inlineStr">
        <is>
          <t>high</t>
        </is>
      </c>
      <c r="U411" s="2" t="inlineStr">
        <is>
          <t>SET:4550480596600|69|2|2;SP R30附蓋收納盒 2入；官方規格原文：約17.5cm×12.5cm×8.5cm</t>
        </is>
      </c>
      <c r="V411" s="2" t="inlineStr">
        <is>
          <t>整組 NT$69，此尺寸 2 件／共 2 件</t>
        </is>
      </c>
    </row>
    <row r="412">
      <c r="A412" s="2" t="inlineStr">
        <is>
          <t>DAISO-040</t>
        </is>
      </c>
      <c r="B412" s="2" t="inlineStr">
        <is>
          <t>DAISO</t>
        </is>
      </c>
      <c r="C412" s="2" t="inlineStr">
        <is>
          <t>Standard Products</t>
        </is>
      </c>
      <c r="D412" s="2" t="inlineStr">
        <is>
          <t>SP 分格收納盒/灰 35.8x8x23.7cm</t>
        </is>
      </c>
      <c r="E412" s="2" t="inlineStr">
        <is>
          <t>4550480204840/4550480204864/4550480204857/4550480204871</t>
        </is>
      </c>
      <c r="F412" s="2" t="n">
        <v>35.8</v>
      </c>
      <c r="G412" s="2" t="n">
        <v>23.7</v>
      </c>
      <c r="H412" s="2" t="n">
        <v>8</v>
      </c>
      <c r="I412" s="2" t="n"/>
      <c r="J412" s="2" t="n"/>
      <c r="K412" s="2" t="n"/>
      <c r="L412" s="2" t="inlineStr"/>
      <c r="M412" s="2" t="inlineStr">
        <is>
          <t>灰/米</t>
        </is>
      </c>
      <c r="N412" s="2" t="inlineStr">
        <is>
          <t>Y</t>
        </is>
      </c>
      <c r="O412" s="2" t="inlineStr">
        <is>
          <t>Y</t>
        </is>
      </c>
      <c r="P412" s="2" t="n">
        <v>139</v>
      </c>
      <c r="Q412" s="2" t="inlineStr">
        <is>
          <t>2026-10-26</t>
        </is>
      </c>
      <c r="R412" s="3" t="inlineStr">
        <is>
          <t>https://shop.daiso.com.tw/products/4550480204840</t>
        </is>
      </c>
      <c r="S412" s="2" t="inlineStr">
        <is>
          <t>官網</t>
        </is>
      </c>
      <c r="T412" s="2" t="inlineStr">
        <is>
          <t>high</t>
        </is>
      </c>
      <c r="U412" s="2" t="inlineStr">
        <is>
          <t>SP 分格收納盒（襪子、貼身衣物）；官方：另附有蓋子防塵且可堆疊；官方規格寫法為寬×高×深，依商品圖判讀高度；灰、米各有兩個編號同尺寸同價；官方規格原文：35.8cm×8cm×23.7cm</t>
        </is>
      </c>
      <c r="V412" s="2" t="inlineStr"/>
    </row>
    <row r="413">
      <c r="A413" s="2" t="inlineStr">
        <is>
          <t>DAISO-041</t>
        </is>
      </c>
      <c r="B413" s="2" t="inlineStr">
        <is>
          <t>DAISO</t>
        </is>
      </c>
      <c r="C413" s="2" t="inlineStr">
        <is>
          <t>Standard Products</t>
        </is>
      </c>
      <c r="D413" s="2" t="inlineStr">
        <is>
          <t>SP 手提分隔小物收納盒/15×13.5×11cm</t>
        </is>
      </c>
      <c r="E413" s="2" t="inlineStr">
        <is>
          <t>4550480589558</t>
        </is>
      </c>
      <c r="F413" s="2" t="n">
        <v>15</v>
      </c>
      <c r="G413" s="2" t="n">
        <v>11</v>
      </c>
      <c r="H413" s="2" t="n">
        <v>13.5</v>
      </c>
      <c r="I413" s="2" t="n"/>
      <c r="J413" s="2" t="n"/>
      <c r="K413" s="2" t="n"/>
      <c r="L413" s="2" t="inlineStr"/>
      <c r="M413" s="2" t="inlineStr">
        <is>
          <t>白</t>
        </is>
      </c>
      <c r="N413" s="2" t="inlineStr"/>
      <c r="O413" s="2" t="inlineStr">
        <is>
          <t>N</t>
        </is>
      </c>
      <c r="P413" s="2" t="n">
        <v>69</v>
      </c>
      <c r="Q413" s="2" t="inlineStr">
        <is>
          <t>2026-10-26</t>
        </is>
      </c>
      <c r="R413" s="3" t="inlineStr">
        <is>
          <t>https://shop.daiso.com.tw/products/4550480589558</t>
        </is>
      </c>
      <c r="S413" s="2" t="inlineStr">
        <is>
          <t>官網</t>
        </is>
      </c>
      <c r="T413" s="2" t="inlineStr">
        <is>
          <t>medium</t>
        </is>
      </c>
      <c r="U413" s="2" t="inlineStr">
        <is>
          <t>SP 手提分隔小物收納盒；官方規格未標示長寬高順序，依商品圖判讀高度（高度可能含提把）；官方規格原文：約15cm×13.5cm×11cm</t>
        </is>
      </c>
      <c r="V413" s="2" t="inlineStr"/>
    </row>
    <row r="414">
      <c r="A414" s="2" t="inlineStr">
        <is>
          <t>DAISO-042</t>
        </is>
      </c>
      <c r="B414" s="2" t="inlineStr">
        <is>
          <t>DAISO</t>
        </is>
      </c>
      <c r="C414" s="2" t="inlineStr">
        <is>
          <t>Standard Products</t>
        </is>
      </c>
      <c r="D414" s="2" t="inlineStr">
        <is>
          <t>SP 收納盤/卡其 21×21cm</t>
        </is>
      </c>
      <c r="E414" s="2" t="inlineStr">
        <is>
          <t>4550480423432/4550480423449</t>
        </is>
      </c>
      <c r="F414" s="2" t="n">
        <v>21</v>
      </c>
      <c r="G414" s="2" t="n">
        <v>21</v>
      </c>
      <c r="H414" s="2" t="n">
        <v>5</v>
      </c>
      <c r="I414" s="2" t="n"/>
      <c r="J414" s="2" t="n"/>
      <c r="K414" s="2" t="n"/>
      <c r="L414" s="2" t="inlineStr"/>
      <c r="M414" s="2" t="inlineStr">
        <is>
          <t>卡其/灰</t>
        </is>
      </c>
      <c r="N414" s="2" t="inlineStr"/>
      <c r="O414" s="2" t="inlineStr">
        <is>
          <t>N</t>
        </is>
      </c>
      <c r="P414" s="2" t="n">
        <v>69</v>
      </c>
      <c r="Q414" s="2" t="inlineStr">
        <is>
          <t>2026-10-26</t>
        </is>
      </c>
      <c r="R414" s="3" t="inlineStr">
        <is>
          <t>https://shop.daiso.com.tw/products/4550480423432</t>
        </is>
      </c>
      <c r="S414" s="2" t="inlineStr">
        <is>
          <t>官網</t>
        </is>
      </c>
      <c r="T414" s="2" t="inlineStr">
        <is>
          <t>high</t>
        </is>
      </c>
      <c r="U414" s="2" t="inlineStr">
        <is>
          <t>SP 收納盤（皮革風，四角扣合）；官方規格原文：21cm×21cm×5cm</t>
        </is>
      </c>
      <c r="V414" s="2" t="inlineStr"/>
    </row>
    <row r="415">
      <c r="A415" s="2" t="inlineStr">
        <is>
          <t>DAISO-043</t>
        </is>
      </c>
      <c r="B415" s="2" t="inlineStr">
        <is>
          <t>DAISO</t>
        </is>
      </c>
      <c r="C415" s="2" t="inlineStr">
        <is>
          <t>Standard Products</t>
        </is>
      </c>
      <c r="D415" s="2" t="inlineStr">
        <is>
          <t>SP 收納盤/米 17.5×17.5×4.5cm</t>
        </is>
      </c>
      <c r="E415" s="2" t="inlineStr">
        <is>
          <t>4550480423425</t>
        </is>
      </c>
      <c r="F415" s="2" t="n">
        <v>17.5</v>
      </c>
      <c r="G415" s="2" t="n">
        <v>17.5</v>
      </c>
      <c r="H415" s="2" t="n">
        <v>4.5</v>
      </c>
      <c r="I415" s="2" t="n"/>
      <c r="J415" s="2" t="n"/>
      <c r="K415" s="2" t="n"/>
      <c r="L415" s="2" t="inlineStr"/>
      <c r="M415" s="2" t="inlineStr">
        <is>
          <t>米</t>
        </is>
      </c>
      <c r="N415" s="2" t="inlineStr"/>
      <c r="O415" s="2" t="inlineStr">
        <is>
          <t>N</t>
        </is>
      </c>
      <c r="P415" s="2" t="n">
        <v>69</v>
      </c>
      <c r="Q415" s="2" t="inlineStr">
        <is>
          <t>2026-10-26</t>
        </is>
      </c>
      <c r="R415" s="3" t="inlineStr">
        <is>
          <t>https://shop.daiso.com.tw/products/4550480423425</t>
        </is>
      </c>
      <c r="S415" s="2" t="inlineStr">
        <is>
          <t>官網</t>
        </is>
      </c>
      <c r="T415" s="2" t="inlineStr">
        <is>
          <t>high</t>
        </is>
      </c>
      <c r="U415" s="2" t="inlineStr">
        <is>
          <t>SP 收納盤（皮革風，四角扣合）；官方規格原文：17.5cm×17.5cm×4.5cm</t>
        </is>
      </c>
      <c r="V415" s="2" t="inlineStr"/>
    </row>
    <row r="416">
      <c r="A416" s="2" t="inlineStr">
        <is>
          <t>DAISO-044</t>
        </is>
      </c>
      <c r="B416" s="2" t="inlineStr">
        <is>
          <t>DAISO</t>
        </is>
      </c>
      <c r="C416" s="2" t="inlineStr">
        <is>
          <t>Standard Products</t>
        </is>
      </c>
      <c r="D416" s="2" t="inlineStr">
        <is>
          <t>SP 收納籃/灰 19×14×12cm</t>
        </is>
      </c>
      <c r="E416" s="2" t="inlineStr">
        <is>
          <t>4550480423463</t>
        </is>
      </c>
      <c r="F416" s="2" t="n">
        <v>19</v>
      </c>
      <c r="G416" s="2" t="n">
        <v>14</v>
      </c>
      <c r="H416" s="2" t="n">
        <v>12</v>
      </c>
      <c r="I416" s="2" t="n"/>
      <c r="J416" s="2" t="n"/>
      <c r="K416" s="2" t="n"/>
      <c r="L416" s="2" t="inlineStr"/>
      <c r="M416" s="2" t="inlineStr">
        <is>
          <t>灰</t>
        </is>
      </c>
      <c r="N416" s="2" t="inlineStr"/>
      <c r="O416" s="2" t="inlineStr">
        <is>
          <t>N</t>
        </is>
      </c>
      <c r="P416" s="2" t="n">
        <v>69</v>
      </c>
      <c r="Q416" s="2" t="inlineStr">
        <is>
          <t>2026-10-26</t>
        </is>
      </c>
      <c r="R416" s="3" t="inlineStr">
        <is>
          <t>https://shop.daiso.com.tw/products/4550480423463</t>
        </is>
      </c>
      <c r="S416" s="2" t="inlineStr">
        <is>
          <t>官網</t>
        </is>
      </c>
      <c r="T416" s="2" t="inlineStr">
        <is>
          <t>medium</t>
        </is>
      </c>
      <c r="U416" s="2" t="inlineStr">
        <is>
          <t>SP 收納籃（皮革風軟質）；官方規格未標示長寬高順序；官方規格原文：19cm×14cm×12cm</t>
        </is>
      </c>
      <c r="V416" s="2" t="inlineStr"/>
    </row>
    <row r="417">
      <c r="A417" s="2" t="inlineStr">
        <is>
          <t>DAISO-045</t>
        </is>
      </c>
      <c r="B417" s="2" t="inlineStr">
        <is>
          <t>DAISO</t>
        </is>
      </c>
      <c r="C417" s="2" t="inlineStr">
        <is>
          <t>Standard Products</t>
        </is>
      </c>
      <c r="D417" s="2" t="inlineStr">
        <is>
          <t>SP 收納籃/19×12×26cm</t>
        </is>
      </c>
      <c r="E417" s="2" t="inlineStr">
        <is>
          <t>4550480135816</t>
        </is>
      </c>
      <c r="F417" s="2" t="n">
        <v>26</v>
      </c>
      <c r="G417" s="2" t="n">
        <v>19</v>
      </c>
      <c r="H417" s="2" t="n">
        <v>12</v>
      </c>
      <c r="I417" s="2" t="n"/>
      <c r="J417" s="2" t="n"/>
      <c r="K417" s="2" t="n"/>
      <c r="L417" s="2" t="inlineStr"/>
      <c r="M417" s="2" t="inlineStr"/>
      <c r="N417" s="2" t="inlineStr"/>
      <c r="O417" s="2" t="inlineStr">
        <is>
          <t>N</t>
        </is>
      </c>
      <c r="P417" s="2" t="n">
        <v>99</v>
      </c>
      <c r="Q417" s="2" t="inlineStr">
        <is>
          <t>2026-10-26</t>
        </is>
      </c>
      <c r="R417" s="3" t="inlineStr">
        <is>
          <t>https://shop.daiso.com.tw/products/4550480135816</t>
        </is>
      </c>
      <c r="S417" s="2" t="inlineStr">
        <is>
          <t>官網</t>
        </is>
      </c>
      <c r="T417" s="2" t="inlineStr">
        <is>
          <t>medium</t>
        </is>
      </c>
      <c r="U417" s="2" t="inlineStr">
        <is>
          <t>SP 木片編織收納籃；官方寫19×12×26，依商品圖判讀高度（高12）；官方規格原文：19×12×26cm</t>
        </is>
      </c>
      <c r="V417" s="2" t="inlineStr"/>
    </row>
    <row r="418">
      <c r="A418" s="2" t="inlineStr">
        <is>
          <t>DAISO-046</t>
        </is>
      </c>
      <c r="B418" s="2" t="inlineStr">
        <is>
          <t>DAISO</t>
        </is>
      </c>
      <c r="C418" s="2" t="inlineStr">
        <is>
          <t>Standard Products</t>
        </is>
      </c>
      <c r="D418" s="2" t="inlineStr">
        <is>
          <t>SP 收納籃/26×12×38cm</t>
        </is>
      </c>
      <c r="E418" s="2" t="inlineStr">
        <is>
          <t>4550480135946</t>
        </is>
      </c>
      <c r="F418" s="2" t="n">
        <v>38</v>
      </c>
      <c r="G418" s="2" t="n">
        <v>26</v>
      </c>
      <c r="H418" s="2" t="n">
        <v>12</v>
      </c>
      <c r="I418" s="2" t="n"/>
      <c r="J418" s="2" t="n"/>
      <c r="K418" s="2" t="n"/>
      <c r="L418" s="2" t="inlineStr"/>
      <c r="M418" s="2" t="inlineStr"/>
      <c r="N418" s="2" t="inlineStr"/>
      <c r="O418" s="2" t="inlineStr">
        <is>
          <t>N</t>
        </is>
      </c>
      <c r="P418" s="2" t="n">
        <v>139</v>
      </c>
      <c r="Q418" s="2" t="inlineStr">
        <is>
          <t>2026-10-26</t>
        </is>
      </c>
      <c r="R418" s="3" t="inlineStr">
        <is>
          <t>https://shop.daiso.com.tw/products/4550480135946</t>
        </is>
      </c>
      <c r="S418" s="2" t="inlineStr">
        <is>
          <t>官網</t>
        </is>
      </c>
      <c r="T418" s="2" t="inlineStr">
        <is>
          <t>medium</t>
        </is>
      </c>
      <c r="U418" s="2" t="inlineStr">
        <is>
          <t>SP 木片編織收納籃；官方寫26×12×38，依商品圖判讀高度（高12）；官方規格原文：26×12×38cm</t>
        </is>
      </c>
      <c r="V418" s="2" t="inlineStr"/>
    </row>
    <row r="419">
      <c r="A419" s="2" t="inlineStr">
        <is>
          <t>DAISO-047</t>
        </is>
      </c>
      <c r="B419" s="2" t="inlineStr">
        <is>
          <t>DAISO</t>
        </is>
      </c>
      <c r="C419" s="2" t="inlineStr">
        <is>
          <t>Standard Products</t>
        </is>
      </c>
      <c r="D419" s="2" t="inlineStr">
        <is>
          <t>SP 竹蓋小物收納盒/16.4x6x8.2cm</t>
        </is>
      </c>
      <c r="E419" s="2" t="inlineStr">
        <is>
          <t>4550480539188</t>
        </is>
      </c>
      <c r="F419" s="2" t="n">
        <v>16.4</v>
      </c>
      <c r="G419" s="2" t="n">
        <v>8.199999999999999</v>
      </c>
      <c r="H419" s="2" t="n">
        <v>6</v>
      </c>
      <c r="I419" s="2" t="n"/>
      <c r="J419" s="2" t="n"/>
      <c r="K419" s="2" t="n"/>
      <c r="L419" s="2" t="inlineStr">
        <is>
          <t>蓋：竹</t>
        </is>
      </c>
      <c r="M419" s="2" t="inlineStr">
        <is>
          <t>透明</t>
        </is>
      </c>
      <c r="N419" s="2" t="inlineStr"/>
      <c r="O419" s="2" t="inlineStr">
        <is>
          <t>Y</t>
        </is>
      </c>
      <c r="P419" s="2" t="n">
        <v>69</v>
      </c>
      <c r="Q419" s="2" t="inlineStr">
        <is>
          <t>2026-10-26</t>
        </is>
      </c>
      <c r="R419" s="3" t="inlineStr">
        <is>
          <t>https://shop.daiso.com.tw/products/4550480539188</t>
        </is>
      </c>
      <c r="S419" s="2" t="inlineStr">
        <is>
          <t>官網</t>
        </is>
      </c>
      <c r="T419" s="2" t="inlineStr">
        <is>
          <t>medium</t>
        </is>
      </c>
      <c r="U419" s="2" t="inlineStr">
        <is>
          <t>SP 竹蓋小物收納盒；官方規格未標示長寬高順序，依商品圖判讀高度；官方規格原文：16.4cm×6cm×8.2cm</t>
        </is>
      </c>
      <c r="V419" s="2" t="inlineStr"/>
    </row>
    <row r="420">
      <c r="A420" s="2" t="inlineStr">
        <is>
          <t>DAISO-048</t>
        </is>
      </c>
      <c r="B420" s="2" t="inlineStr">
        <is>
          <t>DAISO</t>
        </is>
      </c>
      <c r="C420" s="2" t="inlineStr">
        <is>
          <t>Standard Products</t>
        </is>
      </c>
      <c r="D420" s="2" t="inlineStr">
        <is>
          <t>SP 竹蓋小物收納盒/24.6x6x8.2cm</t>
        </is>
      </c>
      <c r="E420" s="2" t="inlineStr">
        <is>
          <t>4550480539164</t>
        </is>
      </c>
      <c r="F420" s="2" t="n">
        <v>24.6</v>
      </c>
      <c r="G420" s="2" t="n">
        <v>8.199999999999999</v>
      </c>
      <c r="H420" s="2" t="n">
        <v>6</v>
      </c>
      <c r="I420" s="2" t="n"/>
      <c r="J420" s="2" t="n"/>
      <c r="K420" s="2" t="n"/>
      <c r="L420" s="2" t="inlineStr">
        <is>
          <t>蓋：竹</t>
        </is>
      </c>
      <c r="M420" s="2" t="inlineStr">
        <is>
          <t>透明</t>
        </is>
      </c>
      <c r="N420" s="2" t="inlineStr"/>
      <c r="O420" s="2" t="inlineStr">
        <is>
          <t>Y</t>
        </is>
      </c>
      <c r="P420" s="2" t="n">
        <v>99</v>
      </c>
      <c r="Q420" s="2" t="inlineStr">
        <is>
          <t>2026-10-26</t>
        </is>
      </c>
      <c r="R420" s="3" t="inlineStr">
        <is>
          <t>https://shop.daiso.com.tw/products/4550480539164</t>
        </is>
      </c>
      <c r="S420" s="2" t="inlineStr">
        <is>
          <t>官網</t>
        </is>
      </c>
      <c r="T420" s="2" t="inlineStr">
        <is>
          <t>medium</t>
        </is>
      </c>
      <c r="U420" s="2" t="inlineStr">
        <is>
          <t>SP 竹蓋小物收納盒；官方規格未標示長寬高順序，依商品圖判讀高度；官方規格原文：24.6cm×6cm×8.2cm</t>
        </is>
      </c>
      <c r="V420" s="2" t="inlineStr"/>
    </row>
    <row r="421">
      <c r="A421" s="2" t="inlineStr">
        <is>
          <t>DAISO-049</t>
        </is>
      </c>
      <c r="B421" s="2" t="inlineStr">
        <is>
          <t>DAISO</t>
        </is>
      </c>
      <c r="C421" s="2" t="inlineStr">
        <is>
          <t>Standard Products</t>
        </is>
      </c>
      <c r="D421" s="2" t="inlineStr">
        <is>
          <t>SP 編織收納籃/28×5×10cm</t>
        </is>
      </c>
      <c r="E421" s="2" t="inlineStr">
        <is>
          <t>4550480616827</t>
        </is>
      </c>
      <c r="F421" s="2" t="n">
        <v>28</v>
      </c>
      <c r="G421" s="2" t="n">
        <v>10</v>
      </c>
      <c r="H421" s="2" t="n">
        <v>5</v>
      </c>
      <c r="I421" s="2" t="n"/>
      <c r="J421" s="2" t="n"/>
      <c r="K421" s="2" t="n"/>
      <c r="L421" s="2" t="inlineStr"/>
      <c r="M421" s="2" t="inlineStr"/>
      <c r="N421" s="2" t="inlineStr"/>
      <c r="O421" s="2" t="inlineStr">
        <is>
          <t>N</t>
        </is>
      </c>
      <c r="P421" s="2" t="n">
        <v>99</v>
      </c>
      <c r="Q421" s="2" t="inlineStr">
        <is>
          <t>2026-10-26</t>
        </is>
      </c>
      <c r="R421" s="3" t="inlineStr">
        <is>
          <t>https://shop.daiso.com.tw/products/4550480616827</t>
        </is>
      </c>
      <c r="S421" s="2" t="inlineStr">
        <is>
          <t>官網</t>
        </is>
      </c>
      <c r="T421" s="2" t="inlineStr">
        <is>
          <t>medium</t>
        </is>
      </c>
      <c r="U421" s="2" t="inlineStr">
        <is>
          <t>SP 編織收納籃（長型淺籃）；官方規格未標示長寬高順序，依商品圖判讀高度；官方規格原文：28cm×5cm×10cm</t>
        </is>
      </c>
      <c r="V421" s="2" t="inlineStr"/>
    </row>
    <row r="422">
      <c r="A422" s="2" t="inlineStr">
        <is>
          <t>DAISO-050</t>
        </is>
      </c>
      <c r="B422" s="2" t="inlineStr">
        <is>
          <t>DAISO</t>
        </is>
      </c>
      <c r="C422" s="2" t="inlineStr">
        <is>
          <t>Standard Products</t>
        </is>
      </c>
      <c r="D422" s="2" t="inlineStr">
        <is>
          <t>SP 繩編收納籃/灰 10x4.5x26cm</t>
        </is>
      </c>
      <c r="E422" s="2" t="inlineStr">
        <is>
          <t>4550480247854</t>
        </is>
      </c>
      <c r="F422" s="2" t="n">
        <v>26</v>
      </c>
      <c r="G422" s="2" t="n">
        <v>10</v>
      </c>
      <c r="H422" s="2" t="n">
        <v>4.5</v>
      </c>
      <c r="I422" s="2" t="n"/>
      <c r="J422" s="2" t="n"/>
      <c r="K422" s="2" t="n"/>
      <c r="L422" s="2" t="inlineStr"/>
      <c r="M422" s="2" t="inlineStr">
        <is>
          <t>灰</t>
        </is>
      </c>
      <c r="N422" s="2" t="inlineStr"/>
      <c r="O422" s="2" t="inlineStr">
        <is>
          <t>N</t>
        </is>
      </c>
      <c r="P422" s="2" t="n">
        <v>99</v>
      </c>
      <c r="Q422" s="2" t="inlineStr">
        <is>
          <t>2026-10-26</t>
        </is>
      </c>
      <c r="R422" s="3" t="inlineStr">
        <is>
          <t>https://shop.daiso.com.tw/products/4550480247854</t>
        </is>
      </c>
      <c r="S422" s="2" t="inlineStr">
        <is>
          <t>官網</t>
        </is>
      </c>
      <c r="T422" s="2" t="inlineStr">
        <is>
          <t>medium</t>
        </is>
      </c>
      <c r="U422" s="2" t="inlineStr">
        <is>
          <t>SP 繩編收納籃（圓角長橢圓形淺籃）；官方規格未標示長寬高順序，依商品圖判讀高度；官方規格原文：10cm×4.5cm×26cm</t>
        </is>
      </c>
      <c r="V422" s="2" t="inlineStr"/>
    </row>
    <row r="423">
      <c r="A423" s="2" t="inlineStr">
        <is>
          <t>DAISO-051</t>
        </is>
      </c>
      <c r="B423" s="2" t="inlineStr">
        <is>
          <t>DAISO</t>
        </is>
      </c>
      <c r="C423" s="2" t="inlineStr">
        <is>
          <t>Standard Products</t>
        </is>
      </c>
      <c r="D423" s="2" t="inlineStr">
        <is>
          <t>SP 透明小物收納盒/六格抽屜 23.5x14.5x19.8cm</t>
        </is>
      </c>
      <c r="E423" s="2" t="inlineStr">
        <is>
          <t>4549131983609</t>
        </is>
      </c>
      <c r="F423" s="2" t="n">
        <v>23.5</v>
      </c>
      <c r="G423" s="2" t="n">
        <v>14.5</v>
      </c>
      <c r="H423" s="2" t="n">
        <v>19.8</v>
      </c>
      <c r="I423" s="2" t="n"/>
      <c r="J423" s="2" t="n"/>
      <c r="K423" s="2" t="n"/>
      <c r="L423" s="2" t="inlineStr"/>
      <c r="M423" s="2" t="inlineStr">
        <is>
          <t>透明</t>
        </is>
      </c>
      <c r="N423" s="2" t="inlineStr"/>
      <c r="O423" s="2" t="inlineStr">
        <is>
          <t>N</t>
        </is>
      </c>
      <c r="P423" s="2" t="n">
        <v>299</v>
      </c>
      <c r="Q423" s="2" t="inlineStr">
        <is>
          <t>2026-10-26</t>
        </is>
      </c>
      <c r="R423" s="3" t="inlineStr">
        <is>
          <t>https://shop.daiso.com.tw/products/4549131983609</t>
        </is>
      </c>
      <c r="S423" s="2" t="inlineStr">
        <is>
          <t>官網</t>
        </is>
      </c>
      <c r="T423" s="2" t="inlineStr">
        <is>
          <t>high</t>
        </is>
      </c>
      <c r="U423" s="2" t="inlineStr">
        <is>
          <t>SP 透明小物收納盒（六格抽屜）；官方規格原文：23.5cm×14.5cm×19.8cm</t>
        </is>
      </c>
      <c r="V423" s="2" t="inlineStr"/>
    </row>
    <row r="424">
      <c r="A424" s="2" t="inlineStr">
        <is>
          <t>DAISO-052</t>
        </is>
      </c>
      <c r="B424" s="2" t="inlineStr">
        <is>
          <t>DAISO</t>
        </is>
      </c>
      <c r="C424" s="2" t="inlineStr">
        <is>
          <t>Standard Products</t>
        </is>
      </c>
      <c r="D424" s="2" t="inlineStr">
        <is>
          <t>SP 附蓋收納盒/17.5×8.5×13cm</t>
        </is>
      </c>
      <c r="E424" s="2" t="inlineStr">
        <is>
          <t>4550480453453</t>
        </is>
      </c>
      <c r="F424" s="2" t="n">
        <v>17.5</v>
      </c>
      <c r="G424" s="2" t="n">
        <v>13</v>
      </c>
      <c r="H424" s="2" t="n">
        <v>8.5</v>
      </c>
      <c r="I424" s="2" t="n"/>
      <c r="J424" s="2" t="n"/>
      <c r="K424" s="2" t="n"/>
      <c r="L424" s="2" t="inlineStr"/>
      <c r="M424" s="2" t="inlineStr">
        <is>
          <t>白</t>
        </is>
      </c>
      <c r="N424" s="2" t="inlineStr"/>
      <c r="O424" s="2" t="inlineStr">
        <is>
          <t>Y</t>
        </is>
      </c>
      <c r="P424" s="2" t="n">
        <v>69</v>
      </c>
      <c r="Q424" s="2" t="inlineStr">
        <is>
          <t>2026-10-26</t>
        </is>
      </c>
      <c r="R424" s="3" t="inlineStr">
        <is>
          <t>https://shop.daiso.com.tw/products/4550480453453</t>
        </is>
      </c>
      <c r="S424" s="2" t="inlineStr">
        <is>
          <t>官網</t>
        </is>
      </c>
      <c r="T424" s="2" t="inlineStr">
        <is>
          <t>medium</t>
        </is>
      </c>
      <c r="U424" s="2" t="inlineStr">
        <is>
          <t>SP 附蓋收納盒；官方寫17.5×8.5×13；同系列35×8.5×26款商品圖為扁平盒（高8.5），本款依同寫法判讀；耐溫約20~60℃（官方原文）；官方規格原文：17.5cm×8.5cm×13cm</t>
        </is>
      </c>
      <c r="V424" s="2" t="inlineStr"/>
    </row>
    <row r="425">
      <c r="A425" s="2" t="inlineStr">
        <is>
          <t>DAISO-053</t>
        </is>
      </c>
      <c r="B425" s="2" t="inlineStr">
        <is>
          <t>DAISO</t>
        </is>
      </c>
      <c r="C425" s="2" t="inlineStr">
        <is>
          <t>Standard Products</t>
        </is>
      </c>
      <c r="D425" s="2" t="inlineStr">
        <is>
          <t>SP 附蓋收納盒/35×8.5×26cm</t>
        </is>
      </c>
      <c r="E425" s="2" t="inlineStr">
        <is>
          <t>4550480381206</t>
        </is>
      </c>
      <c r="F425" s="2" t="n">
        <v>35</v>
      </c>
      <c r="G425" s="2" t="n">
        <v>26</v>
      </c>
      <c r="H425" s="2" t="n">
        <v>8.5</v>
      </c>
      <c r="I425" s="2" t="n"/>
      <c r="J425" s="2" t="n"/>
      <c r="K425" s="2" t="n"/>
      <c r="L425" s="2" t="inlineStr"/>
      <c r="M425" s="2" t="inlineStr">
        <is>
          <t>白</t>
        </is>
      </c>
      <c r="N425" s="2" t="inlineStr"/>
      <c r="O425" s="2" t="inlineStr">
        <is>
          <t>Y</t>
        </is>
      </c>
      <c r="P425" s="2" t="n">
        <v>139</v>
      </c>
      <c r="Q425" s="2" t="inlineStr">
        <is>
          <t>2026-10-26</t>
        </is>
      </c>
      <c r="R425" s="3" t="inlineStr">
        <is>
          <t>https://shop.daiso.com.tw/products/4550480381206</t>
        </is>
      </c>
      <c r="S425" s="2" t="inlineStr">
        <is>
          <t>官網</t>
        </is>
      </c>
      <c r="T425" s="2" t="inlineStr">
        <is>
          <t>high</t>
        </is>
      </c>
      <c r="U425" s="2" t="inlineStr">
        <is>
          <t>SP 附蓋收納盒；官方寫35×8.5×26，商品圖為扁平附蓋盒（高8.5）；官方規格原文：35cm×8.5cm×26cm</t>
        </is>
      </c>
      <c r="V425" s="2" t="inlineStr"/>
    </row>
    <row r="426">
      <c r="A426" s="2" t="inlineStr">
        <is>
          <t>DAISO-054</t>
        </is>
      </c>
      <c r="B426" s="2" t="inlineStr">
        <is>
          <t>DAISO</t>
        </is>
      </c>
      <c r="C426" s="2" t="inlineStr">
        <is>
          <t>Standard Products</t>
        </is>
      </c>
      <c r="D426" s="2" t="inlineStr">
        <is>
          <t>SP 附蓋收納箱/35x26x16cm</t>
        </is>
      </c>
      <c r="E426" s="2" t="inlineStr">
        <is>
          <t>4550480381190</t>
        </is>
      </c>
      <c r="F426" s="2" t="n">
        <v>35</v>
      </c>
      <c r="G426" s="2" t="n">
        <v>26</v>
      </c>
      <c r="H426" s="2" t="n">
        <v>16</v>
      </c>
      <c r="I426" s="2" t="n"/>
      <c r="J426" s="2" t="n"/>
      <c r="K426" s="2" t="n"/>
      <c r="L426" s="2" t="inlineStr"/>
      <c r="M426" s="2" t="inlineStr">
        <is>
          <t>白</t>
        </is>
      </c>
      <c r="N426" s="2" t="inlineStr"/>
      <c r="O426" s="2" t="inlineStr">
        <is>
          <t>Y</t>
        </is>
      </c>
      <c r="P426" s="2" t="n">
        <v>199</v>
      </c>
      <c r="Q426" s="2" t="inlineStr">
        <is>
          <t>2026-10-26</t>
        </is>
      </c>
      <c r="R426" s="3" t="inlineStr">
        <is>
          <t>https://shop.daiso.com.tw/products/4550480381190</t>
        </is>
      </c>
      <c r="S426" s="2" t="inlineStr">
        <is>
          <t>官網</t>
        </is>
      </c>
      <c r="T426" s="2" t="inlineStr">
        <is>
          <t>high</t>
        </is>
      </c>
      <c r="U426" s="2" t="inlineStr">
        <is>
          <t>SP 附蓋收納箱；耐溫-20~60℃；官方規格原文：35cm×26cm×16cm</t>
        </is>
      </c>
      <c r="V426" s="2" t="inlineStr"/>
    </row>
    <row r="427">
      <c r="A427" s="2" t="inlineStr">
        <is>
          <t>DAISO-055</t>
        </is>
      </c>
      <c r="B427" s="2" t="inlineStr">
        <is>
          <t>DAISO</t>
        </is>
      </c>
      <c r="C427" s="2" t="inlineStr">
        <is>
          <t>Standard Products</t>
        </is>
      </c>
      <c r="D427" s="2" t="inlineStr">
        <is>
          <t>SP 附蓋收納盒/灰 36.5×26×8cm</t>
        </is>
      </c>
      <c r="E427" s="2" t="inlineStr">
        <is>
          <t>4550480596525</t>
        </is>
      </c>
      <c r="F427" s="2" t="n">
        <v>36.5</v>
      </c>
      <c r="G427" s="2" t="n">
        <v>26</v>
      </c>
      <c r="H427" s="2" t="n">
        <v>8</v>
      </c>
      <c r="I427" s="2" t="n"/>
      <c r="J427" s="2" t="n"/>
      <c r="K427" s="2" t="n"/>
      <c r="L427" s="2" t="inlineStr"/>
      <c r="M427" s="2" t="inlineStr">
        <is>
          <t>灰</t>
        </is>
      </c>
      <c r="N427" s="2" t="inlineStr"/>
      <c r="O427" s="2" t="inlineStr">
        <is>
          <t>Y</t>
        </is>
      </c>
      <c r="P427" s="2" t="n">
        <v>69</v>
      </c>
      <c r="Q427" s="2" t="inlineStr">
        <is>
          <t>2026-10-26</t>
        </is>
      </c>
      <c r="R427" s="3" t="inlineStr">
        <is>
          <t>https://shop.daiso.com.tw/products/4550480596525</t>
        </is>
      </c>
      <c r="S427" s="2" t="inlineStr">
        <is>
          <t>官網</t>
        </is>
      </c>
      <c r="T427" s="2" t="inlineStr">
        <is>
          <t>high</t>
        </is>
      </c>
      <c r="U427" s="2" t="inlineStr">
        <is>
          <t>SP 附蓋收納盒；官方規格原文：36.5cm × 26cm × 8cm</t>
        </is>
      </c>
      <c r="V427" s="2" t="inlineStr"/>
    </row>
    <row r="428">
      <c r="A428" s="2" t="inlineStr">
        <is>
          <t>DAISO-056</t>
        </is>
      </c>
      <c r="B428" s="2" t="inlineStr">
        <is>
          <t>DAISO</t>
        </is>
      </c>
      <c r="C428" s="2" t="inlineStr">
        <is>
          <t>Standard Products</t>
        </is>
      </c>
      <c r="D428" s="2" t="inlineStr">
        <is>
          <t>SP 附蓋收納箱/灰色蓋子</t>
        </is>
      </c>
      <c r="E428" s="2" t="inlineStr">
        <is>
          <t>4549131976670</t>
        </is>
      </c>
      <c r="F428" s="2" t="n">
        <v>40</v>
      </c>
      <c r="G428" s="2" t="n">
        <v>26</v>
      </c>
      <c r="H428" s="2" t="n">
        <v>24.7</v>
      </c>
      <c r="I428" s="2" t="n"/>
      <c r="J428" s="2" t="n"/>
      <c r="K428" s="2" t="n"/>
      <c r="L428" s="2" t="inlineStr"/>
      <c r="M428" s="2" t="inlineStr">
        <is>
          <t>白（灰色蓋）</t>
        </is>
      </c>
      <c r="N428" s="2" t="inlineStr"/>
      <c r="O428" s="2" t="inlineStr">
        <is>
          <t>Y</t>
        </is>
      </c>
      <c r="P428" s="2" t="n">
        <v>139</v>
      </c>
      <c r="Q428" s="2" t="inlineStr">
        <is>
          <t>2026-10-26</t>
        </is>
      </c>
      <c r="R428" s="3" t="inlineStr">
        <is>
          <t>https://shop.daiso.com.tw/products/4549131976670</t>
        </is>
      </c>
      <c r="S428" s="2" t="inlineStr">
        <is>
          <t>官網</t>
        </is>
      </c>
      <c r="T428" s="2" t="inlineStr">
        <is>
          <t>high</t>
        </is>
      </c>
      <c r="U428" s="2" t="inlineStr">
        <is>
          <t>SP 附蓋收納箱；官方規格原文：40×26×24.7cm</t>
        </is>
      </c>
      <c r="V428" s="2" t="inlineStr"/>
    </row>
    <row r="429">
      <c r="A429" s="2" t="inlineStr">
        <is>
          <t>DAISO-057</t>
        </is>
      </c>
      <c r="B429" s="2" t="inlineStr">
        <is>
          <t>DAISO</t>
        </is>
      </c>
      <c r="C429" s="2" t="inlineStr">
        <is>
          <t>Sanada Seiko 自由組合小物收納盒</t>
        </is>
      </c>
      <c r="D429" s="2" t="inlineStr">
        <is>
          <t>Sanada Seiko自由組合小物收納盒/內盒A 2入</t>
        </is>
      </c>
      <c r="E429" s="2" t="inlineStr">
        <is>
          <t>4973430024303</t>
        </is>
      </c>
      <c r="F429" s="2" t="n">
        <v>6.6</v>
      </c>
      <c r="G429" s="2" t="n">
        <v>9.9</v>
      </c>
      <c r="H429" s="2" t="n">
        <v>1.8</v>
      </c>
      <c r="I429" s="2" t="n"/>
      <c r="J429" s="2" t="n"/>
      <c r="K429" s="2" t="n"/>
      <c r="L429" s="2" t="inlineStr"/>
      <c r="M429" s="2" t="inlineStr">
        <is>
          <t>透明</t>
        </is>
      </c>
      <c r="N429" s="2" t="inlineStr"/>
      <c r="O429" s="2" t="inlineStr">
        <is>
          <t>Y</t>
        </is>
      </c>
      <c r="P429" s="2" t="n"/>
      <c r="Q429" s="2" t="inlineStr">
        <is>
          <t>2026-10-26</t>
        </is>
      </c>
      <c r="R429" s="3" t="inlineStr">
        <is>
          <t>https://shop.daiso.com.tw/products/4973430024303</t>
        </is>
      </c>
      <c r="S429" s="2" t="inlineStr">
        <is>
          <t>官網</t>
        </is>
      </c>
      <c r="T429" s="2" t="inlineStr">
        <is>
          <t>medium</t>
        </is>
      </c>
      <c r="U429" s="2" t="inlineStr">
        <is>
          <t>SET:4973430024303|49|2|2;內盒A 2入；依同品牌規格寫法(寬×高×深)判讀；可放入同系列底座；官方規格原文：6.6cm×1.8cm×9.9cm</t>
        </is>
      </c>
      <c r="V429" s="2" t="inlineStr">
        <is>
          <t>整組 NT$49，此尺寸 2 件／共 2 件</t>
        </is>
      </c>
    </row>
    <row r="430">
      <c r="A430" s="2" t="inlineStr">
        <is>
          <t>DAISO-058</t>
        </is>
      </c>
      <c r="B430" s="2" t="inlineStr">
        <is>
          <t>DAISO</t>
        </is>
      </c>
      <c r="C430" s="2" t="inlineStr">
        <is>
          <t>Sanada Seiko 自由組合小物收納盒</t>
        </is>
      </c>
      <c r="D430" s="2" t="inlineStr">
        <is>
          <t>Sanada Seiko自由組合小物收納盒/內盒E 6入</t>
        </is>
      </c>
      <c r="E430" s="2" t="inlineStr">
        <is>
          <t>4973430024341</t>
        </is>
      </c>
      <c r="F430" s="2" t="n">
        <v>3.3</v>
      </c>
      <c r="G430" s="2" t="n">
        <v>3.3</v>
      </c>
      <c r="H430" s="2" t="n">
        <v>1.8</v>
      </c>
      <c r="I430" s="2" t="n"/>
      <c r="J430" s="2" t="n"/>
      <c r="K430" s="2" t="n"/>
      <c r="L430" s="2" t="inlineStr"/>
      <c r="M430" s="2" t="inlineStr">
        <is>
          <t>透明</t>
        </is>
      </c>
      <c r="N430" s="2" t="inlineStr"/>
      <c r="O430" s="2" t="inlineStr">
        <is>
          <t>Y</t>
        </is>
      </c>
      <c r="P430" s="2" t="n"/>
      <c r="Q430" s="2" t="inlineStr">
        <is>
          <t>2026-10-26</t>
        </is>
      </c>
      <c r="R430" s="3" t="inlineStr">
        <is>
          <t>https://shop.daiso.com.tw/products/4973430024341</t>
        </is>
      </c>
      <c r="S430" s="2" t="inlineStr">
        <is>
          <t>官網</t>
        </is>
      </c>
      <c r="T430" s="2" t="inlineStr">
        <is>
          <t>medium</t>
        </is>
      </c>
      <c r="U430" s="2" t="inlineStr">
        <is>
          <t>SET:4973430024341|49|6|6;內盒E 6入；依同品牌規格寫法(寬×高×深)判讀；可放入同系列底座；官方規格原文：3.3cm×1.8cm×3.3cm</t>
        </is>
      </c>
      <c r="V430" s="2" t="inlineStr">
        <is>
          <t>整組 NT$49，此尺寸 6 件／共 6 件</t>
        </is>
      </c>
    </row>
    <row r="431">
      <c r="A431" s="2" t="inlineStr">
        <is>
          <t>DAISO-059</t>
        </is>
      </c>
      <c r="B431" s="2" t="inlineStr">
        <is>
          <t>DAISO</t>
        </is>
      </c>
      <c r="C431" s="2" t="inlineStr">
        <is>
          <t>Sanada Seiko</t>
        </is>
      </c>
      <c r="D431" s="2" t="inlineStr">
        <is>
          <t>附蓋收納盒/S號 17.9x5.8x12.3cm</t>
        </is>
      </c>
      <c r="E431" s="2" t="inlineStr">
        <is>
          <t>4973430023924</t>
        </is>
      </c>
      <c r="F431" s="2" t="n">
        <v>17.9</v>
      </c>
      <c r="G431" s="2" t="n">
        <v>12.3</v>
      </c>
      <c r="H431" s="2" t="n">
        <v>5.8</v>
      </c>
      <c r="I431" s="2" t="n"/>
      <c r="J431" s="2" t="n"/>
      <c r="K431" s="2" t="n"/>
      <c r="L431" s="2" t="inlineStr"/>
      <c r="M431" s="2" t="inlineStr">
        <is>
          <t>白</t>
        </is>
      </c>
      <c r="N431" s="2" t="inlineStr"/>
      <c r="O431" s="2" t="inlineStr">
        <is>
          <t>Y</t>
        </is>
      </c>
      <c r="P431" s="2" t="n">
        <v>49</v>
      </c>
      <c r="Q431" s="2" t="inlineStr">
        <is>
          <t>2026-10-26</t>
        </is>
      </c>
      <c r="R431" s="3" t="inlineStr">
        <is>
          <t>https://shop.daiso.com.tw/products/4973430023924</t>
        </is>
      </c>
      <c r="S431" s="2" t="inlineStr">
        <is>
          <t>官網</t>
        </is>
      </c>
      <c r="T431" s="2" t="inlineStr">
        <is>
          <t>high</t>
        </is>
      </c>
      <c r="U431" s="2" t="inlineStr">
        <is>
          <t>附蓋收納盒 S號；容量850ml；耐溫-20~100℃；官方規格原文：-20℃~100℃</t>
        </is>
      </c>
      <c r="V431" s="2" t="inlineStr"/>
    </row>
    <row r="432">
      <c r="A432" s="2" t="inlineStr">
        <is>
          <t>DAISO-060</t>
        </is>
      </c>
      <c r="B432" s="2" t="inlineStr">
        <is>
          <t>DAISO</t>
        </is>
      </c>
      <c r="C432" s="2" t="inlineStr">
        <is>
          <t>Sanada Seiko</t>
        </is>
      </c>
      <c r="D432" s="2" t="inlineStr">
        <is>
          <t>附提把收納籃/白 18x13.6x25.2cm</t>
        </is>
      </c>
      <c r="E432" s="2" t="inlineStr">
        <is>
          <t>4973430023153/4973430023504</t>
        </is>
      </c>
      <c r="F432" s="2" t="n">
        <v>18</v>
      </c>
      <c r="G432" s="2" t="n">
        <v>25.2</v>
      </c>
      <c r="H432" s="2" t="n">
        <v>13.6</v>
      </c>
      <c r="I432" s="2" t="n"/>
      <c r="J432" s="2" t="n"/>
      <c r="K432" s="2" t="n"/>
      <c r="L432" s="2" t="inlineStr"/>
      <c r="M432" s="2" t="inlineStr">
        <is>
          <t>白/藍灰</t>
        </is>
      </c>
      <c r="N432" s="2" t="inlineStr"/>
      <c r="O432" s="2" t="inlineStr">
        <is>
          <t>N</t>
        </is>
      </c>
      <c r="P432" s="2" t="n">
        <v>49</v>
      </c>
      <c r="Q432" s="2" t="inlineStr">
        <is>
          <t>2026-10-26</t>
        </is>
      </c>
      <c r="R432" s="3" t="inlineStr">
        <is>
          <t>https://shop.daiso.com.tw/products/4973430023153</t>
        </is>
      </c>
      <c r="S432" s="2" t="inlineStr">
        <is>
          <t>官網</t>
        </is>
      </c>
      <c r="T432" s="2" t="inlineStr">
        <is>
          <t>medium</t>
        </is>
      </c>
      <c r="U432" s="2" t="inlineStr">
        <is>
          <t>附提把收納籃；耐溫-20~100℃；依同品牌規格寫法(寬×高×深)判讀；官方規格原文：18cm×13.6cm×25.2cm</t>
        </is>
      </c>
      <c r="V432" s="2" t="inlineStr"/>
    </row>
    <row r="433">
      <c r="A433" s="2" t="inlineStr">
        <is>
          <t>DAISO-061</t>
        </is>
      </c>
      <c r="B433" s="2" t="inlineStr">
        <is>
          <t>DAISO</t>
        </is>
      </c>
      <c r="C433" s="2" t="inlineStr">
        <is>
          <t>TOP收納盒</t>
        </is>
      </c>
      <c r="D433" s="2" t="inlineStr">
        <is>
          <t>TOP收納盒/12x15.7x6.1cm</t>
        </is>
      </c>
      <c r="E433" s="2" t="inlineStr">
        <is>
          <t>4955959218210</t>
        </is>
      </c>
      <c r="F433" s="2" t="n">
        <v>12</v>
      </c>
      <c r="G433" s="2" t="n">
        <v>15.7</v>
      </c>
      <c r="H433" s="2" t="n">
        <v>6.1</v>
      </c>
      <c r="I433" s="2" t="n"/>
      <c r="J433" s="2" t="n"/>
      <c r="K433" s="2" t="n"/>
      <c r="L433" s="2" t="inlineStr"/>
      <c r="M433" s="2" t="inlineStr">
        <is>
          <t>透明</t>
        </is>
      </c>
      <c r="N433" s="2" t="inlineStr"/>
      <c r="O433" s="2" t="inlineStr">
        <is>
          <t>Y</t>
        </is>
      </c>
      <c r="P433" s="2" t="n">
        <v>49</v>
      </c>
      <c r="Q433" s="2" t="inlineStr">
        <is>
          <t>2026-10-26</t>
        </is>
      </c>
      <c r="R433" s="3" t="inlineStr">
        <is>
          <t>https://shop.daiso.com.tw/products/4955959218210</t>
        </is>
      </c>
      <c r="S433" s="2" t="inlineStr">
        <is>
          <t>官網</t>
        </is>
      </c>
      <c r="T433" s="2" t="inlineStr">
        <is>
          <t>medium</t>
        </is>
      </c>
      <c r="U433" s="2" t="inlineStr">
        <is>
          <t>耐熱70度；has_lid 依商品圖判讀；官方規格未標示長寬高順序；官方規格原文：12cm×15.7cm×6.1cm</t>
        </is>
      </c>
      <c r="V433" s="2" t="inlineStr"/>
    </row>
    <row r="434">
      <c r="A434" s="2" t="inlineStr">
        <is>
          <t>DAISO-062</t>
        </is>
      </c>
      <c r="B434" s="2" t="inlineStr">
        <is>
          <t>DAISO</t>
        </is>
      </c>
      <c r="C434" s="2" t="inlineStr">
        <is>
          <t>極簡黑收納盒</t>
        </is>
      </c>
      <c r="D434" s="2" t="inlineStr">
        <is>
          <t>極簡黑收納盒/XS 8.7x8.7x4.5cm</t>
        </is>
      </c>
      <c r="E434" s="2" t="inlineStr">
        <is>
          <t>4955959222606</t>
        </is>
      </c>
      <c r="F434" s="2" t="n">
        <v>8.699999999999999</v>
      </c>
      <c r="G434" s="2" t="n">
        <v>8.699999999999999</v>
      </c>
      <c r="H434" s="2" t="n">
        <v>4.5</v>
      </c>
      <c r="I434" s="2" t="n"/>
      <c r="J434" s="2" t="n"/>
      <c r="K434" s="2" t="n"/>
      <c r="L434" s="2" t="inlineStr"/>
      <c r="M434" s="2" t="inlineStr">
        <is>
          <t>黑</t>
        </is>
      </c>
      <c r="N434" s="2" t="inlineStr"/>
      <c r="O434" s="2" t="inlineStr">
        <is>
          <t>N</t>
        </is>
      </c>
      <c r="P434" s="2" t="n">
        <v>49</v>
      </c>
      <c r="Q434" s="2" t="inlineStr">
        <is>
          <t>2026-10-26</t>
        </is>
      </c>
      <c r="R434" s="3" t="inlineStr">
        <is>
          <t>https://shop.daiso.com.tw/products/4955959222606</t>
        </is>
      </c>
      <c r="S434" s="2" t="inlineStr">
        <is>
          <t>官網</t>
        </is>
      </c>
      <c r="T434" s="2" t="inlineStr">
        <is>
          <t>medium</t>
        </is>
      </c>
      <c r="U434" s="2" t="inlineStr">
        <is>
          <t>XS；容量240ml；耐熱-20~120度；商品圖包裝標示「2個セット」，台灣頁面未註明入數，價格以頁面49元填寫；官方規格原文：8.7cm×8.7cm×4.5cm</t>
        </is>
      </c>
      <c r="V434" s="2" t="inlineStr"/>
    </row>
    <row r="435">
      <c r="A435" s="2" t="inlineStr">
        <is>
          <t>DAISO-063</t>
        </is>
      </c>
      <c r="B435" s="2" t="inlineStr">
        <is>
          <t>DAISO</t>
        </is>
      </c>
      <c r="C435" s="2" t="inlineStr">
        <is>
          <t>THREEPPY</t>
        </is>
      </c>
      <c r="D435" s="2" t="inlineStr">
        <is>
          <t>TP 大理石折疊收納籃/38×26×24cm</t>
        </is>
      </c>
      <c r="E435" s="2" t="inlineStr">
        <is>
          <t>4550480554723</t>
        </is>
      </c>
      <c r="F435" s="2" t="n">
        <v>38</v>
      </c>
      <c r="G435" s="2" t="n">
        <v>26</v>
      </c>
      <c r="H435" s="2" t="n">
        <v>24</v>
      </c>
      <c r="I435" s="2" t="n"/>
      <c r="J435" s="2" t="n"/>
      <c r="K435" s="2" t="n"/>
      <c r="L435" s="2" t="inlineStr"/>
      <c r="M435" s="2" t="inlineStr">
        <is>
          <t>大理石紋</t>
        </is>
      </c>
      <c r="N435" s="2" t="inlineStr"/>
      <c r="O435" s="2" t="inlineStr">
        <is>
          <t>N</t>
        </is>
      </c>
      <c r="P435" s="2" t="n">
        <v>199</v>
      </c>
      <c r="Q435" s="2" t="inlineStr">
        <is>
          <t>2026-10-26</t>
        </is>
      </c>
      <c r="R435" s="3" t="inlineStr">
        <is>
          <t>https://shop.daiso.com.tw/products/4550480554723</t>
        </is>
      </c>
      <c r="S435" s="2" t="inlineStr">
        <is>
          <t>官網</t>
        </is>
      </c>
      <c r="T435" s="2" t="inlineStr">
        <is>
          <t>high</t>
        </is>
      </c>
      <c r="U435" s="2" t="inlineStr">
        <is>
          <t>TP 大理石折疊收納籃（布質折疊）；官方規格原文：38cm×26cm×24cm</t>
        </is>
      </c>
      <c r="V435" s="2" t="inlineStr"/>
    </row>
    <row r="436">
      <c r="A436" s="2" t="inlineStr">
        <is>
          <t>DAISO-064</t>
        </is>
      </c>
      <c r="B436" s="2" t="inlineStr">
        <is>
          <t>DAISO</t>
        </is>
      </c>
      <c r="C436" s="2" t="inlineStr">
        <is>
          <t>THREEPPY</t>
        </is>
      </c>
      <c r="D436" s="2" t="inlineStr">
        <is>
          <t>TP 收納盒/19×26×12cm</t>
        </is>
      </c>
      <c r="E436" s="2" t="inlineStr">
        <is>
          <t>4550480911380</t>
        </is>
      </c>
      <c r="F436" s="2" t="n">
        <v>26</v>
      </c>
      <c r="G436" s="2" t="n">
        <v>19</v>
      </c>
      <c r="H436" s="2" t="n">
        <v>12</v>
      </c>
      <c r="I436" s="2" t="n"/>
      <c r="J436" s="2" t="n"/>
      <c r="K436" s="2" t="n"/>
      <c r="L436" s="2" t="inlineStr"/>
      <c r="M436" s="2" t="inlineStr">
        <is>
          <t>灰</t>
        </is>
      </c>
      <c r="N436" s="2" t="inlineStr"/>
      <c r="O436" s="2" t="inlineStr">
        <is>
          <t>N</t>
        </is>
      </c>
      <c r="P436" s="2" t="n">
        <v>99</v>
      </c>
      <c r="Q436" s="2" t="inlineStr">
        <is>
          <t>2026-10-26</t>
        </is>
      </c>
      <c r="R436" s="3" t="inlineStr">
        <is>
          <t>https://shop.daiso.com.tw/products/4550480911380</t>
        </is>
      </c>
      <c r="S436" s="2" t="inlineStr">
        <is>
          <t>官網</t>
        </is>
      </c>
      <c r="T436" s="2" t="inlineStr">
        <is>
          <t>medium</t>
        </is>
      </c>
      <c r="U436" s="2" t="inlineStr">
        <is>
          <t>TP 收納盒（布質，口寬底窄）；官方寫19×26×12；官方規格原文：19cm × 26cm × 12cm</t>
        </is>
      </c>
      <c r="V436" s="2" t="inlineStr"/>
    </row>
    <row r="437">
      <c r="A437" s="2" t="inlineStr">
        <is>
          <t>DAISO-065</t>
        </is>
      </c>
      <c r="B437" s="2" t="inlineStr">
        <is>
          <t>DAISO</t>
        </is>
      </c>
      <c r="C437" s="2" t="inlineStr">
        <is>
          <t>THREEPPY</t>
        </is>
      </c>
      <c r="D437" s="2" t="inlineStr">
        <is>
          <t>TP 收納盒/19×26×24cm</t>
        </is>
      </c>
      <c r="E437" s="2" t="inlineStr">
        <is>
          <t>4550480919935</t>
        </is>
      </c>
      <c r="F437" s="2" t="n">
        <v>26</v>
      </c>
      <c r="G437" s="2" t="n">
        <v>19</v>
      </c>
      <c r="H437" s="2" t="n">
        <v>24</v>
      </c>
      <c r="I437" s="2" t="n"/>
      <c r="J437" s="2" t="n"/>
      <c r="K437" s="2" t="n"/>
      <c r="L437" s="2" t="inlineStr"/>
      <c r="M437" s="2" t="inlineStr">
        <is>
          <t>白</t>
        </is>
      </c>
      <c r="N437" s="2" t="inlineStr"/>
      <c r="O437" s="2" t="inlineStr">
        <is>
          <t>N</t>
        </is>
      </c>
      <c r="P437" s="2" t="n">
        <v>139</v>
      </c>
      <c r="Q437" s="2" t="inlineStr">
        <is>
          <t>2026-10-26</t>
        </is>
      </c>
      <c r="R437" s="3" t="inlineStr">
        <is>
          <t>https://shop.daiso.com.tw/products/4550480919935</t>
        </is>
      </c>
      <c r="S437" s="2" t="inlineStr">
        <is>
          <t>官網</t>
        </is>
      </c>
      <c r="T437" s="2" t="inlineStr">
        <is>
          <t>medium</t>
        </is>
      </c>
      <c r="U437" s="2" t="inlineStr">
        <is>
          <t>TP 收納盒（布質，口寬底窄）；官方寫19×26×24；官方規格原文：19cm × 26cm × 24cm</t>
        </is>
      </c>
      <c r="V437" s="2" t="inlineStr"/>
    </row>
    <row r="438">
      <c r="A438" s="2" t="inlineStr">
        <is>
          <t>DAISO-066</t>
        </is>
      </c>
      <c r="B438" s="2" t="inlineStr">
        <is>
          <t>DAISO</t>
        </is>
      </c>
      <c r="C438" s="2" t="inlineStr">
        <is>
          <t>THREEPPY</t>
        </is>
      </c>
      <c r="D438" s="2" t="inlineStr">
        <is>
          <t>TP 華夫格紋收納籃/薄荷綠 38x26x12cm</t>
        </is>
      </c>
      <c r="E438" s="2" t="inlineStr">
        <is>
          <t>4550480529707</t>
        </is>
      </c>
      <c r="F438" s="2" t="n">
        <v>38</v>
      </c>
      <c r="G438" s="2" t="n">
        <v>26</v>
      </c>
      <c r="H438" s="2" t="n">
        <v>12</v>
      </c>
      <c r="I438" s="2" t="n"/>
      <c r="J438" s="2" t="n"/>
      <c r="K438" s="2" t="n"/>
      <c r="L438" s="2" t="inlineStr"/>
      <c r="M438" s="2" t="inlineStr">
        <is>
          <t>薄荷綠</t>
        </is>
      </c>
      <c r="N438" s="2" t="inlineStr"/>
      <c r="O438" s="2" t="inlineStr">
        <is>
          <t>N</t>
        </is>
      </c>
      <c r="P438" s="2" t="n">
        <v>139</v>
      </c>
      <c r="Q438" s="2" t="inlineStr">
        <is>
          <t>2026-10-26</t>
        </is>
      </c>
      <c r="R438" s="3" t="inlineStr">
        <is>
          <t>https://shop.daiso.com.tw/products/4550480529707</t>
        </is>
      </c>
      <c r="S438" s="2" t="inlineStr">
        <is>
          <t>官網</t>
        </is>
      </c>
      <c r="T438" s="2" t="inlineStr">
        <is>
          <t>high</t>
        </is>
      </c>
      <c r="U438" s="2" t="inlineStr">
        <is>
          <t>TP 華夫格紋收納籃；規格表寫26×12×38，商品名稱寫38×26×12；官方規格原文：26cm×12cm×38cm</t>
        </is>
      </c>
      <c r="V438" s="2" t="inlineStr"/>
    </row>
    <row r="439">
      <c r="A439" s="2" t="inlineStr">
        <is>
          <t>DAISO-067</t>
        </is>
      </c>
      <c r="B439" s="2" t="inlineStr">
        <is>
          <t>DAISO</t>
        </is>
      </c>
      <c r="C439" s="2" t="inlineStr">
        <is>
          <t>Toumei系</t>
        </is>
      </c>
      <c r="D439" s="2" t="inlineStr">
        <is>
          <t>Toumei系分格收納盒/ 17x6.5x2cm</t>
        </is>
      </c>
      <c r="E439" s="2" t="inlineStr">
        <is>
          <t>4549131533583</t>
        </is>
      </c>
      <c r="F439" s="2" t="n">
        <v>17</v>
      </c>
      <c r="G439" s="2" t="n">
        <v>6.5</v>
      </c>
      <c r="H439" s="2" t="n">
        <v>2</v>
      </c>
      <c r="I439" s="2" t="n"/>
      <c r="J439" s="2" t="n"/>
      <c r="K439" s="2" t="n"/>
      <c r="L439" s="2" t="inlineStr"/>
      <c r="M439" s="2" t="inlineStr">
        <is>
          <t>透明</t>
        </is>
      </c>
      <c r="N439" s="2" t="inlineStr"/>
      <c r="O439" s="2" t="inlineStr">
        <is>
          <t>Y</t>
        </is>
      </c>
      <c r="P439" s="2" t="n">
        <v>49</v>
      </c>
      <c r="Q439" s="2" t="inlineStr">
        <is>
          <t>2026-10-26</t>
        </is>
      </c>
      <c r="R439" s="3" t="inlineStr">
        <is>
          <t>https://shop.daiso.com.tw/products/4549131533583</t>
        </is>
      </c>
      <c r="S439" s="2" t="inlineStr">
        <is>
          <t>官網</t>
        </is>
      </c>
      <c r="T439" s="2" t="inlineStr">
        <is>
          <t>medium</t>
        </is>
      </c>
      <c r="U439" s="2" t="inlineStr">
        <is>
          <t>分格收納盒，隔板可拆卸調整；商品頁無規格表，尺寸取自官方說明文字；官方規格原文：（無規格表）</t>
        </is>
      </c>
      <c r="V439" s="2" t="inlineStr"/>
    </row>
    <row r="440">
      <c r="A440" s="2" t="inlineStr">
        <is>
          <t>DAISO-068</t>
        </is>
      </c>
      <c r="B440" s="2" t="inlineStr">
        <is>
          <t>DAISO</t>
        </is>
      </c>
      <c r="C440" s="2" t="inlineStr">
        <is>
          <t>inomata 磁吸式收納盒</t>
        </is>
      </c>
      <c r="D440" s="2" t="inlineStr">
        <is>
          <t>inomata磁吸式收納盒/白 7.8x13.8x4.4cm</t>
        </is>
      </c>
      <c r="E440" s="2" t="inlineStr">
        <is>
          <t>4905596510062/4905596510079</t>
        </is>
      </c>
      <c r="F440" s="2" t="n">
        <v>7.8</v>
      </c>
      <c r="G440" s="2" t="n">
        <v>4.4</v>
      </c>
      <c r="H440" s="2" t="n">
        <v>13.8</v>
      </c>
      <c r="I440" s="2" t="n"/>
      <c r="J440" s="2" t="n"/>
      <c r="K440" s="2" t="n"/>
      <c r="L440" s="2" t="inlineStr"/>
      <c r="M440" s="2" t="inlineStr">
        <is>
          <t>白/黑</t>
        </is>
      </c>
      <c r="N440" s="2" t="inlineStr"/>
      <c r="O440" s="2" t="inlineStr">
        <is>
          <t>Y</t>
        </is>
      </c>
      <c r="P440" s="2" t="n">
        <v>49</v>
      </c>
      <c r="Q440" s="2" t="inlineStr">
        <is>
          <t>2026-10-26</t>
        </is>
      </c>
      <c r="R440" s="3" t="inlineStr">
        <is>
          <t>https://shop.daiso.com.tw/products/4905596510062</t>
        </is>
      </c>
      <c r="S440" s="2" t="inlineStr">
        <is>
          <t>官網</t>
        </is>
      </c>
      <c r="T440" s="2" t="inlineStr">
        <is>
          <t>medium</t>
        </is>
      </c>
      <c r="U440" s="2" t="inlineStr">
        <is>
          <t>TALL款；附磁鐵可吸附冰箱、鐵門、白板；依商品圖判讀高度；官方規格原文：7.8cm×13.8cm×4.4cm</t>
        </is>
      </c>
      <c r="V440" s="2" t="inlineStr"/>
    </row>
    <row r="441">
      <c r="A441" s="2" t="inlineStr">
        <is>
          <t>DAISO-069</t>
        </is>
      </c>
      <c r="B441" s="2" t="inlineStr">
        <is>
          <t>DAISO</t>
        </is>
      </c>
      <c r="C441" s="2" t="inlineStr">
        <is>
          <t>inomata 磁吸式收納盒</t>
        </is>
      </c>
      <c r="D441" s="2" t="inlineStr">
        <is>
          <t>inomata磁吸式收納盒/白 8.5x4.8x8.5cm</t>
        </is>
      </c>
      <c r="E441" s="2" t="inlineStr">
        <is>
          <t>4905596509967/4905596509974</t>
        </is>
      </c>
      <c r="F441" s="2" t="n">
        <v>8.5</v>
      </c>
      <c r="G441" s="2" t="n">
        <v>4.8</v>
      </c>
      <c r="H441" s="2" t="n">
        <v>8.5</v>
      </c>
      <c r="I441" s="2" t="n"/>
      <c r="J441" s="2" t="n"/>
      <c r="K441" s="2" t="n"/>
      <c r="L441" s="2" t="inlineStr"/>
      <c r="M441" s="2" t="inlineStr">
        <is>
          <t>白/黑</t>
        </is>
      </c>
      <c r="N441" s="2" t="inlineStr"/>
      <c r="O441" s="2" t="inlineStr">
        <is>
          <t>Y</t>
        </is>
      </c>
      <c r="P441" s="2" t="n">
        <v>49</v>
      </c>
      <c r="Q441" s="2" t="inlineStr">
        <is>
          <t>2026-10-26</t>
        </is>
      </c>
      <c r="R441" s="3" t="inlineStr">
        <is>
          <t>https://shop.daiso.com.tw/products/4905596509967</t>
        </is>
      </c>
      <c r="S441" s="2" t="inlineStr">
        <is>
          <t>官網</t>
        </is>
      </c>
      <c r="T441" s="2" t="inlineStr">
        <is>
          <t>medium</t>
        </is>
      </c>
      <c r="U441" s="2" t="inlineStr">
        <is>
          <t>附磁鐵可吸附冰箱、鐵門、白板；透明盒蓋；依商品圖判讀高度；官方規格原文：8.5cm×4.8cm×8.5cm</t>
        </is>
      </c>
      <c r="V441" s="2" t="inlineStr"/>
    </row>
    <row r="442">
      <c r="A442" s="2" t="inlineStr">
        <is>
          <t>DAISO-070</t>
        </is>
      </c>
      <c r="B442" s="2" t="inlineStr">
        <is>
          <t>DAISO</t>
        </is>
      </c>
      <c r="C442" s="2" t="inlineStr">
        <is>
          <t>noma</t>
        </is>
      </c>
      <c r="D442" s="2" t="inlineStr">
        <is>
          <t>noma磁吸式寬型收納盒</t>
        </is>
      </c>
      <c r="E442" s="2" t="inlineStr">
        <is>
          <t>4550480032887</t>
        </is>
      </c>
      <c r="F442" s="2" t="n">
        <v>13.5</v>
      </c>
      <c r="G442" s="2" t="n">
        <v>6.2</v>
      </c>
      <c r="H442" s="2" t="n">
        <v>8.6</v>
      </c>
      <c r="I442" s="2" t="n"/>
      <c r="J442" s="2" t="n"/>
      <c r="K442" s="2" t="n"/>
      <c r="L442" s="2" t="inlineStr"/>
      <c r="M442" s="2" t="inlineStr">
        <is>
          <t>白</t>
        </is>
      </c>
      <c r="N442" s="2" t="inlineStr"/>
      <c r="O442" s="2" t="inlineStr">
        <is>
          <t>N</t>
        </is>
      </c>
      <c r="P442" s="2" t="n">
        <v>49</v>
      </c>
      <c r="Q442" s="2" t="inlineStr">
        <is>
          <t>2026-10-26</t>
        </is>
      </c>
      <c r="R442" s="3" t="inlineStr">
        <is>
          <t>https://shop.daiso.com.tw/products/4550480032887</t>
        </is>
      </c>
      <c r="S442" s="2" t="inlineStr">
        <is>
          <t>官網</t>
        </is>
      </c>
      <c r="T442" s="2" t="inlineStr">
        <is>
          <t>medium</t>
        </is>
      </c>
      <c r="U442" s="2" t="inlineStr">
        <is>
          <t>磁吸式寬型收納盒；耐荷重約500g；官方規格未標示長寬高順序，依商品圖判讀高度；官方規格原文：約500g</t>
        </is>
      </c>
      <c r="V442" s="2" t="inlineStr"/>
    </row>
    <row r="443">
      <c r="A443" s="2" t="inlineStr">
        <is>
          <t>DAISO-071</t>
        </is>
      </c>
      <c r="B443" s="2" t="inlineStr">
        <is>
          <t>DAISO</t>
        </is>
      </c>
      <c r="C443" s="2" t="inlineStr">
        <is>
          <t>分格收納盒</t>
        </is>
      </c>
      <c r="D443" s="2" t="inlineStr">
        <is>
          <t>分格收納盒/11格</t>
        </is>
      </c>
      <c r="E443" s="2" t="inlineStr">
        <is>
          <t>4550480364407</t>
        </is>
      </c>
      <c r="F443" s="2" t="n">
        <v>14.5</v>
      </c>
      <c r="G443" s="2" t="n">
        <v>20</v>
      </c>
      <c r="H443" s="2" t="n">
        <v>3.7</v>
      </c>
      <c r="I443" s="2" t="n"/>
      <c r="J443" s="2" t="n"/>
      <c r="K443" s="2" t="n"/>
      <c r="L443" s="2" t="inlineStr"/>
      <c r="M443" s="2" t="inlineStr">
        <is>
          <t>透明</t>
        </is>
      </c>
      <c r="N443" s="2" t="inlineStr"/>
      <c r="O443" s="2" t="inlineStr">
        <is>
          <t>Y</t>
        </is>
      </c>
      <c r="P443" s="2" t="n">
        <v>49</v>
      </c>
      <c r="Q443" s="2" t="inlineStr">
        <is>
          <t>2026-10-26</t>
        </is>
      </c>
      <c r="R443" s="3" t="inlineStr">
        <is>
          <t>https://shop.daiso.com.tw/products/4550480364407</t>
        </is>
      </c>
      <c r="S443" s="2" t="inlineStr">
        <is>
          <t>官網</t>
        </is>
      </c>
      <c r="T443" s="2" t="inlineStr">
        <is>
          <t>medium</t>
        </is>
      </c>
      <c r="U443" s="2" t="inlineStr">
        <is>
          <t>11格；官方規格未標示長寬高順序，依商品圖判讀高度；官方規格原文：14.5cm×3.7cm×20cm</t>
        </is>
      </c>
      <c r="V443" s="2" t="inlineStr"/>
    </row>
    <row r="444">
      <c r="A444" s="2" t="inlineStr">
        <is>
          <t>DAISO-072</t>
        </is>
      </c>
      <c r="B444" s="2" t="inlineStr">
        <is>
          <t>DAISO</t>
        </is>
      </c>
      <c r="C444" s="2" t="inlineStr">
        <is>
          <t>分格收納盒</t>
        </is>
      </c>
      <c r="D444" s="2" t="inlineStr">
        <is>
          <t>分格收納盒/27x5.7x10.4cm</t>
        </is>
      </c>
      <c r="E444" s="2" t="inlineStr">
        <is>
          <t>4550480210780</t>
        </is>
      </c>
      <c r="F444" s="2" t="n">
        <v>27</v>
      </c>
      <c r="G444" s="2" t="n">
        <v>10.4</v>
      </c>
      <c r="H444" s="2" t="n">
        <v>5.7</v>
      </c>
      <c r="I444" s="2" t="n"/>
      <c r="J444" s="2" t="n"/>
      <c r="K444" s="2" t="n"/>
      <c r="L444" s="2" t="inlineStr"/>
      <c r="M444" s="2" t="inlineStr">
        <is>
          <t>透明</t>
        </is>
      </c>
      <c r="N444" s="2" t="inlineStr"/>
      <c r="O444" s="2" t="inlineStr">
        <is>
          <t>Y</t>
        </is>
      </c>
      <c r="P444" s="2" t="n">
        <v>69</v>
      </c>
      <c r="Q444" s="2" t="inlineStr">
        <is>
          <t>2026-10-26</t>
        </is>
      </c>
      <c r="R444" s="3" t="inlineStr">
        <is>
          <t>https://shop.daiso.com.tw/products/4550480210780</t>
        </is>
      </c>
      <c r="S444" s="2" t="inlineStr">
        <is>
          <t>官網</t>
        </is>
      </c>
      <c r="T444" s="2" t="inlineStr">
        <is>
          <t>medium</t>
        </is>
      </c>
      <c r="U444" s="2" t="inlineStr">
        <is>
          <t>商品頁無規格表，尺寸取自官方商品名稱；官方規格未標示長寬高順序，依商品圖判讀高度；官方規格原文：（無規格表）</t>
        </is>
      </c>
      <c r="V444" s="2" t="inlineStr"/>
    </row>
    <row r="445">
      <c r="A445" s="2" t="inlineStr">
        <is>
          <t>DAISO-073</t>
        </is>
      </c>
      <c r="B445" s="2" t="inlineStr">
        <is>
          <t>DAISO</t>
        </is>
      </c>
      <c r="C445" s="2" t="inlineStr">
        <is>
          <t>分格收納盒</t>
        </is>
      </c>
      <c r="D445" s="2" t="inlineStr">
        <is>
          <t>分格收納盒/5格</t>
        </is>
      </c>
      <c r="E445" s="2" t="inlineStr">
        <is>
          <t>4550480591964</t>
        </is>
      </c>
      <c r="F445" s="2" t="n">
        <v>27</v>
      </c>
      <c r="G445" s="2" t="n">
        <v>6.8</v>
      </c>
      <c r="H445" s="2" t="n">
        <v>8.199999999999999</v>
      </c>
      <c r="I445" s="2" t="n"/>
      <c r="J445" s="2" t="n"/>
      <c r="K445" s="2" t="n"/>
      <c r="L445" s="2" t="inlineStr"/>
      <c r="M445" s="2" t="inlineStr">
        <is>
          <t>白</t>
        </is>
      </c>
      <c r="N445" s="2" t="inlineStr">
        <is>
          <t>Y</t>
        </is>
      </c>
      <c r="O445" s="2" t="inlineStr">
        <is>
          <t>N</t>
        </is>
      </c>
      <c r="P445" s="2" t="n">
        <v>49</v>
      </c>
      <c r="Q445" s="2" t="inlineStr">
        <is>
          <t>2026-10-26</t>
        </is>
      </c>
      <c r="R445" s="3" t="inlineStr">
        <is>
          <t>https://shop.daiso.com.tw/products/4550480591964</t>
        </is>
      </c>
      <c r="S445" s="2" t="inlineStr">
        <is>
          <t>官網</t>
        </is>
      </c>
      <c r="T445" s="2" t="inlineStr">
        <is>
          <t>medium</t>
        </is>
      </c>
      <c r="U445" s="2" t="inlineStr">
        <is>
          <t>5格波浪邊整理盒；官方規格未標示長寬高順序，依商品正面圖判讀高8.2；stackable 依商品圖（疊放示意）；官方規格原文：27cm × 6.8cm × 8.2cm</t>
        </is>
      </c>
      <c r="V445" s="2" t="inlineStr"/>
    </row>
    <row r="446">
      <c r="A446" s="2" t="inlineStr">
        <is>
          <t>DAISO-074</t>
        </is>
      </c>
      <c r="B446" s="2" t="inlineStr">
        <is>
          <t>DAISO</t>
        </is>
      </c>
      <c r="C446" s="2" t="inlineStr">
        <is>
          <t>分隔收納盒</t>
        </is>
      </c>
      <c r="D446" s="2" t="inlineStr">
        <is>
          <t>分隔收納盒/10格 18.5x3x8.5cm</t>
        </is>
      </c>
      <c r="E446" s="2" t="inlineStr">
        <is>
          <t>4550480216539</t>
        </is>
      </c>
      <c r="F446" s="2" t="n">
        <v>18.5</v>
      </c>
      <c r="G446" s="2" t="n">
        <v>8.5</v>
      </c>
      <c r="H446" s="2" t="n">
        <v>3</v>
      </c>
      <c r="I446" s="2" t="n"/>
      <c r="J446" s="2" t="n"/>
      <c r="K446" s="2" t="n"/>
      <c r="L446" s="2" t="inlineStr"/>
      <c r="M446" s="2" t="inlineStr">
        <is>
          <t>透明</t>
        </is>
      </c>
      <c r="N446" s="2" t="inlineStr"/>
      <c r="O446" s="2" t="inlineStr">
        <is>
          <t>Y</t>
        </is>
      </c>
      <c r="P446" s="2" t="n">
        <v>49</v>
      </c>
      <c r="Q446" s="2" t="inlineStr">
        <is>
          <t>2026-10-26</t>
        </is>
      </c>
      <c r="R446" s="3" t="inlineStr">
        <is>
          <t>https://shop.daiso.com.tw/products/4550480216539</t>
        </is>
      </c>
      <c r="S446" s="2" t="inlineStr">
        <is>
          <t>官網</t>
        </is>
      </c>
      <c r="T446" s="2" t="inlineStr">
        <is>
          <t>medium</t>
        </is>
      </c>
      <c r="U446" s="2" t="inlineStr">
        <is>
          <t>10格；商品頁無規格表，尺寸取自官方商品名稱；依商品圖判讀高度；官方規格原文：（無規格表）</t>
        </is>
      </c>
      <c r="V446" s="2" t="inlineStr"/>
    </row>
    <row r="447">
      <c r="A447" s="2" t="inlineStr">
        <is>
          <t>DAISO-075</t>
        </is>
      </c>
      <c r="B447" s="2" t="inlineStr">
        <is>
          <t>DAISO</t>
        </is>
      </c>
      <c r="C447" s="2" t="inlineStr">
        <is>
          <t>分隔收納盒</t>
        </is>
      </c>
      <c r="D447" s="2" t="inlineStr">
        <is>
          <t>分隔收納盒/5格 18.5x3x8.5cm</t>
        </is>
      </c>
      <c r="E447" s="2" t="inlineStr">
        <is>
          <t>4550480216546</t>
        </is>
      </c>
      <c r="F447" s="2" t="n">
        <v>18.5</v>
      </c>
      <c r="G447" s="2" t="n">
        <v>8.5</v>
      </c>
      <c r="H447" s="2" t="n">
        <v>3</v>
      </c>
      <c r="I447" s="2" t="n"/>
      <c r="J447" s="2" t="n"/>
      <c r="K447" s="2" t="n"/>
      <c r="L447" s="2" t="inlineStr"/>
      <c r="M447" s="2" t="inlineStr">
        <is>
          <t>透明</t>
        </is>
      </c>
      <c r="N447" s="2" t="inlineStr"/>
      <c r="O447" s="2" t="inlineStr">
        <is>
          <t>Y</t>
        </is>
      </c>
      <c r="P447" s="2" t="n">
        <v>49</v>
      </c>
      <c r="Q447" s="2" t="inlineStr">
        <is>
          <t>2026-10-26</t>
        </is>
      </c>
      <c r="R447" s="3" t="inlineStr">
        <is>
          <t>https://shop.daiso.com.tw/products/4550480216546</t>
        </is>
      </c>
      <c r="S447" s="2" t="inlineStr">
        <is>
          <t>官網</t>
        </is>
      </c>
      <c r="T447" s="2" t="inlineStr">
        <is>
          <t>medium</t>
        </is>
      </c>
      <c r="U447" s="2" t="inlineStr">
        <is>
          <t>5格；商品頁無規格表，尺寸取自官方商品名稱；依商品圖判讀高度；官方規格原文：（無規格表）</t>
        </is>
      </c>
      <c r="V447" s="2" t="inlineStr"/>
    </row>
    <row r="448">
      <c r="A448" s="2" t="inlineStr">
        <is>
          <t>DAISO-076</t>
        </is>
      </c>
      <c r="B448" s="2" t="inlineStr">
        <is>
          <t>DAISO</t>
        </is>
      </c>
      <c r="C448" s="2" t="inlineStr">
        <is>
          <t>四格雙面小物收納盒</t>
        </is>
      </c>
      <c r="D448" s="2" t="inlineStr">
        <is>
          <t>四格雙面小物收納盒/10.4x2.7x7cm</t>
        </is>
      </c>
      <c r="E448" s="2" t="inlineStr">
        <is>
          <t>4580004041897</t>
        </is>
      </c>
      <c r="F448" s="2" t="n">
        <v>10.4</v>
      </c>
      <c r="G448" s="2" t="n">
        <v>7</v>
      </c>
      <c r="H448" s="2" t="n">
        <v>2.7</v>
      </c>
      <c r="I448" s="2" t="n"/>
      <c r="J448" s="2" t="n"/>
      <c r="K448" s="2" t="n"/>
      <c r="L448" s="2" t="inlineStr"/>
      <c r="M448" s="2" t="inlineStr">
        <is>
          <t>透明</t>
        </is>
      </c>
      <c r="N448" s="2" t="inlineStr"/>
      <c r="O448" s="2" t="inlineStr">
        <is>
          <t>Y</t>
        </is>
      </c>
      <c r="P448" s="2" t="n">
        <v>49</v>
      </c>
      <c r="Q448" s="2" t="inlineStr">
        <is>
          <t>2026-10-26</t>
        </is>
      </c>
      <c r="R448" s="3" t="inlineStr">
        <is>
          <t>https://shop.daiso.com.tw/products/4580004041897</t>
        </is>
      </c>
      <c r="S448" s="2" t="inlineStr">
        <is>
          <t>官網</t>
        </is>
      </c>
      <c r="T448" s="2" t="inlineStr">
        <is>
          <t>medium</t>
        </is>
      </c>
      <c r="U448" s="2" t="inlineStr">
        <is>
          <t>商品頁無規格表，尺寸取自官方商品名稱；官方規格未標示長寬高順序；官方規格原文：（無規格表）</t>
        </is>
      </c>
      <c r="V448" s="2" t="inlineStr"/>
    </row>
    <row r="449">
      <c r="A449" s="2" t="inlineStr">
        <is>
          <t>DAISO-077</t>
        </is>
      </c>
      <c r="B449" s="2" t="inlineStr">
        <is>
          <t>DAISO</t>
        </is>
      </c>
      <c r="C449" s="2" t="inlineStr">
        <is>
          <t>小物收納盒</t>
        </is>
      </c>
      <c r="D449" s="2" t="inlineStr">
        <is>
          <t>小物收納盒/20.4×3.9×8.2cm</t>
        </is>
      </c>
      <c r="E449" s="2" t="inlineStr">
        <is>
          <t>4550480595863</t>
        </is>
      </c>
      <c r="F449" s="2" t="n">
        <v>20.4</v>
      </c>
      <c r="G449" s="2" t="n">
        <v>8.199999999999999</v>
      </c>
      <c r="H449" s="2" t="n">
        <v>3.9</v>
      </c>
      <c r="I449" s="2" t="n"/>
      <c r="J449" s="2" t="n"/>
      <c r="K449" s="2" t="n"/>
      <c r="L449" s="2" t="inlineStr"/>
      <c r="M449" s="2" t="inlineStr">
        <is>
          <t>白/透明</t>
        </is>
      </c>
      <c r="N449" s="2" t="inlineStr"/>
      <c r="O449" s="2" t="inlineStr">
        <is>
          <t>Y</t>
        </is>
      </c>
      <c r="P449" s="2" t="n">
        <v>49</v>
      </c>
      <c r="Q449" s="2" t="inlineStr">
        <is>
          <t>2026-10-26</t>
        </is>
      </c>
      <c r="R449" s="3" t="inlineStr">
        <is>
          <t>https://shop.daiso.com.tw/products/4550480595863</t>
        </is>
      </c>
      <c r="S449" s="2" t="inlineStr">
        <is>
          <t>官網</t>
        </is>
      </c>
      <c r="T449" s="2" t="inlineStr">
        <is>
          <t>medium</t>
        </is>
      </c>
      <c r="U449" s="2" t="inlineStr">
        <is>
          <t>顏色隨機出貨；官方規格未標示長寬高順序，依商品圖判讀高度；官方規格原文：20.4cm × 3.9cm × 8.2cm</t>
        </is>
      </c>
      <c r="V449" s="2" t="inlineStr"/>
    </row>
    <row r="450">
      <c r="A450" s="2" t="inlineStr">
        <is>
          <t>DAISO-078</t>
        </is>
      </c>
      <c r="B450" s="2" t="inlineStr">
        <is>
          <t>DAISO</t>
        </is>
      </c>
      <c r="C450" s="2" t="inlineStr">
        <is>
          <t>迷你收納盒</t>
        </is>
      </c>
      <c r="D450" s="2" t="inlineStr">
        <is>
          <t>迷你收納盒/M 6.5×8.5×3.4cm</t>
        </is>
      </c>
      <c r="E450" s="2" t="inlineStr">
        <is>
          <t>4906137333010</t>
        </is>
      </c>
      <c r="F450" s="2" t="n">
        <v>6.5</v>
      </c>
      <c r="G450" s="2" t="n">
        <v>8.5</v>
      </c>
      <c r="H450" s="2" t="n">
        <v>3.4</v>
      </c>
      <c r="I450" s="2" t="n"/>
      <c r="J450" s="2" t="n"/>
      <c r="K450" s="2" t="n"/>
      <c r="L450" s="2" t="inlineStr"/>
      <c r="M450" s="2" t="inlineStr">
        <is>
          <t>透明</t>
        </is>
      </c>
      <c r="N450" s="2" t="inlineStr"/>
      <c r="O450" s="2" t="inlineStr">
        <is>
          <t>Y</t>
        </is>
      </c>
      <c r="P450" s="2" t="n">
        <v>49</v>
      </c>
      <c r="Q450" s="2" t="inlineStr">
        <is>
          <t>2026-10-26</t>
        </is>
      </c>
      <c r="R450" s="3" t="inlineStr">
        <is>
          <t>https://shop.daiso.com.tw/products/4906137333010</t>
        </is>
      </c>
      <c r="S450" s="2" t="inlineStr">
        <is>
          <t>官網</t>
        </is>
      </c>
      <c r="T450" s="2" t="inlineStr">
        <is>
          <t>high</t>
        </is>
      </c>
      <c r="U450" s="2" t="inlineStr">
        <is>
          <t>PUCHIPLA CASE M；官方規格原文：6.5cm × 8.5cm × 3.4cm</t>
        </is>
      </c>
      <c r="V450" s="2" t="inlineStr"/>
    </row>
    <row r="451">
      <c r="A451" s="2" t="inlineStr">
        <is>
          <t>DAISO-079</t>
        </is>
      </c>
      <c r="B451" s="2" t="inlineStr">
        <is>
          <t>DAISO</t>
        </is>
      </c>
      <c r="C451" s="2" t="inlineStr">
        <is>
          <t>透明收納盒</t>
        </is>
      </c>
      <c r="D451" s="2" t="inlineStr">
        <is>
          <t>透明分隔收納盒/16.5x6x7.4cmクリアケースダブルタイプ</t>
        </is>
      </c>
      <c r="E451" s="2" t="inlineStr">
        <is>
          <t>4906137326210</t>
        </is>
      </c>
      <c r="F451" s="2" t="n">
        <v>16.5</v>
      </c>
      <c r="G451" s="2" t="n">
        <v>6</v>
      </c>
      <c r="H451" s="2" t="n">
        <v>7.4</v>
      </c>
      <c r="I451" s="2" t="n"/>
      <c r="J451" s="2" t="n"/>
      <c r="K451" s="2" t="n"/>
      <c r="L451" s="2" t="inlineStr"/>
      <c r="M451" s="2" t="inlineStr">
        <is>
          <t>透明</t>
        </is>
      </c>
      <c r="N451" s="2" t="inlineStr"/>
      <c r="O451" s="2" t="inlineStr">
        <is>
          <t>Y</t>
        </is>
      </c>
      <c r="P451" s="2" t="n">
        <v>49</v>
      </c>
      <c r="Q451" s="2" t="inlineStr">
        <is>
          <t>2026-10-26</t>
        </is>
      </c>
      <c r="R451" s="3" t="inlineStr">
        <is>
          <t>https://shop.daiso.com.tw/products/4906137326210</t>
        </is>
      </c>
      <c r="S451" s="2" t="inlineStr">
        <is>
          <t>官網</t>
        </is>
      </c>
      <c r="T451" s="2" t="inlineStr">
        <is>
          <t>medium</t>
        </is>
      </c>
      <c r="U451" s="2" t="inlineStr">
        <is>
          <t>雙格掀蓋式；官方規格未標示長寬高順序，依商品圖判讀高度；官方規格原文：約16.5x6x7.4cm</t>
        </is>
      </c>
      <c r="V451" s="2" t="inlineStr"/>
    </row>
    <row r="452">
      <c r="A452" s="2" t="inlineStr">
        <is>
          <t>DAISO-080</t>
        </is>
      </c>
      <c r="B452" s="2" t="inlineStr">
        <is>
          <t>DAISO</t>
        </is>
      </c>
      <c r="C452" s="2" t="inlineStr">
        <is>
          <t>透明收納盒</t>
        </is>
      </c>
      <c r="D452" s="2" t="inlineStr">
        <is>
          <t>透明收納盒/19.5x6.2x9.5cm</t>
        </is>
      </c>
      <c r="E452" s="2" t="inlineStr">
        <is>
          <t>4550480306384</t>
        </is>
      </c>
      <c r="F452" s="2" t="n">
        <v>19.5</v>
      </c>
      <c r="G452" s="2" t="n">
        <v>9.5</v>
      </c>
      <c r="H452" s="2" t="n">
        <v>6.2</v>
      </c>
      <c r="I452" s="2" t="n"/>
      <c r="J452" s="2" t="n"/>
      <c r="K452" s="2" t="n"/>
      <c r="L452" s="2" t="inlineStr"/>
      <c r="M452" s="2" t="inlineStr">
        <is>
          <t>透明</t>
        </is>
      </c>
      <c r="N452" s="2" t="inlineStr"/>
      <c r="O452" s="2" t="inlineStr">
        <is>
          <t>N</t>
        </is>
      </c>
      <c r="P452" s="2" t="n">
        <v>49</v>
      </c>
      <c r="Q452" s="2" t="inlineStr">
        <is>
          <t>2026-10-26</t>
        </is>
      </c>
      <c r="R452" s="3" t="inlineStr">
        <is>
          <t>https://shop.daiso.com.tw/products/4550480306384</t>
        </is>
      </c>
      <c r="S452" s="2" t="inlineStr">
        <is>
          <t>官網</t>
        </is>
      </c>
      <c r="T452" s="2" t="inlineStr">
        <is>
          <t>medium</t>
        </is>
      </c>
      <c r="U452" s="2" t="inlineStr">
        <is>
          <t>缺口設計方便拉取，可組合使用；官方規格未標示長寬高順序，依商品圖判讀高度；官方規格原文：19.5cm×6.2cm×9.5cm</t>
        </is>
      </c>
      <c r="V452" s="2" t="inlineStr"/>
    </row>
    <row r="453">
      <c r="A453" s="2" t="inlineStr">
        <is>
          <t>DAISO-081</t>
        </is>
      </c>
      <c r="B453" s="2" t="inlineStr">
        <is>
          <t>DAISO</t>
        </is>
      </c>
      <c r="C453" s="2" t="inlineStr">
        <is>
          <t>透明收納盒</t>
        </is>
      </c>
      <c r="D453" s="2" t="inlineStr">
        <is>
          <t>收納盒/10.7x15.5x4.1cm</t>
        </is>
      </c>
      <c r="E453" s="2" t="inlineStr">
        <is>
          <t>4906137328818</t>
        </is>
      </c>
      <c r="F453" s="2" t="n">
        <v>10.7</v>
      </c>
      <c r="G453" s="2" t="n">
        <v>15.5</v>
      </c>
      <c r="H453" s="2" t="n">
        <v>4.1</v>
      </c>
      <c r="I453" s="2" t="n"/>
      <c r="J453" s="2" t="n"/>
      <c r="K453" s="2" t="n"/>
      <c r="L453" s="2" t="inlineStr"/>
      <c r="M453" s="2" t="inlineStr">
        <is>
          <t>透明</t>
        </is>
      </c>
      <c r="N453" s="2" t="inlineStr"/>
      <c r="O453" s="2" t="inlineStr">
        <is>
          <t>Y</t>
        </is>
      </c>
      <c r="P453" s="2" t="n">
        <v>49</v>
      </c>
      <c r="Q453" s="2" t="inlineStr">
        <is>
          <t>2026-10-26</t>
        </is>
      </c>
      <c r="R453" s="3" t="inlineStr">
        <is>
          <t>https://shop.daiso.com.tw/products/4906137328818</t>
        </is>
      </c>
      <c r="S453" s="2" t="inlineStr">
        <is>
          <t>官網</t>
        </is>
      </c>
      <c r="T453" s="2" t="inlineStr">
        <is>
          <t>medium</t>
        </is>
      </c>
      <c r="U453" s="2" t="inlineStr">
        <is>
          <t>DISPLAY BOX L；商品頁無規格表，尺寸取自官方商品名稱；官方規格原文：（無規格表）</t>
        </is>
      </c>
      <c r="V453" s="2" t="inlineStr"/>
    </row>
    <row r="454">
      <c r="A454" s="2" t="inlineStr">
        <is>
          <t>DAISO-082</t>
        </is>
      </c>
      <c r="B454" s="2" t="inlineStr">
        <is>
          <t>DAISO</t>
        </is>
      </c>
      <c r="C454" s="2" t="inlineStr">
        <is>
          <t>收納盒</t>
        </is>
      </c>
      <c r="D454" s="2" t="inlineStr">
        <is>
          <t>收納盒/10.5×26.3×8.7cm</t>
        </is>
      </c>
      <c r="E454" s="2" t="inlineStr">
        <is>
          <t>4549131489477</t>
        </is>
      </c>
      <c r="F454" s="2" t="n">
        <v>10.5</v>
      </c>
      <c r="G454" s="2" t="n">
        <v>26.3</v>
      </c>
      <c r="H454" s="2" t="n">
        <v>8.699999999999999</v>
      </c>
      <c r="I454" s="2" t="n"/>
      <c r="J454" s="2" t="n"/>
      <c r="K454" s="2" t="n"/>
      <c r="L454" s="2" t="inlineStr"/>
      <c r="M454" s="2" t="inlineStr">
        <is>
          <t>透明</t>
        </is>
      </c>
      <c r="N454" s="2" t="inlineStr"/>
      <c r="O454" s="2" t="inlineStr">
        <is>
          <t>Y</t>
        </is>
      </c>
      <c r="P454" s="2" t="n">
        <v>49</v>
      </c>
      <c r="Q454" s="2" t="inlineStr">
        <is>
          <t>2026-10-26</t>
        </is>
      </c>
      <c r="R454" s="3" t="inlineStr">
        <is>
          <t>https://shop.daiso.com.tw/products/4549131489477</t>
        </is>
      </c>
      <c r="S454" s="2" t="inlineStr">
        <is>
          <t>官網</t>
        </is>
      </c>
      <c r="T454" s="2" t="inlineStr">
        <is>
          <t>medium</t>
        </is>
      </c>
      <c r="U454" s="2" t="inlineStr">
        <is>
          <t>長型附蓋盒；官方規格未標示長寬高順序，依商品圖判讀高度；官方規格原文：10.5 × 26.3 × 8.7 cm</t>
        </is>
      </c>
      <c r="V454" s="2" t="inlineStr"/>
    </row>
    <row r="455">
      <c r="A455" s="2" t="inlineStr">
        <is>
          <t>DAISO-083</t>
        </is>
      </c>
      <c r="B455" s="2" t="inlineStr">
        <is>
          <t>DAISO</t>
        </is>
      </c>
      <c r="C455" s="2" t="inlineStr">
        <is>
          <t>收納盒</t>
        </is>
      </c>
      <c r="D455" s="2" t="inlineStr">
        <is>
          <t>收納盒/10.4x6.9x24cm</t>
        </is>
      </c>
      <c r="E455" s="2" t="inlineStr">
        <is>
          <t>4550480392370</t>
        </is>
      </c>
      <c r="F455" s="2" t="n">
        <v>10.4</v>
      </c>
      <c r="G455" s="2" t="n">
        <v>24</v>
      </c>
      <c r="H455" s="2" t="n">
        <v>6.9</v>
      </c>
      <c r="I455" s="2" t="n"/>
      <c r="J455" s="2" t="n"/>
      <c r="K455" s="2" t="n"/>
      <c r="L455" s="2" t="inlineStr"/>
      <c r="M455" s="2" t="inlineStr">
        <is>
          <t>白</t>
        </is>
      </c>
      <c r="N455" s="2" t="inlineStr"/>
      <c r="O455" s="2" t="inlineStr">
        <is>
          <t>N</t>
        </is>
      </c>
      <c r="P455" s="2" t="n">
        <v>49</v>
      </c>
      <c r="Q455" s="2" t="inlineStr">
        <is>
          <t>2026-10-26</t>
        </is>
      </c>
      <c r="R455" s="3" t="inlineStr">
        <is>
          <t>https://shop.daiso.com.tw/products/4550480392370</t>
        </is>
      </c>
      <c r="S455" s="2" t="inlineStr">
        <is>
          <t>官網</t>
        </is>
      </c>
      <c r="T455" s="2" t="inlineStr">
        <is>
          <t>medium</t>
        </is>
      </c>
      <c r="U455" s="2" t="inlineStr">
        <is>
          <t>洞洞籃型；耐溫-20~100℃；官方規格未標示長寬高順序，依商品圖判讀高度；官方規格原文：10.4cm×6.9cm×24cm</t>
        </is>
      </c>
      <c r="V455" s="2" t="inlineStr"/>
    </row>
    <row r="456">
      <c r="A456" s="2" t="inlineStr">
        <is>
          <t>DAISO-084</t>
        </is>
      </c>
      <c r="B456" s="2" t="inlineStr">
        <is>
          <t>DAISO</t>
        </is>
      </c>
      <c r="C456" s="2" t="inlineStr">
        <is>
          <t>收納盒</t>
        </is>
      </c>
      <c r="D456" s="2" t="inlineStr">
        <is>
          <t>收納盒/13.5x6x33.2cm</t>
        </is>
      </c>
      <c r="E456" s="2" t="inlineStr">
        <is>
          <t>4906137308223</t>
        </is>
      </c>
      <c r="F456" s="2" t="n">
        <v>13.5</v>
      </c>
      <c r="G456" s="2" t="n">
        <v>33.2</v>
      </c>
      <c r="H456" s="2" t="n">
        <v>6</v>
      </c>
      <c r="I456" s="2" t="n"/>
      <c r="J456" s="2" t="n"/>
      <c r="K456" s="2" t="n"/>
      <c r="L456" s="2" t="inlineStr"/>
      <c r="M456" s="2" t="inlineStr">
        <is>
          <t>透明</t>
        </is>
      </c>
      <c r="N456" s="2" t="inlineStr"/>
      <c r="O456" s="2" t="inlineStr">
        <is>
          <t>N</t>
        </is>
      </c>
      <c r="P456" s="2" t="n">
        <v>49</v>
      </c>
      <c r="Q456" s="2" t="inlineStr">
        <is>
          <t>2026-10-26</t>
        </is>
      </c>
      <c r="R456" s="3" t="inlineStr">
        <is>
          <t>https://shop.daiso.com.tw/products/4906137308223</t>
        </is>
      </c>
      <c r="S456" s="2" t="inlineStr">
        <is>
          <t>官網</t>
        </is>
      </c>
      <c r="T456" s="2" t="inlineStr">
        <is>
          <t>medium</t>
        </is>
      </c>
      <c r="U456" s="2" t="inlineStr">
        <is>
          <t>A4長型籃；商品頁無規格表，尺寸取自官方商品名稱；官方規格未標示長寬高順序，依商品圖判讀高度；官方規格原文：（無規格表）</t>
        </is>
      </c>
      <c r="V456" s="2" t="inlineStr"/>
    </row>
    <row r="457">
      <c r="A457" s="2" t="inlineStr">
        <is>
          <t>DAISO-085</t>
        </is>
      </c>
      <c r="B457" s="2" t="inlineStr">
        <is>
          <t>DAISO</t>
        </is>
      </c>
      <c r="C457" s="2" t="inlineStr">
        <is>
          <t>收納盒</t>
        </is>
      </c>
      <c r="D457" s="2" t="inlineStr">
        <is>
          <t>收納盒/透明 30×6.3×20cm</t>
        </is>
      </c>
      <c r="E457" s="2" t="inlineStr">
        <is>
          <t>4550480842806</t>
        </is>
      </c>
      <c r="F457" s="2" t="n">
        <v>20</v>
      </c>
      <c r="G457" s="2" t="n">
        <v>30</v>
      </c>
      <c r="H457" s="2" t="n">
        <v>6.3</v>
      </c>
      <c r="I457" s="2" t="n"/>
      <c r="J457" s="2" t="n"/>
      <c r="K457" s="2" t="n"/>
      <c r="L457" s="2" t="inlineStr"/>
      <c r="M457" s="2" t="inlineStr">
        <is>
          <t>透明</t>
        </is>
      </c>
      <c r="N457" s="2" t="inlineStr"/>
      <c r="O457" s="2" t="inlineStr">
        <is>
          <t>N</t>
        </is>
      </c>
      <c r="P457" s="2" t="n">
        <v>99</v>
      </c>
      <c r="Q457" s="2" t="inlineStr">
        <is>
          <t>2026-10-26</t>
        </is>
      </c>
      <c r="R457" s="3" t="inlineStr">
        <is>
          <t>https://shop.daiso.com.tw/products/4550480842806</t>
        </is>
      </c>
      <c r="S457" s="2" t="inlineStr">
        <is>
          <t>官網</t>
        </is>
      </c>
      <c r="T457" s="2" t="inlineStr">
        <is>
          <t>medium</t>
        </is>
      </c>
      <c r="U457" s="2" t="inlineStr">
        <is>
          <t>透明淺盤型；官方規格未標示長寬高順序，依商品圖判讀高度；官方規格原文：30cm × 6.3cm × 20cm</t>
        </is>
      </c>
      <c r="V457" s="2" t="inlineStr"/>
    </row>
    <row r="458">
      <c r="A458" s="2" t="inlineStr">
        <is>
          <t>DAISO-086</t>
        </is>
      </c>
      <c r="B458" s="2" t="inlineStr">
        <is>
          <t>DAISO</t>
        </is>
      </c>
      <c r="C458" s="2" t="inlineStr">
        <is>
          <t>文具收納盒</t>
        </is>
      </c>
      <c r="D458" s="2" t="inlineStr">
        <is>
          <t>文具收納盒</t>
        </is>
      </c>
      <c r="E458" s="2" t="inlineStr">
        <is>
          <t>4984343997363</t>
        </is>
      </c>
      <c r="F458" s="2" t="n">
        <v>25.8</v>
      </c>
      <c r="G458" s="2" t="n">
        <v>14.3</v>
      </c>
      <c r="H458" s="2" t="n">
        <v>4.1</v>
      </c>
      <c r="I458" s="2" t="n"/>
      <c r="J458" s="2" t="n"/>
      <c r="K458" s="2" t="n"/>
      <c r="L458" s="2" t="inlineStr"/>
      <c r="M458" s="2" t="inlineStr">
        <is>
          <t>透明</t>
        </is>
      </c>
      <c r="N458" s="2" t="inlineStr"/>
      <c r="O458" s="2" t="inlineStr">
        <is>
          <t>Y</t>
        </is>
      </c>
      <c r="P458" s="2" t="n">
        <v>49</v>
      </c>
      <c r="Q458" s="2" t="inlineStr">
        <is>
          <t>2026-10-26</t>
        </is>
      </c>
      <c r="R458" s="3" t="inlineStr">
        <is>
          <t>https://shop.daiso.com.tw/products/4984343997363</t>
        </is>
      </c>
      <c r="S458" s="2" t="inlineStr">
        <is>
          <t>官網</t>
        </is>
      </c>
      <c r="T458" s="2" t="inlineStr">
        <is>
          <t>high</t>
        </is>
      </c>
      <c r="U458" s="2" t="inlineStr">
        <is>
          <t>附蓋文具收納盒；官方規格原文：約25.8cm×14.3cm×4.1cm</t>
        </is>
      </c>
      <c r="V458" s="2" t="inlineStr"/>
    </row>
    <row r="459">
      <c r="A459" s="2" t="inlineStr">
        <is>
          <t>DAISO-087</t>
        </is>
      </c>
      <c r="B459" s="2" t="inlineStr">
        <is>
          <t>DAISO</t>
        </is>
      </c>
      <c r="C459" s="2" t="inlineStr">
        <is>
          <t>收納盒</t>
        </is>
      </c>
      <c r="D459" s="2" t="inlineStr">
        <is>
          <t>收納盒/迷你 2入 8.5x5.4x6.5cm</t>
        </is>
      </c>
      <c r="E459" s="2" t="inlineStr">
        <is>
          <t>4550480364513</t>
        </is>
      </c>
      <c r="F459" s="2" t="n">
        <v>8.5</v>
      </c>
      <c r="G459" s="2" t="n">
        <v>5.4</v>
      </c>
      <c r="H459" s="2" t="n">
        <v>6.5</v>
      </c>
      <c r="I459" s="2" t="n"/>
      <c r="J459" s="2" t="n"/>
      <c r="K459" s="2" t="n"/>
      <c r="L459" s="2" t="inlineStr"/>
      <c r="M459" s="2" t="inlineStr">
        <is>
          <t>透明</t>
        </is>
      </c>
      <c r="N459" s="2" t="inlineStr"/>
      <c r="O459" s="2" t="inlineStr">
        <is>
          <t>Y</t>
        </is>
      </c>
      <c r="P459" s="2" t="n"/>
      <c r="Q459" s="2" t="inlineStr">
        <is>
          <t>2026-10-26</t>
        </is>
      </c>
      <c r="R459" s="3" t="inlineStr">
        <is>
          <t>https://shop.daiso.com.tw/products/4550480364513</t>
        </is>
      </c>
      <c r="S459" s="2" t="inlineStr">
        <is>
          <t>官網</t>
        </is>
      </c>
      <c r="T459" s="2" t="inlineStr">
        <is>
          <t>medium</t>
        </is>
      </c>
      <c r="U459" s="2" t="inlineStr">
        <is>
          <t>SET:4550480364513|49|2|2;迷你 2入；官方規格未標示長寬高順序，依商品圖判讀高度；官方規格原文：8.5cm×5.4cm×6.5cm</t>
        </is>
      </c>
      <c r="V459" s="2" t="inlineStr">
        <is>
          <t>整組 NT$49，此尺寸 2 件／共 2 件</t>
        </is>
      </c>
    </row>
    <row r="460">
      <c r="A460" s="2" t="inlineStr">
        <is>
          <t>DAISO-088</t>
        </is>
      </c>
      <c r="B460" s="2" t="inlineStr">
        <is>
          <t>DAISO</t>
        </is>
      </c>
      <c r="C460" s="2" t="inlineStr">
        <is>
          <t>花卉圖形收納盒</t>
        </is>
      </c>
      <c r="D460" s="2" t="inlineStr">
        <is>
          <t>花卉圖形收納盒/15.4x8.7x10.3cm 2入</t>
        </is>
      </c>
      <c r="E460" s="2" t="inlineStr">
        <is>
          <t>4550480306438</t>
        </is>
      </c>
      <c r="F460" s="2" t="n">
        <v>15.4</v>
      </c>
      <c r="G460" s="2" t="n">
        <v>10.3</v>
      </c>
      <c r="H460" s="2" t="n">
        <v>8.699999999999999</v>
      </c>
      <c r="I460" s="2" t="n"/>
      <c r="J460" s="2" t="n"/>
      <c r="K460" s="2" t="n"/>
      <c r="L460" s="2" t="inlineStr"/>
      <c r="M460" s="2" t="inlineStr">
        <is>
          <t>白/粉</t>
        </is>
      </c>
      <c r="N460" s="2" t="inlineStr"/>
      <c r="O460" s="2" t="inlineStr">
        <is>
          <t>N</t>
        </is>
      </c>
      <c r="P460" s="2" t="n"/>
      <c r="Q460" s="2" t="inlineStr">
        <is>
          <t>2026-10-26</t>
        </is>
      </c>
      <c r="R460" s="3" t="inlineStr">
        <is>
          <t>https://shop.daiso.com.tw/products/4550480306438</t>
        </is>
      </c>
      <c r="S460" s="2" t="inlineStr">
        <is>
          <t>官網</t>
        </is>
      </c>
      <c r="T460" s="2" t="inlineStr">
        <is>
          <t>medium</t>
        </is>
      </c>
      <c r="U460" s="2" t="inlineStr">
        <is>
          <t>SET:4550480306438|49|2|2;鏤空花形收納籃 2入；共四種尺寸，本列為15.4×8.7×10.3款；顏色隨機出貨；官方規格未標示長寬高順序，依商品圖判讀高度；官方規格原文：15.4cm×8.7cm×10.3cm</t>
        </is>
      </c>
      <c r="V460" s="2" t="inlineStr">
        <is>
          <t>整組 NT$49，此尺寸 2 件／共 2 件</t>
        </is>
      </c>
    </row>
    <row r="461">
      <c r="A461" s="2" t="inlineStr">
        <is>
          <t>DAISO-089</t>
        </is>
      </c>
      <c r="B461" s="2" t="inlineStr">
        <is>
          <t>DAISO</t>
        </is>
      </c>
      <c r="C461" s="2" t="inlineStr">
        <is>
          <t>手提收納盒</t>
        </is>
      </c>
      <c r="D461" s="2" t="inlineStr">
        <is>
          <t>手提收納盒/22.3x15x18cm</t>
        </is>
      </c>
      <c r="E461" s="2" t="inlineStr">
        <is>
          <t>4550480338903</t>
        </is>
      </c>
      <c r="F461" s="2" t="n">
        <v>22.3</v>
      </c>
      <c r="G461" s="2" t="n">
        <v>15</v>
      </c>
      <c r="H461" s="2" t="n">
        <v>18</v>
      </c>
      <c r="I461" s="2" t="n"/>
      <c r="J461" s="2" t="n"/>
      <c r="K461" s="2" t="n"/>
      <c r="L461" s="2" t="inlineStr"/>
      <c r="M461" s="2" t="inlineStr">
        <is>
          <t>透明</t>
        </is>
      </c>
      <c r="N461" s="2" t="inlineStr"/>
      <c r="O461" s="2" t="inlineStr">
        <is>
          <t>Y</t>
        </is>
      </c>
      <c r="P461" s="2" t="n">
        <v>69</v>
      </c>
      <c r="Q461" s="2" t="inlineStr">
        <is>
          <t>2026-10-26</t>
        </is>
      </c>
      <c r="R461" s="3" t="inlineStr">
        <is>
          <t>https://shop.daiso.com.tw/products/4550480338903</t>
        </is>
      </c>
      <c r="S461" s="2" t="inlineStr">
        <is>
          <t>官網</t>
        </is>
      </c>
      <c r="T461" s="2" t="inlineStr">
        <is>
          <t>medium</t>
        </is>
      </c>
      <c r="U461" s="2" t="inlineStr">
        <is>
          <t>STOCK BOX（附提把、扣鎖）；官方規格未標示長寬高順序，依商品圖判讀高度；官方規格原文：22.3cm×15cm×18cm</t>
        </is>
      </c>
      <c r="V461" s="2" t="inlineStr"/>
    </row>
    <row r="462">
      <c r="A462" s="2" t="inlineStr">
        <is>
          <t>DAISO-090</t>
        </is>
      </c>
      <c r="B462" s="2" t="inlineStr">
        <is>
          <t>DAISO</t>
        </is>
      </c>
      <c r="C462" s="2" t="inlineStr">
        <is>
          <t>手提收納盒</t>
        </is>
      </c>
      <c r="D462" s="2" t="inlineStr">
        <is>
          <t>手提收納盒/22.6x17.4x17cm</t>
        </is>
      </c>
      <c r="E462" s="2" t="inlineStr">
        <is>
          <t>4550480364629</t>
        </is>
      </c>
      <c r="F462" s="2" t="n">
        <v>22.6</v>
      </c>
      <c r="G462" s="2" t="n">
        <v>17</v>
      </c>
      <c r="H462" s="2" t="n">
        <v>17.4</v>
      </c>
      <c r="I462" s="2" t="n"/>
      <c r="J462" s="2" t="n"/>
      <c r="K462" s="2" t="n"/>
      <c r="L462" s="2" t="inlineStr"/>
      <c r="M462" s="2" t="inlineStr">
        <is>
          <t>透明</t>
        </is>
      </c>
      <c r="N462" s="2" t="inlineStr"/>
      <c r="O462" s="2" t="inlineStr">
        <is>
          <t>Y</t>
        </is>
      </c>
      <c r="P462" s="2" t="n">
        <v>69</v>
      </c>
      <c r="Q462" s="2" t="inlineStr">
        <is>
          <t>2026-10-26</t>
        </is>
      </c>
      <c r="R462" s="3" t="inlineStr">
        <is>
          <t>https://shop.daiso.com.tw/products/4550480364629</t>
        </is>
      </c>
      <c r="S462" s="2" t="inlineStr">
        <is>
          <t>官網</t>
        </is>
      </c>
      <c r="T462" s="2" t="inlineStr">
        <is>
          <t>medium</t>
        </is>
      </c>
      <c r="U462" s="2" t="inlineStr">
        <is>
          <t>STOCK BOX；官方規格未標示長寬高順序，依同系列(4550480364xxx)寬×高×深寫法判讀；官方規格原文：22.6cm×17.4cm×17cm</t>
        </is>
      </c>
      <c r="V462" s="2" t="inlineStr"/>
    </row>
    <row r="463">
      <c r="A463" s="2" t="inlineStr">
        <is>
          <t>DAISO-091</t>
        </is>
      </c>
      <c r="B463" s="2" t="inlineStr">
        <is>
          <t>DAISO</t>
        </is>
      </c>
      <c r="C463" s="2" t="inlineStr">
        <is>
          <t>手提收納盒</t>
        </is>
      </c>
      <c r="D463" s="2" t="inlineStr">
        <is>
          <t>手提收納盒/27.5x17.4x20.6cm</t>
        </is>
      </c>
      <c r="E463" s="2" t="inlineStr">
        <is>
          <t>4550480364636</t>
        </is>
      </c>
      <c r="F463" s="2" t="n">
        <v>27.5</v>
      </c>
      <c r="G463" s="2" t="n">
        <v>20.6</v>
      </c>
      <c r="H463" s="2" t="n">
        <v>17.4</v>
      </c>
      <c r="I463" s="2" t="n"/>
      <c r="J463" s="2" t="n"/>
      <c r="K463" s="2" t="n"/>
      <c r="L463" s="2" t="inlineStr"/>
      <c r="M463" s="2" t="inlineStr">
        <is>
          <t>透明</t>
        </is>
      </c>
      <c r="N463" s="2" t="inlineStr"/>
      <c r="O463" s="2" t="inlineStr">
        <is>
          <t>Y</t>
        </is>
      </c>
      <c r="P463" s="2" t="n">
        <v>99</v>
      </c>
      <c r="Q463" s="2" t="inlineStr">
        <is>
          <t>2026-10-26</t>
        </is>
      </c>
      <c r="R463" s="3" t="inlineStr">
        <is>
          <t>https://shop.daiso.com.tw/products/4550480364636</t>
        </is>
      </c>
      <c r="S463" s="2" t="inlineStr">
        <is>
          <t>官網</t>
        </is>
      </c>
      <c r="T463" s="2" t="inlineStr">
        <is>
          <t>medium</t>
        </is>
      </c>
      <c r="U463" s="2" t="inlineStr">
        <is>
          <t>STOCK BOX；官方規格未標示長寬高順序，依同系列(4550480364xxx)寬×高×深寫法判讀；官方規格原文：27.5cm×17.4cm×20.6cm</t>
        </is>
      </c>
      <c r="V463" s="2" t="inlineStr"/>
    </row>
    <row r="464">
      <c r="A464" s="2" t="inlineStr">
        <is>
          <t>DAISO-092</t>
        </is>
      </c>
      <c r="B464" s="2" t="inlineStr">
        <is>
          <t>DAISO</t>
        </is>
      </c>
      <c r="C464" s="2" t="inlineStr">
        <is>
          <t>手提收納盒</t>
        </is>
      </c>
      <c r="D464" s="2" t="inlineStr">
        <is>
          <t>手提收納箱/16.5x11.5x15.5cm</t>
        </is>
      </c>
      <c r="E464" s="2" t="inlineStr">
        <is>
          <t>4550480364605</t>
        </is>
      </c>
      <c r="F464" s="2" t="n">
        <v>16.5</v>
      </c>
      <c r="G464" s="2" t="n">
        <v>15.5</v>
      </c>
      <c r="H464" s="2" t="n">
        <v>11.5</v>
      </c>
      <c r="I464" s="2" t="n"/>
      <c r="J464" s="2" t="n"/>
      <c r="K464" s="2" t="n"/>
      <c r="L464" s="2" t="inlineStr"/>
      <c r="M464" s="2" t="inlineStr">
        <is>
          <t>透明</t>
        </is>
      </c>
      <c r="N464" s="2" t="inlineStr"/>
      <c r="O464" s="2" t="inlineStr">
        <is>
          <t>Y</t>
        </is>
      </c>
      <c r="P464" s="2" t="n">
        <v>49</v>
      </c>
      <c r="Q464" s="2" t="inlineStr">
        <is>
          <t>2026-10-26</t>
        </is>
      </c>
      <c r="R464" s="3" t="inlineStr">
        <is>
          <t>https://shop.daiso.com.tw/products/4550480364605</t>
        </is>
      </c>
      <c r="S464" s="2" t="inlineStr">
        <is>
          <t>官網</t>
        </is>
      </c>
      <c r="T464" s="2" t="inlineStr">
        <is>
          <t>medium</t>
        </is>
      </c>
      <c r="U464" s="2" t="inlineStr">
        <is>
          <t>耐溫-20~120℃；官方規格未標示長寬高順序，依商品圖判讀高度；官方規格原文：16.5cm×11.5cm×15.5cm</t>
        </is>
      </c>
      <c r="V464" s="2" t="inlineStr"/>
    </row>
    <row r="465">
      <c r="A465" s="2" t="inlineStr">
        <is>
          <t>DAISO-093</t>
        </is>
      </c>
      <c r="B465" s="2" t="inlineStr">
        <is>
          <t>DAISO</t>
        </is>
      </c>
      <c r="C465" s="2" t="inlineStr">
        <is>
          <t>手提收納盒</t>
        </is>
      </c>
      <c r="D465" s="2" t="inlineStr">
        <is>
          <t>手提收納盒/附隔板 16x6.5x9.6cm</t>
        </is>
      </c>
      <c r="E465" s="2" t="inlineStr">
        <is>
          <t>4550480364575</t>
        </is>
      </c>
      <c r="F465" s="2" t="n">
        <v>16</v>
      </c>
      <c r="G465" s="2" t="n">
        <v>9.6</v>
      </c>
      <c r="H465" s="2" t="n">
        <v>6.5</v>
      </c>
      <c r="I465" s="2" t="n"/>
      <c r="J465" s="2" t="n"/>
      <c r="K465" s="2" t="n"/>
      <c r="L465" s="2" t="inlineStr"/>
      <c r="M465" s="2" t="inlineStr">
        <is>
          <t>透明</t>
        </is>
      </c>
      <c r="N465" s="2" t="inlineStr"/>
      <c r="O465" s="2" t="inlineStr">
        <is>
          <t>Y</t>
        </is>
      </c>
      <c r="P465" s="2" t="n">
        <v>49</v>
      </c>
      <c r="Q465" s="2" t="inlineStr">
        <is>
          <t>2026-10-26</t>
        </is>
      </c>
      <c r="R465" s="3" t="inlineStr">
        <is>
          <t>https://shop.daiso.com.tw/products/4550480364575</t>
        </is>
      </c>
      <c r="S465" s="2" t="inlineStr">
        <is>
          <t>官網</t>
        </is>
      </c>
      <c r="T465" s="2" t="inlineStr">
        <is>
          <t>medium</t>
        </is>
      </c>
      <c r="U465" s="2" t="inlineStr">
        <is>
          <t>ハンドルBOX，附隔板；耐溫-20~120℃；官方規格未標示長寬高順序，依商品圖判讀高度；官方規格原文：16cm×6.5cm×9.6cm</t>
        </is>
      </c>
      <c r="V465" s="2" t="inlineStr"/>
    </row>
    <row r="466">
      <c r="A466" s="2" t="inlineStr">
        <is>
          <t>DAISO-094</t>
        </is>
      </c>
      <c r="B466" s="2" t="inlineStr">
        <is>
          <t>DAISO</t>
        </is>
      </c>
      <c r="C466" s="2" t="inlineStr">
        <is>
          <t>手提收納盒</t>
        </is>
      </c>
      <c r="D466" s="2" t="inlineStr">
        <is>
          <t>手提收納盒/米色9.7x6.6x9cm</t>
        </is>
      </c>
      <c r="E466" s="2" t="inlineStr">
        <is>
          <t>4939491802243/4939491802250</t>
        </is>
      </c>
      <c r="F466" s="2" t="n">
        <v>9.699999999999999</v>
      </c>
      <c r="G466" s="2" t="n">
        <v>6.6</v>
      </c>
      <c r="H466" s="2" t="n">
        <v>9</v>
      </c>
      <c r="I466" s="2" t="n"/>
      <c r="J466" s="2" t="n"/>
      <c r="K466" s="2" t="n"/>
      <c r="L466" s="2" t="inlineStr"/>
      <c r="M466" s="2" t="inlineStr">
        <is>
          <t>米/綠</t>
        </is>
      </c>
      <c r="N466" s="2" t="inlineStr"/>
      <c r="O466" s="2" t="inlineStr">
        <is>
          <t>Y</t>
        </is>
      </c>
      <c r="P466" s="2" t="n">
        <v>49</v>
      </c>
      <c r="Q466" s="2" t="inlineStr">
        <is>
          <t>2026-10-26</t>
        </is>
      </c>
      <c r="R466" s="3" t="inlineStr">
        <is>
          <t>https://shop.daiso.com.tw/products/4939491802243</t>
        </is>
      </c>
      <c r="S466" s="2" t="inlineStr">
        <is>
          <t>官網</t>
        </is>
      </c>
      <c r="T466" s="2" t="inlineStr">
        <is>
          <t>medium</t>
        </is>
      </c>
      <c r="U466" s="2" t="inlineStr">
        <is>
          <t>Mini storage box，卡扣式；日本製；官方規格未標示長寬高順序，依商品圖判讀高度；官方規格原文：9.7×6.6×9cm</t>
        </is>
      </c>
      <c r="V466" s="2" t="inlineStr"/>
    </row>
    <row r="467">
      <c r="A467" s="2" t="inlineStr">
        <is>
          <t>DAISO-095</t>
        </is>
      </c>
      <c r="B467" s="2" t="inlineStr">
        <is>
          <t>DAISO</t>
        </is>
      </c>
      <c r="C467" s="2" t="inlineStr">
        <is>
          <t>工業風折疊收納籃</t>
        </is>
      </c>
      <c r="D467" s="2" t="inlineStr">
        <is>
          <t>工業風折疊收納籃/灰 30x12.3x20cm</t>
        </is>
      </c>
      <c r="E467" s="2" t="inlineStr">
        <is>
          <t>4550480144894</t>
        </is>
      </c>
      <c r="F467" s="2" t="n">
        <v>30</v>
      </c>
      <c r="G467" s="2" t="n">
        <v>20</v>
      </c>
      <c r="H467" s="2" t="n">
        <v>12.3</v>
      </c>
      <c r="I467" s="2" t="n"/>
      <c r="J467" s="2" t="n"/>
      <c r="K467" s="2" t="n"/>
      <c r="L467" s="2" t="inlineStr"/>
      <c r="M467" s="2" t="inlineStr">
        <is>
          <t>灰</t>
        </is>
      </c>
      <c r="N467" s="2" t="inlineStr"/>
      <c r="O467" s="2" t="inlineStr">
        <is>
          <t>N</t>
        </is>
      </c>
      <c r="P467" s="2" t="n">
        <v>69</v>
      </c>
      <c r="Q467" s="2" t="inlineStr">
        <is>
          <t>2026-10-26</t>
        </is>
      </c>
      <c r="R467" s="3" t="inlineStr">
        <is>
          <t>https://shop.daiso.com.tw/products/4550480144894</t>
        </is>
      </c>
      <c r="S467" s="2" t="inlineStr">
        <is>
          <t>官網</t>
        </is>
      </c>
      <c r="T467" s="2" t="inlineStr">
        <is>
          <t>high</t>
        </is>
      </c>
      <c r="U467" s="2" t="inlineStr">
        <is>
          <t>商品圖標示 幅30×奥行20×高さ12.3cm（台灣規格表寫30×12.3×20）；耐熱120℃；官方規格原文：30cm×12.3cm×20cm</t>
        </is>
      </c>
      <c r="V467" s="2" t="inlineStr"/>
    </row>
    <row r="468">
      <c r="A468" s="2" t="inlineStr">
        <is>
          <t>DAISO-096</t>
        </is>
      </c>
      <c r="B468" s="2" t="inlineStr">
        <is>
          <t>DAISO</t>
        </is>
      </c>
      <c r="C468" s="2" t="inlineStr">
        <is>
          <t>工業風折疊收納籃</t>
        </is>
      </c>
      <c r="D468" s="2" t="inlineStr">
        <is>
          <t>工業風折疊收納籃/灰色 40x27.7x15.7cm</t>
        </is>
      </c>
      <c r="E468" s="2" t="inlineStr">
        <is>
          <t>4550480144917</t>
        </is>
      </c>
      <c r="F468" s="2" t="n">
        <v>40</v>
      </c>
      <c r="G468" s="2" t="n">
        <v>27.7</v>
      </c>
      <c r="H468" s="2" t="n">
        <v>15.7</v>
      </c>
      <c r="I468" s="2" t="n"/>
      <c r="J468" s="2" t="n"/>
      <c r="K468" s="2" t="n"/>
      <c r="L468" s="2" t="inlineStr"/>
      <c r="M468" s="2" t="inlineStr">
        <is>
          <t>灰</t>
        </is>
      </c>
      <c r="N468" s="2" t="inlineStr">
        <is>
          <t>Y</t>
        </is>
      </c>
      <c r="O468" s="2" t="inlineStr">
        <is>
          <t>N</t>
        </is>
      </c>
      <c r="P468" s="2" t="n">
        <v>99</v>
      </c>
      <c r="Q468" s="2" t="inlineStr">
        <is>
          <t>2026-10-26</t>
        </is>
      </c>
      <c r="R468" s="3" t="inlineStr">
        <is>
          <t>https://shop.daiso.com.tw/products/4550480144917</t>
        </is>
      </c>
      <c r="S468" s="2" t="inlineStr">
        <is>
          <t>官網</t>
        </is>
      </c>
      <c r="T468" s="2" t="inlineStr">
        <is>
          <t>medium</t>
        </is>
      </c>
      <c r="U468" s="2" t="inlineStr">
        <is>
          <t>官方：可堆疊設計；耐熱120℃；官方規格未標示長寬高順序，依商品圖判讀高度；官方規格原文：120°C</t>
        </is>
      </c>
      <c r="V468" s="2" t="inlineStr"/>
    </row>
    <row r="469">
      <c r="A469" s="2" t="inlineStr">
        <is>
          <t>DAISO-097</t>
        </is>
      </c>
      <c r="B469" s="2" t="inlineStr">
        <is>
          <t>DAISO</t>
        </is>
      </c>
      <c r="C469" s="2" t="inlineStr">
        <is>
          <t>折疊收納籃</t>
        </is>
      </c>
      <c r="D469" s="2" t="inlineStr">
        <is>
          <t>折疊收納籃/15×10×6cm</t>
        </is>
      </c>
      <c r="E469" s="2" t="inlineStr">
        <is>
          <t>4550480804842</t>
        </is>
      </c>
      <c r="F469" s="2" t="n">
        <v>15</v>
      </c>
      <c r="G469" s="2" t="n">
        <v>10</v>
      </c>
      <c r="H469" s="2" t="n">
        <v>6</v>
      </c>
      <c r="I469" s="2" t="n"/>
      <c r="J469" s="2" t="n"/>
      <c r="K469" s="2" t="n"/>
      <c r="L469" s="2" t="inlineStr"/>
      <c r="M469" s="2" t="inlineStr">
        <is>
          <t>灰</t>
        </is>
      </c>
      <c r="N469" s="2" t="inlineStr"/>
      <c r="O469" s="2" t="inlineStr">
        <is>
          <t>N</t>
        </is>
      </c>
      <c r="P469" s="2" t="n">
        <v>49</v>
      </c>
      <c r="Q469" s="2" t="inlineStr">
        <is>
          <t>2026-10-26</t>
        </is>
      </c>
      <c r="R469" s="3" t="inlineStr">
        <is>
          <t>https://shop.daiso.com.tw/products/4550480804842</t>
        </is>
      </c>
      <c r="S469" s="2" t="inlineStr">
        <is>
          <t>官網</t>
        </is>
      </c>
      <c r="T469" s="2" t="inlineStr">
        <is>
          <t>high</t>
        </is>
      </c>
      <c r="U469" s="2" t="inlineStr">
        <is>
          <t>官方規格原文：15cm × 10cm × 6cm</t>
        </is>
      </c>
      <c r="V469" s="2" t="inlineStr"/>
    </row>
    <row r="470">
      <c r="A470" s="2" t="inlineStr">
        <is>
          <t>DAISO-098</t>
        </is>
      </c>
      <c r="B470" s="2" t="inlineStr">
        <is>
          <t>DAISO</t>
        </is>
      </c>
      <c r="C470" s="2" t="inlineStr">
        <is>
          <t>提把收納籃</t>
        </is>
      </c>
      <c r="D470" s="2" t="inlineStr">
        <is>
          <t>提把收納籃/白 15.9x11.2x27.9cm</t>
        </is>
      </c>
      <c r="E470" s="2" t="inlineStr">
        <is>
          <t>4550480380261</t>
        </is>
      </c>
      <c r="F470" s="2" t="n">
        <v>15.9</v>
      </c>
      <c r="G470" s="2" t="n">
        <v>27.9</v>
      </c>
      <c r="H470" s="2" t="n">
        <v>11.2</v>
      </c>
      <c r="I470" s="2" t="n"/>
      <c r="J470" s="2" t="n"/>
      <c r="K470" s="2" t="n"/>
      <c r="L470" s="2" t="inlineStr"/>
      <c r="M470" s="2" t="inlineStr">
        <is>
          <t>白</t>
        </is>
      </c>
      <c r="N470" s="2" t="inlineStr"/>
      <c r="O470" s="2" t="inlineStr">
        <is>
          <t>N</t>
        </is>
      </c>
      <c r="P470" s="2" t="n">
        <v>49</v>
      </c>
      <c r="Q470" s="2" t="inlineStr">
        <is>
          <t>2026-10-26</t>
        </is>
      </c>
      <c r="R470" s="3" t="inlineStr">
        <is>
          <t>https://shop.daiso.com.tw/products/4550480380261</t>
        </is>
      </c>
      <c r="S470" s="2" t="inlineStr">
        <is>
          <t>官網</t>
        </is>
      </c>
      <c r="T470" s="2" t="inlineStr">
        <is>
          <t>medium</t>
        </is>
      </c>
      <c r="U470" s="2" t="inlineStr">
        <is>
          <t>耐熱100℃；商品圖為櫥櫃內拉取式長籃；官方規格未標示長寬高順序，依商品圖判讀高度；官方規格原文：15.9cm×11.2cm×27.9cm</t>
        </is>
      </c>
      <c r="V470" s="2" t="inlineStr"/>
    </row>
    <row r="471">
      <c r="A471" s="2" t="inlineStr">
        <is>
          <t>DAISO-099</t>
        </is>
      </c>
      <c r="B471" s="2" t="inlineStr">
        <is>
          <t>DAISO</t>
        </is>
      </c>
      <c r="C471" s="2" t="inlineStr">
        <is>
          <t>提把收納籃</t>
        </is>
      </c>
      <c r="D471" s="2" t="inlineStr">
        <is>
          <t>提把收納籃/白 15.9x13.5x33.1cm</t>
        </is>
      </c>
      <c r="E471" s="2" t="inlineStr">
        <is>
          <t>4550480392363</t>
        </is>
      </c>
      <c r="F471" s="2" t="n">
        <v>15.9</v>
      </c>
      <c r="G471" s="2" t="n">
        <v>33.1</v>
      </c>
      <c r="H471" s="2" t="n">
        <v>13.5</v>
      </c>
      <c r="I471" s="2" t="n"/>
      <c r="J471" s="2" t="n"/>
      <c r="K471" s="2" t="n"/>
      <c r="L471" s="2" t="inlineStr"/>
      <c r="M471" s="2" t="inlineStr">
        <is>
          <t>白</t>
        </is>
      </c>
      <c r="N471" s="2" t="inlineStr"/>
      <c r="O471" s="2" t="inlineStr">
        <is>
          <t>N</t>
        </is>
      </c>
      <c r="P471" s="2" t="n">
        <v>49</v>
      </c>
      <c r="Q471" s="2" t="inlineStr">
        <is>
          <t>2026-10-26</t>
        </is>
      </c>
      <c r="R471" s="3" t="inlineStr">
        <is>
          <t>https://shop.daiso.com.tw/products/4550480392363</t>
        </is>
      </c>
      <c r="S471" s="2" t="inlineStr">
        <is>
          <t>官網</t>
        </is>
      </c>
      <c r="T471" s="2" t="inlineStr">
        <is>
          <t>medium</t>
        </is>
      </c>
      <c r="U471" s="2" t="inlineStr">
        <is>
          <t>耐熱100℃；官方：帶有提把方便取用，可存放廚房、洗衣房的備品；官方規格未標示長寬高順序，依商品圖判讀高度；官方規格原文：15.9cm×13.5cm×33.1cm</t>
        </is>
      </c>
      <c r="V471" s="2" t="inlineStr"/>
    </row>
    <row r="472">
      <c r="A472" s="2" t="inlineStr">
        <is>
          <t>DAISO-100</t>
        </is>
      </c>
      <c r="B472" s="2" t="inlineStr">
        <is>
          <t>DAISO</t>
        </is>
      </c>
      <c r="C472" s="2" t="inlineStr">
        <is>
          <t>收納籃</t>
        </is>
      </c>
      <c r="D472" s="2" t="inlineStr">
        <is>
          <t>收納籃/白 26.8x8x36.8cm</t>
        </is>
      </c>
      <c r="E472" s="2" t="inlineStr">
        <is>
          <t>4550480392448</t>
        </is>
      </c>
      <c r="F472" s="2" t="n">
        <v>26.8</v>
      </c>
      <c r="G472" s="2" t="n">
        <v>36.8</v>
      </c>
      <c r="H472" s="2" t="n">
        <v>8</v>
      </c>
      <c r="I472" s="2" t="n"/>
      <c r="J472" s="2" t="n"/>
      <c r="K472" s="2" t="n"/>
      <c r="L472" s="2" t="inlineStr"/>
      <c r="M472" s="2" t="inlineStr">
        <is>
          <t>白</t>
        </is>
      </c>
      <c r="N472" s="2" t="inlineStr"/>
      <c r="O472" s="2" t="inlineStr">
        <is>
          <t>N</t>
        </is>
      </c>
      <c r="P472" s="2" t="n">
        <v>49</v>
      </c>
      <c r="Q472" s="2" t="inlineStr">
        <is>
          <t>2026-10-26</t>
        </is>
      </c>
      <c r="R472" s="3" t="inlineStr">
        <is>
          <t>https://shop.daiso.com.tw/products/4550480392448</t>
        </is>
      </c>
      <c r="S472" s="2" t="inlineStr">
        <is>
          <t>官網</t>
        </is>
      </c>
      <c r="T472" s="2" t="inlineStr">
        <is>
          <t>medium</t>
        </is>
      </c>
      <c r="U472" s="2" t="inlineStr">
        <is>
          <t>官方：可容納A4大小的文件；耐熱100℃；官方規格未標示長寬高順序，依商品圖判讀高度；官方規格原文：26.8cm×8cm×36.8cm</t>
        </is>
      </c>
      <c r="V472" s="2" t="inlineStr"/>
    </row>
    <row r="473">
      <c r="A473" s="2" t="inlineStr">
        <is>
          <t>DAISO-101</t>
        </is>
      </c>
      <c r="B473" s="2" t="inlineStr">
        <is>
          <t>DAISO</t>
        </is>
      </c>
      <c r="C473" s="2" t="inlineStr">
        <is>
          <t>網狀收納籃</t>
        </is>
      </c>
      <c r="D473" s="2" t="inlineStr">
        <is>
          <t>深型網狀收納籃/39x28x13cm</t>
        </is>
      </c>
      <c r="E473" s="2" t="inlineStr">
        <is>
          <t>4549131960310</t>
        </is>
      </c>
      <c r="F473" s="2" t="n">
        <v>39</v>
      </c>
      <c r="G473" s="2" t="n">
        <v>28</v>
      </c>
      <c r="H473" s="2" t="n">
        <v>13</v>
      </c>
      <c r="I473" s="2" t="n"/>
      <c r="J473" s="2" t="n"/>
      <c r="K473" s="2" t="n"/>
      <c r="L473" s="2" t="inlineStr"/>
      <c r="M473" s="2" t="inlineStr">
        <is>
          <t>黑/白</t>
        </is>
      </c>
      <c r="N473" s="2" t="inlineStr"/>
      <c r="O473" s="2" t="inlineStr">
        <is>
          <t>N</t>
        </is>
      </c>
      <c r="P473" s="2" t="n">
        <v>49</v>
      </c>
      <c r="Q473" s="2" t="inlineStr">
        <is>
          <t>2026-10-26</t>
        </is>
      </c>
      <c r="R473" s="3" t="inlineStr">
        <is>
          <t>https://shop.daiso.com.tw/products/4549131960310</t>
        </is>
      </c>
      <c r="S473" s="2" t="inlineStr">
        <is>
          <t>官網</t>
        </is>
      </c>
      <c r="T473" s="2" t="inlineStr">
        <is>
          <t>medium</t>
        </is>
      </c>
      <c r="U473" s="2" t="inlineStr">
        <is>
          <t>深型；規格表寫28×39×13，商品名稱寫39×28×13；顏色隨機出貨；官方規格原文：黑、白共2色，隨機出貨</t>
        </is>
      </c>
      <c r="V473" s="2" t="inlineStr"/>
    </row>
    <row r="474">
      <c r="A474" s="2" t="inlineStr">
        <is>
          <t>DAISO-102</t>
        </is>
      </c>
      <c r="B474" s="2" t="inlineStr">
        <is>
          <t>DAISO</t>
        </is>
      </c>
      <c r="C474" s="2" t="inlineStr">
        <is>
          <t>收納籃</t>
        </is>
      </c>
      <c r="D474" s="2" t="inlineStr">
        <is>
          <t>收納籃/紙製 寬幅 19×12.5×27cm</t>
        </is>
      </c>
      <c r="E474" s="2" t="inlineStr">
        <is>
          <t>4550480957166</t>
        </is>
      </c>
      <c r="F474" s="2" t="n">
        <v>27</v>
      </c>
      <c r="G474" s="2" t="n">
        <v>19</v>
      </c>
      <c r="H474" s="2" t="n">
        <v>12.5</v>
      </c>
      <c r="I474" s="2" t="n"/>
      <c r="J474" s="2" t="n"/>
      <c r="K474" s="2" t="n"/>
      <c r="L474" s="2" t="inlineStr">
        <is>
          <t>紙</t>
        </is>
      </c>
      <c r="M474" s="2" t="inlineStr">
        <is>
          <t>棕/灰</t>
        </is>
      </c>
      <c r="N474" s="2" t="inlineStr"/>
      <c r="O474" s="2" t="inlineStr">
        <is>
          <t>N</t>
        </is>
      </c>
      <c r="P474" s="2" t="n">
        <v>99</v>
      </c>
      <c r="Q474" s="2" t="inlineStr">
        <is>
          <t>2026-10-26</t>
        </is>
      </c>
      <c r="R474" s="3" t="inlineStr">
        <is>
          <t>https://shop.daiso.com.tw/products/4550480957166</t>
        </is>
      </c>
      <c r="S474" s="2" t="inlineStr">
        <is>
          <t>官網</t>
        </is>
      </c>
      <c r="T474" s="2" t="inlineStr">
        <is>
          <t>medium</t>
        </is>
      </c>
      <c r="U474" s="2" t="inlineStr">
        <is>
          <t>紙製寬幅編織籃；官方寫19×12.5×27；顏色隨機出貨；依商品圖判讀高度；官方規格原文：19cm × 12.5cm × 27cm</t>
        </is>
      </c>
      <c r="V474" s="2" t="inlineStr"/>
    </row>
    <row r="475">
      <c r="A475" s="2" t="inlineStr">
        <is>
          <t>DAISO-103</t>
        </is>
      </c>
      <c r="B475" s="2" t="inlineStr">
        <is>
          <t>DAISO</t>
        </is>
      </c>
      <c r="C475" s="2" t="inlineStr">
        <is>
          <t>粉霧收納盒</t>
        </is>
      </c>
      <c r="D475" s="2" t="inlineStr">
        <is>
          <t>粉霧收納盒/深灰 37x25x11.5cm</t>
        </is>
      </c>
      <c r="E475" s="2" t="inlineStr">
        <is>
          <t>4549131611021</t>
        </is>
      </c>
      <c r="F475" s="2" t="n">
        <v>37</v>
      </c>
      <c r="G475" s="2" t="n">
        <v>25</v>
      </c>
      <c r="H475" s="2" t="n">
        <v>11.5</v>
      </c>
      <c r="I475" s="2" t="n"/>
      <c r="J475" s="2" t="n"/>
      <c r="K475" s="2" t="n"/>
      <c r="L475" s="2" t="inlineStr"/>
      <c r="M475" s="2" t="inlineStr">
        <is>
          <t>深灰</t>
        </is>
      </c>
      <c r="N475" s="2" t="inlineStr"/>
      <c r="O475" s="2" t="inlineStr">
        <is>
          <t>N</t>
        </is>
      </c>
      <c r="P475" s="2" t="n">
        <v>49</v>
      </c>
      <c r="Q475" s="2" t="inlineStr">
        <is>
          <t>2026-10-26</t>
        </is>
      </c>
      <c r="R475" s="3" t="inlineStr">
        <is>
          <t>https://shop.daiso.com.tw/products/4549131611021</t>
        </is>
      </c>
      <c r="S475" s="2" t="inlineStr">
        <is>
          <t>官網</t>
        </is>
      </c>
      <c r="T475" s="2" t="inlineStr">
        <is>
          <t>high</t>
        </is>
      </c>
      <c r="U475" s="2" t="inlineStr">
        <is>
          <t>規格表寫37×11.5×25，商品名稱寫37×25×11.5；另售粉霧收納盒蓋/白 約38×26×1.5cm(4984355161684，49元)；官方規格原文：37cm×11.5cm×25cm</t>
        </is>
      </c>
      <c r="V475" s="2" t="inlineStr"/>
    </row>
    <row r="476">
      <c r="A476" s="2" t="inlineStr">
        <is>
          <t>DAISO-104</t>
        </is>
      </c>
      <c r="B476" s="2" t="inlineStr">
        <is>
          <t>DAISO</t>
        </is>
      </c>
      <c r="C476" s="2" t="inlineStr">
        <is>
          <t>編織收納盒</t>
        </is>
      </c>
      <c r="D476" s="2" t="inlineStr">
        <is>
          <t>編織收納盒/26.7×10.6×9.5cm</t>
        </is>
      </c>
      <c r="E476" s="2" t="inlineStr">
        <is>
          <t>4550480618425</t>
        </is>
      </c>
      <c r="F476" s="2" t="n">
        <v>26.7</v>
      </c>
      <c r="G476" s="2" t="n">
        <v>9.5</v>
      </c>
      <c r="H476" s="2" t="n">
        <v>10.6</v>
      </c>
      <c r="I476" s="2" t="n"/>
      <c r="J476" s="2" t="n"/>
      <c r="K476" s="2" t="n"/>
      <c r="L476" s="2" t="inlineStr"/>
      <c r="M476" s="2" t="inlineStr">
        <is>
          <t>白</t>
        </is>
      </c>
      <c r="N476" s="2" t="inlineStr"/>
      <c r="O476" s="2" t="inlineStr">
        <is>
          <t>N</t>
        </is>
      </c>
      <c r="P476" s="2" t="n">
        <v>49</v>
      </c>
      <c r="Q476" s="2" t="inlineStr">
        <is>
          <t>2026-10-26</t>
        </is>
      </c>
      <c r="R476" s="3" t="inlineStr">
        <is>
          <t>https://shop.daiso.com.tw/products/4550480618425</t>
        </is>
      </c>
      <c r="S476" s="2" t="inlineStr">
        <is>
          <t>官網</t>
        </is>
      </c>
      <c r="T476" s="2" t="inlineStr">
        <is>
          <t>high</t>
        </is>
      </c>
      <c r="U476" s="2" t="inlineStr">
        <is>
          <t>商品圖標示 26.7×深9.5×高10.6cm；官方規格原文：26.7cm × 10.6cm × 9.5cm</t>
        </is>
      </c>
      <c r="V476" s="2" t="inlineStr"/>
    </row>
    <row r="477">
      <c r="A477" s="2" t="inlineStr">
        <is>
          <t>DAISO-105</t>
        </is>
      </c>
      <c r="B477" s="2" t="inlineStr">
        <is>
          <t>DAISO</t>
        </is>
      </c>
      <c r="C477" s="2" t="inlineStr">
        <is>
          <t>編織收納盒</t>
        </is>
      </c>
      <c r="D477" s="2" t="inlineStr">
        <is>
          <t>編織附提把收納盒/38×26×13.5cm</t>
        </is>
      </c>
      <c r="E477" s="2" t="inlineStr">
        <is>
          <t>4550480725529</t>
        </is>
      </c>
      <c r="F477" s="2" t="n">
        <v>38</v>
      </c>
      <c r="G477" s="2" t="n">
        <v>26</v>
      </c>
      <c r="H477" s="2" t="n">
        <v>13.5</v>
      </c>
      <c r="I477" s="2" t="n"/>
      <c r="J477" s="2" t="n"/>
      <c r="K477" s="2" t="n"/>
      <c r="L477" s="2" t="inlineStr"/>
      <c r="M477" s="2" t="inlineStr">
        <is>
          <t>米/棕</t>
        </is>
      </c>
      <c r="N477" s="2" t="inlineStr"/>
      <c r="O477" s="2" t="inlineStr">
        <is>
          <t>N</t>
        </is>
      </c>
      <c r="P477" s="2" t="n">
        <v>139</v>
      </c>
      <c r="Q477" s="2" t="inlineStr">
        <is>
          <t>2026-10-26</t>
        </is>
      </c>
      <c r="R477" s="3" t="inlineStr">
        <is>
          <t>https://shop.daiso.com.tw/products/4550480725529</t>
        </is>
      </c>
      <c r="S477" s="2" t="inlineStr">
        <is>
          <t>官網</t>
        </is>
      </c>
      <c r="T477" s="2" t="inlineStr">
        <is>
          <t>high</t>
        </is>
      </c>
      <c r="U477" s="2" t="inlineStr">
        <is>
          <t>附提把；顏色隨機出貨；官方規格原文：38cm × 26cm × 13.5cm</t>
        </is>
      </c>
      <c r="V477" s="2" t="inlineStr"/>
    </row>
    <row r="478">
      <c r="A478" s="2" t="inlineStr">
        <is>
          <t>DAISO-106</t>
        </is>
      </c>
      <c r="B478" s="2" t="inlineStr">
        <is>
          <t>DAISO</t>
        </is>
      </c>
      <c r="C478" s="2" t="inlineStr">
        <is>
          <t>PP編織</t>
        </is>
      </c>
      <c r="D478" s="2" t="inlineStr">
        <is>
          <t>PP編織折疊收納盒/35x23x13cm</t>
        </is>
      </c>
      <c r="E478" s="2" t="inlineStr">
        <is>
          <t>4550480453842</t>
        </is>
      </c>
      <c r="F478" s="2" t="n">
        <v>35</v>
      </c>
      <c r="G478" s="2" t="n">
        <v>23</v>
      </c>
      <c r="H478" s="2" t="n">
        <v>13</v>
      </c>
      <c r="I478" s="2" t="n"/>
      <c r="J478" s="2" t="n"/>
      <c r="K478" s="2" t="n"/>
      <c r="L478" s="2" t="inlineStr">
        <is>
          <t>PP編織</t>
        </is>
      </c>
      <c r="M478" s="2" t="inlineStr">
        <is>
          <t>棕/黑/灰/象牙白</t>
        </is>
      </c>
      <c r="N478" s="2" t="inlineStr"/>
      <c r="O478" s="2" t="inlineStr">
        <is>
          <t>N</t>
        </is>
      </c>
      <c r="P478" s="2" t="n">
        <v>139</v>
      </c>
      <c r="Q478" s="2" t="inlineStr">
        <is>
          <t>2026-10-26</t>
        </is>
      </c>
      <c r="R478" s="3" t="inlineStr">
        <is>
          <t>https://shop.daiso.com.tw/products/4550480453842</t>
        </is>
      </c>
      <c r="S478" s="2" t="inlineStr">
        <is>
          <t>官網</t>
        </is>
      </c>
      <c r="T478" s="2" t="inlineStr">
        <is>
          <t>high</t>
        </is>
      </c>
      <c r="U478" s="2" t="inlineStr">
        <is>
          <t>折疊收納盒；顏色隨機出貨；官方規格原文：35cm×23cm×13cm</t>
        </is>
      </c>
      <c r="V478" s="2" t="inlineStr"/>
    </row>
    <row r="479">
      <c r="A479" s="2" t="inlineStr">
        <is>
          <t>DAISO-107</t>
        </is>
      </c>
      <c r="B479" s="2" t="inlineStr">
        <is>
          <t>DAISO</t>
        </is>
      </c>
      <c r="C479" s="2" t="inlineStr">
        <is>
          <t>PP編織</t>
        </is>
      </c>
      <c r="D479" s="2" t="inlineStr">
        <is>
          <t>PP編織折疊收納盒/38x26x24cm</t>
        </is>
      </c>
      <c r="E479" s="2" t="inlineStr">
        <is>
          <t>4550480453897</t>
        </is>
      </c>
      <c r="F479" s="2" t="n">
        <v>38</v>
      </c>
      <c r="G479" s="2" t="n">
        <v>26</v>
      </c>
      <c r="H479" s="2" t="n">
        <v>24</v>
      </c>
      <c r="I479" s="2" t="n"/>
      <c r="J479" s="2" t="n"/>
      <c r="K479" s="2" t="n"/>
      <c r="L479" s="2" t="inlineStr">
        <is>
          <t>PP編織</t>
        </is>
      </c>
      <c r="M479" s="2" t="inlineStr">
        <is>
          <t>棕/黑/象牙白/灰</t>
        </is>
      </c>
      <c r="N479" s="2" t="inlineStr"/>
      <c r="O479" s="2" t="inlineStr">
        <is>
          <t>N</t>
        </is>
      </c>
      <c r="P479" s="2" t="n">
        <v>139</v>
      </c>
      <c r="Q479" s="2" t="inlineStr">
        <is>
          <t>2026-10-26</t>
        </is>
      </c>
      <c r="R479" s="3" t="inlineStr">
        <is>
          <t>https://shop.daiso.com.tw/products/4550480453897</t>
        </is>
      </c>
      <c r="S479" s="2" t="inlineStr">
        <is>
          <t>官網</t>
        </is>
      </c>
      <c r="T479" s="2" t="inlineStr">
        <is>
          <t>high</t>
        </is>
      </c>
      <c r="U479" s="2" t="inlineStr">
        <is>
          <t>折疊收納盒；顏色隨機出貨；官方規格原文：38cm×26cm×24cm</t>
        </is>
      </c>
      <c r="V479" s="2" t="inlineStr"/>
    </row>
    <row r="480">
      <c r="A480" s="2" t="inlineStr">
        <is>
          <t>DAISO-108</t>
        </is>
      </c>
      <c r="B480" s="2" t="inlineStr">
        <is>
          <t>DAISO</t>
        </is>
      </c>
      <c r="C480" s="2" t="inlineStr">
        <is>
          <t>PP編織</t>
        </is>
      </c>
      <c r="D480" s="2" t="inlineStr">
        <is>
          <t>PP編織附蓋收納箱/38×26×24cm</t>
        </is>
      </c>
      <c r="E480" s="2" t="inlineStr">
        <is>
          <t>4550480726052</t>
        </is>
      </c>
      <c r="F480" s="2" t="n">
        <v>38</v>
      </c>
      <c r="G480" s="2" t="n">
        <v>26</v>
      </c>
      <c r="H480" s="2" t="n">
        <v>24</v>
      </c>
      <c r="I480" s="2" t="n"/>
      <c r="J480" s="2" t="n"/>
      <c r="K480" s="2" t="n"/>
      <c r="L480" s="2" t="inlineStr">
        <is>
          <t>PP編織</t>
        </is>
      </c>
      <c r="M480" s="2" t="inlineStr">
        <is>
          <t>米/棕</t>
        </is>
      </c>
      <c r="N480" s="2" t="inlineStr"/>
      <c r="O480" s="2" t="inlineStr">
        <is>
          <t>Y</t>
        </is>
      </c>
      <c r="P480" s="2" t="n">
        <v>199</v>
      </c>
      <c r="Q480" s="2" t="inlineStr">
        <is>
          <t>2026-10-26</t>
        </is>
      </c>
      <c r="R480" s="3" t="inlineStr">
        <is>
          <t>https://shop.daiso.com.tw/products/4550480726052</t>
        </is>
      </c>
      <c r="S480" s="2" t="inlineStr">
        <is>
          <t>官網</t>
        </is>
      </c>
      <c r="T480" s="2" t="inlineStr">
        <is>
          <t>high</t>
        </is>
      </c>
      <c r="U480" s="2" t="inlineStr">
        <is>
          <t>附蓋收納箱；顏色隨機出貨；官方規格原文：38cm × 26cm × 24cm</t>
        </is>
      </c>
      <c r="V480" s="2" t="inlineStr"/>
    </row>
    <row r="481">
      <c r="A481" s="2" t="inlineStr">
        <is>
          <t>DAISO-109</t>
        </is>
      </c>
      <c r="B481" s="2" t="inlineStr">
        <is>
          <t>DAISO</t>
        </is>
      </c>
      <c r="C481" s="2" t="inlineStr">
        <is>
          <t>PP編織</t>
        </is>
      </c>
      <c r="D481" s="2" t="inlineStr">
        <is>
          <t>PP編織附蓋收納箱/灰、黑 38x26x24.5cm</t>
        </is>
      </c>
      <c r="E481" s="2" t="inlineStr">
        <is>
          <t>4550480505756</t>
        </is>
      </c>
      <c r="F481" s="2" t="n">
        <v>38</v>
      </c>
      <c r="G481" s="2" t="n">
        <v>26</v>
      </c>
      <c r="H481" s="2" t="n">
        <v>24.5</v>
      </c>
      <c r="I481" s="2" t="n"/>
      <c r="J481" s="2" t="n"/>
      <c r="K481" s="2" t="n"/>
      <c r="L481" s="2" t="inlineStr">
        <is>
          <t>PP編織</t>
        </is>
      </c>
      <c r="M481" s="2" t="inlineStr">
        <is>
          <t>灰/黑</t>
        </is>
      </c>
      <c r="N481" s="2" t="inlineStr"/>
      <c r="O481" s="2" t="inlineStr">
        <is>
          <t>Y</t>
        </is>
      </c>
      <c r="P481" s="2" t="n">
        <v>199</v>
      </c>
      <c r="Q481" s="2" t="inlineStr">
        <is>
          <t>2026-10-26</t>
        </is>
      </c>
      <c r="R481" s="3" t="inlineStr">
        <is>
          <t>https://shop.daiso.com.tw/products/4550480505756</t>
        </is>
      </c>
      <c r="S481" s="2" t="inlineStr">
        <is>
          <t>官網</t>
        </is>
      </c>
      <c r="T481" s="2" t="inlineStr">
        <is>
          <t>high</t>
        </is>
      </c>
      <c r="U481" s="2" t="inlineStr">
        <is>
          <t>附蓋收納箱；顏色隨機出貨；官方規格原文：38cm×26cm×24.5cm</t>
        </is>
      </c>
      <c r="V481" s="2" t="inlineStr"/>
    </row>
    <row r="482">
      <c r="A482" s="2" t="inlineStr">
        <is>
          <t>DAISO-110</t>
        </is>
      </c>
      <c r="B482" s="2" t="inlineStr">
        <is>
          <t>DAISO</t>
        </is>
      </c>
      <c r="C482" s="2" t="inlineStr">
        <is>
          <t>收納盒</t>
        </is>
      </c>
      <c r="D482" s="2" t="inlineStr">
        <is>
          <t>收納盒/storage box 25x25x38cm</t>
        </is>
      </c>
      <c r="E482" s="2" t="inlineStr">
        <is>
          <t>4550480334097</t>
        </is>
      </c>
      <c r="F482" s="2" t="n">
        <v>38</v>
      </c>
      <c r="G482" s="2" t="n">
        <v>25</v>
      </c>
      <c r="H482" s="2" t="n">
        <v>25</v>
      </c>
      <c r="I482" s="2" t="n"/>
      <c r="J482" s="2" t="n"/>
      <c r="K482" s="2" t="n"/>
      <c r="L482" s="2" t="inlineStr"/>
      <c r="M482" s="2" t="inlineStr">
        <is>
          <t>藍灰/米</t>
        </is>
      </c>
      <c r="N482" s="2" t="inlineStr"/>
      <c r="O482" s="2" t="inlineStr">
        <is>
          <t>N</t>
        </is>
      </c>
      <c r="P482" s="2" t="n">
        <v>99</v>
      </c>
      <c r="Q482" s="2" t="inlineStr">
        <is>
          <t>2026-10-26</t>
        </is>
      </c>
      <c r="R482" s="3" t="inlineStr">
        <is>
          <t>https://shop.daiso.com.tw/products/4550480334097</t>
        </is>
      </c>
      <c r="S482" s="2" t="inlineStr">
        <is>
          <t>官網</t>
        </is>
      </c>
      <c r="T482" s="2" t="inlineStr">
        <is>
          <t>medium</t>
        </is>
      </c>
      <c r="U482" s="2" t="inlineStr">
        <is>
          <t>storage box（布質折疊）；官方寫25×25×38，依商品圖判讀高度；顏色隨機出貨；官方規格原文：25cm×25cm×38cm</t>
        </is>
      </c>
      <c r="V482" s="2" t="inlineStr"/>
    </row>
    <row r="483">
      <c r="A483" s="2" t="inlineStr">
        <is>
          <t>DAISO-111</t>
        </is>
      </c>
      <c r="B483" s="2" t="inlineStr">
        <is>
          <t>DAISO</t>
        </is>
      </c>
      <c r="C483" s="2" t="inlineStr">
        <is>
          <t>附蓋收納盒</t>
        </is>
      </c>
      <c r="D483" s="2" t="inlineStr">
        <is>
          <t>附蓋收納盒/木紋 30x25cm</t>
        </is>
      </c>
      <c r="E483" s="2" t="inlineStr">
        <is>
          <t>4550480331355</t>
        </is>
      </c>
      <c r="F483" s="2" t="n">
        <v>30</v>
      </c>
      <c r="G483" s="2" t="n">
        <v>25</v>
      </c>
      <c r="H483" s="2" t="n">
        <v>20</v>
      </c>
      <c r="I483" s="2" t="n"/>
      <c r="J483" s="2" t="n"/>
      <c r="K483" s="2" t="n"/>
      <c r="L483" s="2" t="inlineStr"/>
      <c r="M483" s="2" t="inlineStr">
        <is>
          <t>深色/原木</t>
        </is>
      </c>
      <c r="N483" s="2" t="inlineStr"/>
      <c r="O483" s="2" t="inlineStr">
        <is>
          <t>Y</t>
        </is>
      </c>
      <c r="P483" s="2" t="n">
        <v>99</v>
      </c>
      <c r="Q483" s="2" t="inlineStr">
        <is>
          <t>2026-10-26</t>
        </is>
      </c>
      <c r="R483" s="3" t="inlineStr">
        <is>
          <t>https://shop.daiso.com.tw/products/4550480331355</t>
        </is>
      </c>
      <c r="S483" s="2" t="inlineStr">
        <is>
          <t>官網</t>
        </is>
      </c>
      <c r="T483" s="2" t="inlineStr">
        <is>
          <t>medium</t>
        </is>
      </c>
      <c r="U483" s="2" t="inlineStr">
        <is>
          <t>木紋布質折疊附蓋盒；規格表寫25×20×30，商品名稱寫30×25；依商品圖判讀高度；顏色隨機出貨；官方規格原文：25cm×20cm×30cm</t>
        </is>
      </c>
      <c r="V483" s="2" t="inlineStr"/>
    </row>
    <row r="484">
      <c r="A484" s="2" t="inlineStr">
        <is>
          <t>DAISO-112</t>
        </is>
      </c>
      <c r="B484" s="2" t="inlineStr">
        <is>
          <t>DAISO</t>
        </is>
      </c>
      <c r="C484" s="2" t="inlineStr">
        <is>
          <t>附蓋收納盒</t>
        </is>
      </c>
      <c r="D484" s="2" t="inlineStr">
        <is>
          <t>附蓋收納盒/葉子 38x26x26cm</t>
        </is>
      </c>
      <c r="E484" s="2" t="inlineStr">
        <is>
          <t>4550480438177</t>
        </is>
      </c>
      <c r="F484" s="2" t="n">
        <v>38</v>
      </c>
      <c r="G484" s="2" t="n">
        <v>26</v>
      </c>
      <c r="H484" s="2" t="n">
        <v>26</v>
      </c>
      <c r="I484" s="2" t="n"/>
      <c r="J484" s="2" t="n"/>
      <c r="K484" s="2" t="n"/>
      <c r="L484" s="2" t="inlineStr"/>
      <c r="M484" s="2" t="inlineStr">
        <is>
          <t>灰/灰米</t>
        </is>
      </c>
      <c r="N484" s="2" t="inlineStr"/>
      <c r="O484" s="2" t="inlineStr">
        <is>
          <t>Y</t>
        </is>
      </c>
      <c r="P484" s="2" t="n">
        <v>139</v>
      </c>
      <c r="Q484" s="2" t="inlineStr">
        <is>
          <t>2026-10-26</t>
        </is>
      </c>
      <c r="R484" s="3" t="inlineStr">
        <is>
          <t>https://shop.daiso.com.tw/products/4550480438177</t>
        </is>
      </c>
      <c r="S484" s="2" t="inlineStr">
        <is>
          <t>官網</t>
        </is>
      </c>
      <c r="T484" s="2" t="inlineStr">
        <is>
          <t>high</t>
        </is>
      </c>
      <c r="U484" s="2" t="inlineStr">
        <is>
          <t>葉子圖樣布質附蓋盒；顏色隨機出貨；官方規格原文：38cm×26cm×26cm</t>
        </is>
      </c>
      <c r="V484" s="2" t="inlineStr"/>
    </row>
    <row r="485">
      <c r="A485" s="2" t="inlineStr">
        <is>
          <t>DAISO-113</t>
        </is>
      </c>
      <c r="B485" s="2" t="inlineStr">
        <is>
          <t>DAISO</t>
        </is>
      </c>
      <c r="C485" s="2" t="inlineStr">
        <is>
          <t>收納抽屜</t>
        </is>
      </c>
      <c r="D485" s="2" t="inlineStr">
        <is>
          <t>收納抽屜/窄型 17×7.5×25cm</t>
        </is>
      </c>
      <c r="E485" s="2" t="inlineStr">
        <is>
          <t>4550480773162</t>
        </is>
      </c>
      <c r="F485" s="2" t="n">
        <v>17</v>
      </c>
      <c r="G485" s="2" t="n">
        <v>25</v>
      </c>
      <c r="H485" s="2" t="n">
        <v>7.5</v>
      </c>
      <c r="I485" s="2" t="n"/>
      <c r="J485" s="2" t="n"/>
      <c r="K485" s="2" t="n"/>
      <c r="L485" s="2" t="inlineStr"/>
      <c r="M485" s="2" t="inlineStr">
        <is>
          <t>紫/綠</t>
        </is>
      </c>
      <c r="N485" s="2" t="inlineStr"/>
      <c r="O485" s="2" t="inlineStr">
        <is>
          <t>N</t>
        </is>
      </c>
      <c r="P485" s="2" t="n">
        <v>99</v>
      </c>
      <c r="Q485" s="2" t="inlineStr">
        <is>
          <t>2026-10-26</t>
        </is>
      </c>
      <c r="R485" s="3" t="inlineStr">
        <is>
          <t>https://shop.daiso.com.tw/products/4550480773162</t>
        </is>
      </c>
      <c r="S485" s="2" t="inlineStr">
        <is>
          <t>官網</t>
        </is>
      </c>
      <c r="T485" s="2" t="inlineStr">
        <is>
          <t>medium</t>
        </is>
      </c>
      <c r="U485" s="2" t="inlineStr">
        <is>
          <t>窄型；官方規格未標示長寬高順序，商品圖為包裝狀態無法確認，暫依寬×高×深判讀；顏色隨機出貨；官方規格原文：17cm × 7.5cm × 25cm</t>
        </is>
      </c>
      <c r="V485" s="2" t="inlineStr"/>
    </row>
  </sheetData>
  <autoFilter ref="A1:V485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38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  <col width="14" customWidth="1" min="14" max="14"/>
    <col width="14" customWidth="1" min="15" max="15"/>
    <col width="9" customWidth="1" min="16" max="16"/>
    <col width="11" customWidth="1" min="17" max="17"/>
    <col width="30" customWidth="1" min="18" max="18"/>
    <col width="11" customWidth="1" min="19" max="19"/>
    <col width="11" customWidth="1" min="20" max="20"/>
    <col width="40" customWidth="1" min="21" max="21"/>
    <col width="45" customWidth="1" min="22" max="22"/>
  </cols>
  <sheetData>
    <row r="1">
      <c r="A1" s="1" t="inlineStr">
        <is>
          <t>編號</t>
        </is>
      </c>
      <c r="B1" s="1" t="inlineStr">
        <is>
          <t>品牌</t>
        </is>
      </c>
      <c r="C1" s="1" t="inlineStr">
        <is>
          <t>類別</t>
        </is>
      </c>
      <c r="D1" s="1" t="inlineStr">
        <is>
          <t>品名</t>
        </is>
      </c>
      <c r="E1" s="1" t="inlineStr">
        <is>
          <t>商品編號</t>
        </is>
      </c>
      <c r="F1" s="1" t="inlineStr">
        <is>
          <t>最短cm</t>
        </is>
      </c>
      <c r="G1" s="1" t="inlineStr">
        <is>
          <t>最長cm</t>
        </is>
      </c>
      <c r="H1" s="1" t="inlineStr">
        <is>
          <t>寬cm</t>
        </is>
      </c>
      <c r="I1" s="1" t="inlineStr">
        <is>
          <t>深cm</t>
        </is>
      </c>
      <c r="J1" s="1" t="inlineStr">
        <is>
          <t>高cm</t>
        </is>
      </c>
      <c r="K1" s="1" t="inlineStr">
        <is>
          <t>棒徑／線徑cm</t>
        </is>
      </c>
      <c r="L1" s="1" t="inlineStr">
        <is>
          <t>耐重kg</t>
        </is>
      </c>
      <c r="M1" s="1" t="inlineStr">
        <is>
          <t>安裝方式</t>
        </is>
      </c>
      <c r="N1" s="1" t="inlineStr">
        <is>
          <t>材質</t>
        </is>
      </c>
      <c r="O1" s="1" t="inlineStr">
        <is>
          <t>顏色</t>
        </is>
      </c>
      <c r="P1" s="1" t="inlineStr">
        <is>
          <t>售價NT$</t>
        </is>
      </c>
      <c r="Q1" s="1" t="inlineStr">
        <is>
          <t>查價日</t>
        </is>
      </c>
      <c r="R1" s="1" t="inlineStr">
        <is>
          <t>官網連結</t>
        </is>
      </c>
      <c r="S1" s="1" t="inlineStr">
        <is>
          <t>來源</t>
        </is>
      </c>
      <c r="T1" s="1" t="inlineStr">
        <is>
          <t>可信度</t>
        </is>
      </c>
      <c r="U1" s="1" t="inlineStr">
        <is>
          <t>官方建議用途</t>
        </is>
      </c>
      <c r="V1" s="1" t="inlineStr">
        <is>
          <t>備註</t>
        </is>
      </c>
    </row>
    <row r="2">
      <c r="A2" s="2" t="inlineStr">
        <is>
          <t>MUJI-A001</t>
        </is>
      </c>
      <c r="B2" s="2" t="inlineStr">
        <is>
          <t>MUJI</t>
        </is>
      </c>
      <c r="C2" s="2" t="inlineStr">
        <is>
          <t>抽屜隔板</t>
        </is>
      </c>
      <c r="D2" s="2" t="inlineStr">
        <is>
          <t>PP分隔板/大/4入</t>
        </is>
      </c>
      <c r="E2" s="2" t="inlineStr">
        <is>
          <t>4549738369622</t>
        </is>
      </c>
      <c r="F2" s="2" t="n"/>
      <c r="G2" s="2" t="n"/>
      <c r="H2" s="2" t="n">
        <v>65.5</v>
      </c>
      <c r="I2" s="2" t="n">
        <v>0.2</v>
      </c>
      <c r="J2" s="2" t="n">
        <v>11</v>
      </c>
      <c r="K2" s="2" t="n"/>
      <c r="L2" s="2" t="n"/>
      <c r="M2" s="2" t="inlineStr">
        <is>
          <t>免安裝</t>
        </is>
      </c>
      <c r="N2" s="2" t="inlineStr">
        <is>
          <t>聚苯乙烯樹脂(PS樹脂)</t>
        </is>
      </c>
      <c r="O2" s="2" t="inlineStr"/>
      <c r="P2" s="2" t="n"/>
      <c r="Q2" s="2" t="inlineStr">
        <is>
          <t>2026-10-26</t>
        </is>
      </c>
      <c r="R2" s="3" t="inlineStr">
        <is>
          <t>https://shop.muji.tw/SalePage/Index/8920955</t>
        </is>
      </c>
      <c r="S2" s="2" t="inlineStr">
        <is>
          <t>官網</t>
        </is>
      </c>
      <c r="T2" s="2" t="inlineStr">
        <is>
          <t>high</t>
        </is>
      </c>
      <c r="U2" s="2" t="inlineStr">
        <is>
          <t>可依所需間隔大小裁切、組合使用</t>
        </is>
      </c>
      <c r="V2" s="2" t="inlineStr">
        <is>
          <t>SET:4549738369622|320|4|4;單片規格約寬65.5×深(厚)0.2×高11cm；品名雖為PP分隔板，官方材質標示為聚苯乙烯</t>
        </is>
      </c>
    </row>
    <row r="3">
      <c r="A3" s="2" t="inlineStr">
        <is>
          <t>MUJI-A002</t>
        </is>
      </c>
      <c r="B3" s="2" t="inlineStr">
        <is>
          <t>MUJI</t>
        </is>
      </c>
      <c r="C3" s="2" t="inlineStr">
        <is>
          <t>抽屜隔板</t>
        </is>
      </c>
      <c r="D3" s="2" t="inlineStr">
        <is>
          <t>PP分隔板/中/5入</t>
        </is>
      </c>
      <c r="E3" s="2" t="inlineStr">
        <is>
          <t>4549738369615</t>
        </is>
      </c>
      <c r="F3" s="2" t="n"/>
      <c r="G3" s="2" t="n"/>
      <c r="H3" s="2" t="n">
        <v>36</v>
      </c>
      <c r="I3" s="2" t="n">
        <v>0.2</v>
      </c>
      <c r="J3" s="2" t="n">
        <v>7</v>
      </c>
      <c r="K3" s="2" t="n"/>
      <c r="L3" s="2" t="n"/>
      <c r="M3" s="2" t="inlineStr">
        <is>
          <t>免安裝</t>
        </is>
      </c>
      <c r="N3" s="2" t="inlineStr">
        <is>
          <t>聚苯乙烯樹脂(PS樹脂)</t>
        </is>
      </c>
      <c r="O3" s="2" t="inlineStr"/>
      <c r="P3" s="2" t="n"/>
      <c r="Q3" s="2" t="inlineStr">
        <is>
          <t>2026-10-26</t>
        </is>
      </c>
      <c r="R3" s="3" t="inlineStr">
        <is>
          <t>https://shop.muji.tw/SalePage/Index/8920975</t>
        </is>
      </c>
      <c r="S3" s="2" t="inlineStr">
        <is>
          <t>官網</t>
        </is>
      </c>
      <c r="T3" s="2" t="inlineStr">
        <is>
          <t>high</t>
        </is>
      </c>
      <c r="U3" s="2" t="inlineStr">
        <is>
          <t>可依所需間隔大小裁切、組合使用</t>
        </is>
      </c>
      <c r="V3" s="2" t="inlineStr">
        <is>
          <t>SET:4549738369615|180|5|5;單片規格約寬36×深(厚)0.2×高7cm；官方材質標示為聚苯乙烯</t>
        </is>
      </c>
    </row>
    <row r="4">
      <c r="A4" s="2" t="inlineStr">
        <is>
          <t>MUJI-A003</t>
        </is>
      </c>
      <c r="B4" s="2" t="inlineStr">
        <is>
          <t>MUJI</t>
        </is>
      </c>
      <c r="C4" s="2" t="inlineStr">
        <is>
          <t>抽屜隔板</t>
        </is>
      </c>
      <c r="D4" s="2" t="inlineStr">
        <is>
          <t>可調整高度的不織布分隔袋/小/2入</t>
        </is>
      </c>
      <c r="E4" s="2" t="inlineStr">
        <is>
          <t>4550002110468</t>
        </is>
      </c>
      <c r="F4" s="2" t="n"/>
      <c r="G4" s="2" t="n"/>
      <c r="H4" s="2" t="n">
        <v>11</v>
      </c>
      <c r="I4" s="2" t="n">
        <v>32.5</v>
      </c>
      <c r="J4" s="2" t="n">
        <v>21</v>
      </c>
      <c r="K4" s="2" t="n"/>
      <c r="L4" s="2" t="n"/>
      <c r="M4" s="2" t="inlineStr">
        <is>
          <t>免安裝</t>
        </is>
      </c>
      <c r="N4" s="2" t="inlineStr">
        <is>
          <t>聚丙烯(不織布)</t>
        </is>
      </c>
      <c r="O4" s="2" t="inlineStr"/>
      <c r="P4" s="2" t="n"/>
      <c r="Q4" s="2" t="inlineStr">
        <is>
          <t>2026-10-26</t>
        </is>
      </c>
      <c r="R4" s="3" t="inlineStr">
        <is>
          <t>https://shop.muji.tw/SalePage/Index/8920989</t>
        </is>
      </c>
      <c r="S4" s="2" t="inlineStr">
        <is>
          <t>官網</t>
        </is>
      </c>
      <c r="T4" s="2" t="inlineStr">
        <is>
          <t>high</t>
        </is>
      </c>
      <c r="U4" s="2" t="inlineStr">
        <is>
          <t>適用各式收納用品的分隔袋，可反摺調整高度，也可用於天然素材收納用品</t>
        </is>
      </c>
      <c r="V4" s="2" t="inlineStr">
        <is>
          <t>SET:4550002110468|260|2|2;單件W11×D32.5×H21cm；不可洗滌</t>
        </is>
      </c>
    </row>
    <row r="5">
      <c r="A5" s="2" t="inlineStr">
        <is>
          <t>MUJI-A004</t>
        </is>
      </c>
      <c r="B5" s="2" t="inlineStr">
        <is>
          <t>MUJI</t>
        </is>
      </c>
      <c r="C5" s="2" t="inlineStr">
        <is>
          <t>抽屜隔板</t>
        </is>
      </c>
      <c r="D5" s="2" t="inlineStr">
        <is>
          <t>可調整高度的不織布分隔袋/中/2入</t>
        </is>
      </c>
      <c r="E5" s="2" t="inlineStr">
        <is>
          <t>4550002110475</t>
        </is>
      </c>
      <c r="F5" s="2" t="n"/>
      <c r="G5" s="2" t="n"/>
      <c r="H5" s="2" t="n">
        <v>15</v>
      </c>
      <c r="I5" s="2" t="n">
        <v>32.5</v>
      </c>
      <c r="J5" s="2" t="n">
        <v>21</v>
      </c>
      <c r="K5" s="2" t="n"/>
      <c r="L5" s="2" t="n"/>
      <c r="M5" s="2" t="inlineStr">
        <is>
          <t>免安裝</t>
        </is>
      </c>
      <c r="N5" s="2" t="inlineStr">
        <is>
          <t>聚丙烯(不織布)</t>
        </is>
      </c>
      <c r="O5" s="2" t="inlineStr"/>
      <c r="P5" s="2" t="n"/>
      <c r="Q5" s="2" t="inlineStr">
        <is>
          <t>2026-10-26</t>
        </is>
      </c>
      <c r="R5" s="3" t="inlineStr">
        <is>
          <t>https://shop.muji.tw/SalePage/Index/8920974</t>
        </is>
      </c>
      <c r="S5" s="2" t="inlineStr">
        <is>
          <t>官網</t>
        </is>
      </c>
      <c r="T5" s="2" t="inlineStr">
        <is>
          <t>high</t>
        </is>
      </c>
      <c r="U5" s="2" t="inlineStr">
        <is>
          <t>適用各式收納用品的分隔袋，可反摺調整高度，也可用於天然素材收納用品</t>
        </is>
      </c>
      <c r="V5" s="2" t="inlineStr">
        <is>
          <t>SET:4550002110475|280|2|2;單件W15×D32.5×H21cm；網路商店於查詢日顯示已售完</t>
        </is>
      </c>
    </row>
    <row r="6">
      <c r="A6" s="2" t="inlineStr">
        <is>
          <t>MUJI-A005</t>
        </is>
      </c>
      <c r="B6" s="2" t="inlineStr">
        <is>
          <t>MUJI</t>
        </is>
      </c>
      <c r="C6" s="2" t="inlineStr">
        <is>
          <t>抽屜隔板</t>
        </is>
      </c>
      <c r="D6" s="2" t="inlineStr">
        <is>
          <t>可調整高度的不織布分隔袋/大/2入</t>
        </is>
      </c>
      <c r="E6" s="2" t="inlineStr">
        <is>
          <t>4550002110482</t>
        </is>
      </c>
      <c r="F6" s="2" t="n"/>
      <c r="G6" s="2" t="n"/>
      <c r="H6" s="2" t="n">
        <v>22.5</v>
      </c>
      <c r="I6" s="2" t="n">
        <v>32.5</v>
      </c>
      <c r="J6" s="2" t="n">
        <v>21</v>
      </c>
      <c r="K6" s="2" t="n"/>
      <c r="L6" s="2" t="n"/>
      <c r="M6" s="2" t="inlineStr">
        <is>
          <t>免安裝</t>
        </is>
      </c>
      <c r="N6" s="2" t="inlineStr">
        <is>
          <t>聚丙烯(不織布)</t>
        </is>
      </c>
      <c r="O6" s="2" t="inlineStr"/>
      <c r="P6" s="2" t="n"/>
      <c r="Q6" s="2" t="inlineStr">
        <is>
          <t>2026-10-26</t>
        </is>
      </c>
      <c r="R6" s="3" t="inlineStr">
        <is>
          <t>https://shop.muji.tw/SalePage/Index/8920992</t>
        </is>
      </c>
      <c r="S6" s="2" t="inlineStr">
        <is>
          <t>官網</t>
        </is>
      </c>
      <c r="T6" s="2" t="inlineStr">
        <is>
          <t>high</t>
        </is>
      </c>
      <c r="U6" s="2" t="inlineStr">
        <is>
          <t>適用各式收納用品的分隔袋，可反摺調整高度；用於天然素材收納用品可防止衣物勾紗</t>
        </is>
      </c>
      <c r="V6" s="2" t="inlineStr">
        <is>
          <t>SET:4550002110482|350|2|2;單件W22.5×D32.5×H21cm；網路商店於查詢日顯示已售完</t>
        </is>
      </c>
    </row>
    <row r="7">
      <c r="A7" s="2" t="inlineStr">
        <is>
          <t>MUJI-A006</t>
        </is>
      </c>
      <c r="B7" s="2" t="inlineStr">
        <is>
          <t>MUJI</t>
        </is>
      </c>
      <c r="C7" s="2" t="inlineStr">
        <is>
          <t>抽屜隔板</t>
        </is>
      </c>
      <c r="D7" s="2" t="inlineStr">
        <is>
          <t>PP抽屜整理盒用隔板(3)</t>
        </is>
      </c>
      <c r="E7" s="2" t="inlineStr">
        <is>
          <t>4548718498000</t>
        </is>
      </c>
      <c r="F7" s="2" t="n"/>
      <c r="G7" s="2" t="n"/>
      <c r="H7" s="2" t="n">
        <v>6.3</v>
      </c>
      <c r="I7" s="2" t="n">
        <v>0.25</v>
      </c>
      <c r="J7" s="2" t="n">
        <v>3</v>
      </c>
      <c r="K7" s="2" t="n"/>
      <c r="L7" s="2" t="n"/>
      <c r="M7" s="2" t="inlineStr">
        <is>
          <t>嵌入式</t>
        </is>
      </c>
      <c r="N7" s="2" t="inlineStr">
        <is>
          <t>聚丙烯</t>
        </is>
      </c>
      <c r="O7" s="2" t="inlineStr"/>
      <c r="P7" s="2" t="n">
        <v>29</v>
      </c>
      <c r="Q7" s="2" t="inlineStr">
        <is>
          <t>2026-10-26</t>
        </is>
      </c>
      <c r="R7" s="3" t="inlineStr">
        <is>
          <t>https://shop.muji.tw/SalePage/Index/8917100</t>
        </is>
      </c>
      <c r="S7" s="2" t="inlineStr">
        <is>
          <t>官網</t>
        </is>
      </c>
      <c r="T7" s="2" t="inlineStr">
        <is>
          <t>high</t>
        </is>
      </c>
      <c r="U7" s="2" t="inlineStr">
        <is>
          <t>PP抽屜整理盒專用隔板，採嵌入式設計，可依用途自行區隔大小</t>
        </is>
      </c>
      <c r="V7" s="2" t="inlineStr">
        <is>
          <t>官方規格「3×6.3×0.25cm」，依用途判讀為長6.3(填width)×厚0.25×高3；對應PP抽屜整理盒(3)(67×200×40mm)</t>
        </is>
      </c>
    </row>
    <row r="8">
      <c r="A8" s="2" t="inlineStr">
        <is>
          <t>MUJI-A007</t>
        </is>
      </c>
      <c r="B8" s="2" t="inlineStr">
        <is>
          <t>MUJI</t>
        </is>
      </c>
      <c r="C8" s="2" t="inlineStr">
        <is>
          <t>抽屜隔板</t>
        </is>
      </c>
      <c r="D8" s="2" t="inlineStr">
        <is>
          <t>PP抽屜整理盒用隔板(4)</t>
        </is>
      </c>
      <c r="E8" s="2" t="inlineStr">
        <is>
          <t>4548718498017</t>
        </is>
      </c>
      <c r="F8" s="2" t="n"/>
      <c r="G8" s="2" t="n"/>
      <c r="H8" s="2" t="n">
        <v>13</v>
      </c>
      <c r="I8" s="2" t="n">
        <v>0.25</v>
      </c>
      <c r="J8" s="2" t="n">
        <v>3</v>
      </c>
      <c r="K8" s="2" t="n"/>
      <c r="L8" s="2" t="n"/>
      <c r="M8" s="2" t="inlineStr">
        <is>
          <t>嵌入式</t>
        </is>
      </c>
      <c r="N8" s="2" t="inlineStr">
        <is>
          <t>聚丙烯</t>
        </is>
      </c>
      <c r="O8" s="2" t="inlineStr"/>
      <c r="P8" s="2" t="n">
        <v>29</v>
      </c>
      <c r="Q8" s="2" t="inlineStr">
        <is>
          <t>2026-10-26</t>
        </is>
      </c>
      <c r="R8" s="3" t="inlineStr">
        <is>
          <t>https://shop.muji.tw/SalePage/Index/8917117</t>
        </is>
      </c>
      <c r="S8" s="2" t="inlineStr">
        <is>
          <t>官網</t>
        </is>
      </c>
      <c r="T8" s="2" t="inlineStr">
        <is>
          <t>high</t>
        </is>
      </c>
      <c r="U8" s="2" t="inlineStr">
        <is>
          <t>PP抽屜整理盒專用隔板，採嵌入式設計，可依用途自行區隔大小</t>
        </is>
      </c>
      <c r="V8" s="2" t="inlineStr">
        <is>
          <t>官方規格「3×13×0.25cm」，依用途判讀為長13(填width)×厚0.25×高3；對應PP抽屜整理盒(4)(134×200×40mm)</t>
        </is>
      </c>
    </row>
    <row r="9">
      <c r="A9" s="2" t="inlineStr">
        <is>
          <t>MUJI-A008</t>
        </is>
      </c>
      <c r="B9" s="2" t="inlineStr">
        <is>
          <t>MUJI</t>
        </is>
      </c>
      <c r="C9" s="2" t="inlineStr">
        <is>
          <t>抽屜隔板</t>
        </is>
      </c>
      <c r="D9" s="2" t="inlineStr">
        <is>
          <t>【零件】PP小物收納盒/3層用隔板</t>
        </is>
      </c>
      <c r="E9" s="2" t="inlineStr">
        <is>
          <t>4548718657063</t>
        </is>
      </c>
      <c r="F9" s="2" t="n"/>
      <c r="G9" s="2" t="n"/>
      <c r="H9" s="2" t="n">
        <v>9.9</v>
      </c>
      <c r="I9" s="2" t="n">
        <v>9.1</v>
      </c>
      <c r="J9" s="2" t="n">
        <v>0.3</v>
      </c>
      <c r="K9" s="2" t="n"/>
      <c r="L9" s="2" t="n"/>
      <c r="M9" s="2" t="inlineStr">
        <is>
          <t>嵌入式</t>
        </is>
      </c>
      <c r="N9" s="2" t="inlineStr">
        <is>
          <t>聚丙烯</t>
        </is>
      </c>
      <c r="O9" s="2" t="inlineStr"/>
      <c r="P9" s="2" t="n">
        <v>45</v>
      </c>
      <c r="Q9" s="2" t="inlineStr">
        <is>
          <t>2026-10-26</t>
        </is>
      </c>
      <c r="R9" s="3" t="inlineStr">
        <is>
          <t>https://shop.muji.tw/SalePage/Index/8919517</t>
        </is>
      </c>
      <c r="S9" s="2" t="inlineStr">
        <is>
          <t>官網</t>
        </is>
      </c>
      <c r="T9" s="2" t="inlineStr">
        <is>
          <t>high</t>
        </is>
      </c>
      <c r="U9" s="2" t="inlineStr">
        <is>
          <t>PP小物收納盒/3層A4(貨號61164458)用隔板</t>
        </is>
      </c>
      <c r="V9" s="2" t="inlineStr">
        <is>
          <t>官方規格「9.9x9.1x0.3cm」，三值依原順序填入width/depth/height，方向未標示；對應的PP小物收納盒/3層本體在台灣網路商店查無</t>
        </is>
      </c>
    </row>
    <row r="10">
      <c r="A10" s="2" t="inlineStr">
        <is>
          <t>MUJI-A009</t>
        </is>
      </c>
      <c r="B10" s="2" t="inlineStr">
        <is>
          <t>MUJI</t>
        </is>
      </c>
      <c r="C10" s="2" t="inlineStr">
        <is>
          <t>抽屜隔板</t>
        </is>
      </c>
      <c r="D10" s="2" t="inlineStr">
        <is>
          <t>【零件】聚丙烯小物收納盒/6層用分隔板</t>
        </is>
      </c>
      <c r="E10" s="2" t="inlineStr">
        <is>
          <t>4934761231259</t>
        </is>
      </c>
      <c r="F10" s="2" t="n"/>
      <c r="G10" s="2" t="n"/>
      <c r="H10" s="2" t="n">
        <v>9.9</v>
      </c>
      <c r="I10" s="2" t="n">
        <v>3.8</v>
      </c>
      <c r="J10" s="2" t="n">
        <v>0.3</v>
      </c>
      <c r="K10" s="2" t="n"/>
      <c r="L10" s="2" t="n"/>
      <c r="M10" s="2" t="inlineStr">
        <is>
          <t>嵌入式</t>
        </is>
      </c>
      <c r="N10" s="2" t="inlineStr">
        <is>
          <t>聚丙烯</t>
        </is>
      </c>
      <c r="O10" s="2" t="inlineStr"/>
      <c r="P10" s="2" t="n">
        <v>35</v>
      </c>
      <c r="Q10" s="2" t="inlineStr">
        <is>
          <t>2026-10-26</t>
        </is>
      </c>
      <c r="R10" s="3" t="inlineStr">
        <is>
          <t>https://shop.muji.tw/SalePage/Index/8919518</t>
        </is>
      </c>
      <c r="S10" s="2" t="inlineStr">
        <is>
          <t>官網</t>
        </is>
      </c>
      <c r="T10" s="2" t="inlineStr">
        <is>
          <t>high</t>
        </is>
      </c>
      <c r="U10" s="2" t="inlineStr">
        <is>
          <t>聚丙烯小物收納盒/6層(貨號61154909)用分隔板</t>
        </is>
      </c>
      <c r="V10" s="2" t="inlineStr">
        <is>
          <t>1入；官方規格「約9.9x3.8x0.3cm」，依原順序填入，方向未標示；對應本體在台灣網路商店查無</t>
        </is>
      </c>
    </row>
    <row r="11">
      <c r="A11" s="2" t="inlineStr">
        <is>
          <t>MUJI-A010</t>
        </is>
      </c>
      <c r="B11" s="2" t="inlineStr">
        <is>
          <t>MUJI</t>
        </is>
      </c>
      <c r="C11" s="2" t="inlineStr">
        <is>
          <t>抽屜隔板</t>
        </is>
      </c>
      <c r="D11" s="2" t="inlineStr">
        <is>
          <t>聚苯乙烯分隔板.白灰.3分隔/大</t>
        </is>
      </c>
      <c r="E11" s="2" t="inlineStr">
        <is>
          <t>4550002856410</t>
        </is>
      </c>
      <c r="F11" s="2" t="n"/>
      <c r="G11" s="2" t="n"/>
      <c r="H11" s="2" t="n">
        <v>27</v>
      </c>
      <c r="I11" s="2" t="n">
        <v>21</v>
      </c>
      <c r="J11" s="2" t="n">
        <v>16</v>
      </c>
      <c r="K11" s="2" t="n"/>
      <c r="L11" s="2" t="n"/>
      <c r="M11" s="2" t="inlineStr">
        <is>
          <t>免安裝</t>
        </is>
      </c>
      <c r="N11" s="2" t="inlineStr">
        <is>
          <t>聚苯乙烯樹脂(PS樹脂)</t>
        </is>
      </c>
      <c r="O11" s="2" t="inlineStr">
        <is>
          <t>白灰</t>
        </is>
      </c>
      <c r="P11" s="2" t="n">
        <v>269</v>
      </c>
      <c r="Q11" s="2" t="inlineStr">
        <is>
          <t>2026-10-26</t>
        </is>
      </c>
      <c r="R11" s="3" t="inlineStr">
        <is>
          <t>https://shop.muji.tw/SalePage/Index/8916898</t>
        </is>
      </c>
      <c r="S11" s="2" t="inlineStr">
        <is>
          <t>官網</t>
        </is>
      </c>
      <c r="T11" s="2" t="inlineStr">
        <is>
          <t>high</t>
        </is>
      </c>
      <c r="U11" s="2" t="inlineStr"/>
      <c r="V11" s="2" t="inlineStr">
        <is>
          <t>官方規格約270x210x160mm；3分隔，每分隔間距約83mm</t>
        </is>
      </c>
    </row>
    <row r="12">
      <c r="A12" s="2" t="inlineStr">
        <is>
          <t>MUJI-A011</t>
        </is>
      </c>
      <c r="B12" s="2" t="inlineStr">
        <is>
          <t>MUJI</t>
        </is>
      </c>
      <c r="C12" s="2" t="inlineStr">
        <is>
          <t>抽屜隔板</t>
        </is>
      </c>
      <c r="D12" s="2" t="inlineStr">
        <is>
          <t>聚苯乙烯分隔板.白灰.3分隔/小</t>
        </is>
      </c>
      <c r="E12" s="2" t="inlineStr">
        <is>
          <t>4550002856427</t>
        </is>
      </c>
      <c r="F12" s="2" t="n"/>
      <c r="G12" s="2" t="n"/>
      <c r="H12" s="2" t="n">
        <v>21</v>
      </c>
      <c r="I12" s="2" t="n">
        <v>13.5</v>
      </c>
      <c r="J12" s="2" t="n">
        <v>16</v>
      </c>
      <c r="K12" s="2" t="n"/>
      <c r="L12" s="2" t="n"/>
      <c r="M12" s="2" t="inlineStr">
        <is>
          <t>免安裝</t>
        </is>
      </c>
      <c r="N12" s="2" t="inlineStr">
        <is>
          <t>聚苯乙烯樹脂(PS樹脂)</t>
        </is>
      </c>
      <c r="O12" s="2" t="inlineStr">
        <is>
          <t>白灰</t>
        </is>
      </c>
      <c r="P12" s="2" t="n">
        <v>199</v>
      </c>
      <c r="Q12" s="2" t="inlineStr">
        <is>
          <t>2026-10-26</t>
        </is>
      </c>
      <c r="R12" s="3" t="inlineStr">
        <is>
          <t>https://shop.muji.tw/SalePage/Index/8916929</t>
        </is>
      </c>
      <c r="S12" s="2" t="inlineStr">
        <is>
          <t>官網</t>
        </is>
      </c>
      <c r="T12" s="2" t="inlineStr">
        <is>
          <t>high</t>
        </is>
      </c>
      <c r="U12" s="2" t="inlineStr"/>
      <c r="V12" s="2" t="inlineStr">
        <is>
          <t>官方規格約210x135x160mm；3分隔，每分隔間距約38mm；網路商店於查詢日顯示已售完</t>
        </is>
      </c>
    </row>
    <row r="13">
      <c r="A13" s="2" t="inlineStr">
        <is>
          <t>MUJI-A012</t>
        </is>
      </c>
      <c r="B13" s="2" t="inlineStr">
        <is>
          <t>MUJI</t>
        </is>
      </c>
      <c r="C13" s="2" t="inlineStr">
        <is>
          <t>抽屜隔板</t>
        </is>
      </c>
      <c r="D13" s="2" t="inlineStr">
        <is>
          <t>鋼製分隔板.2分隔</t>
        </is>
      </c>
      <c r="E13" s="2" t="inlineStr">
        <is>
          <t>4550583767150</t>
        </is>
      </c>
      <c r="F13" s="2" t="n"/>
      <c r="G13" s="2" t="n"/>
      <c r="H13" s="2" t="n">
        <v>8.6</v>
      </c>
      <c r="I13" s="2" t="n">
        <v>23</v>
      </c>
      <c r="J13" s="2" t="n">
        <v>11</v>
      </c>
      <c r="K13" s="2" t="n"/>
      <c r="L13" s="2" t="n"/>
      <c r="M13" s="2" t="inlineStr">
        <is>
          <t>免安裝</t>
        </is>
      </c>
      <c r="N13" s="2" t="inlineStr">
        <is>
          <t>鋼(環氧樹脂粉體塗裝)、矽膠</t>
        </is>
      </c>
      <c r="O13" s="2" t="inlineStr">
        <is>
          <t>深灰</t>
        </is>
      </c>
      <c r="P13" s="2" t="n">
        <v>690</v>
      </c>
      <c r="Q13" s="2" t="inlineStr">
        <is>
          <t>2026-10-26</t>
        </is>
      </c>
      <c r="R13" s="3" t="inlineStr">
        <is>
          <t>https://shop.muji.tw/SalePage/Index/10330664</t>
        </is>
      </c>
      <c r="S13" s="2" t="inlineStr">
        <is>
          <t>官網</t>
        </is>
      </c>
      <c r="T13" s="2" t="inlineStr">
        <is>
          <t>high</t>
        </is>
      </c>
      <c r="U13" s="2" t="inlineStr">
        <is>
          <t>收納用隔板，可放置書本、雜誌、筆記型電腦等；高度可與鋼製文具系列搭配</t>
        </is>
      </c>
      <c r="V13" s="2" t="inlineStr">
        <is>
          <t>官方規格約寬86×深230×高110mm；隔板間距約40mm；請勿堆疊或放重物</t>
        </is>
      </c>
    </row>
    <row r="14">
      <c r="A14" s="2" t="inlineStr">
        <is>
          <t>MUJI-A013</t>
        </is>
      </c>
      <c r="B14" s="2" t="inlineStr">
        <is>
          <t>MUJI</t>
        </is>
      </c>
      <c r="C14" s="2" t="inlineStr">
        <is>
          <t>抽屜隔板</t>
        </is>
      </c>
      <c r="D14" s="2" t="inlineStr">
        <is>
          <t>鋼製書架隔板.小</t>
        </is>
      </c>
      <c r="E14" s="2" t="inlineStr">
        <is>
          <t>4550182603071</t>
        </is>
      </c>
      <c r="F14" s="2" t="n"/>
      <c r="G14" s="2" t="n"/>
      <c r="H14" s="2" t="n">
        <v>10</v>
      </c>
      <c r="I14" s="2" t="n">
        <v>8</v>
      </c>
      <c r="J14" s="2" t="n">
        <v>10</v>
      </c>
      <c r="K14" s="2" t="n"/>
      <c r="L14" s="2" t="n"/>
      <c r="M14" s="2" t="inlineStr">
        <is>
          <t>免安裝</t>
        </is>
      </c>
      <c r="N14" s="2" t="inlineStr">
        <is>
          <t>鋼</t>
        </is>
      </c>
      <c r="O14" s="2" t="inlineStr"/>
      <c r="P14" s="2" t="n">
        <v>79</v>
      </c>
      <c r="Q14" s="2" t="inlineStr">
        <is>
          <t>2026-10-26</t>
        </is>
      </c>
      <c r="R14" s="3" t="inlineStr">
        <is>
          <t>https://shop.muji.tw/SalePage/Index/8917007</t>
        </is>
      </c>
      <c r="S14" s="2" t="inlineStr">
        <is>
          <t>官網</t>
        </is>
      </c>
      <c r="T14" s="2" t="inlineStr">
        <is>
          <t>high</t>
        </is>
      </c>
      <c r="U14" s="2" t="inlineStr">
        <is>
          <t>書架隔板</t>
        </is>
      </c>
      <c r="V14" s="2" t="inlineStr">
        <is>
          <t>書擋型；官方規格10x8x10cm，依原順序填入</t>
        </is>
      </c>
    </row>
    <row r="15">
      <c r="A15" s="2" t="inlineStr">
        <is>
          <t>MUJI-A014</t>
        </is>
      </c>
      <c r="B15" s="2" t="inlineStr">
        <is>
          <t>MUJI</t>
        </is>
      </c>
      <c r="C15" s="2" t="inlineStr">
        <is>
          <t>抽屜隔板</t>
        </is>
      </c>
      <c r="D15" s="2" t="inlineStr">
        <is>
          <t>鋼製書架隔板.中</t>
        </is>
      </c>
      <c r="E15" s="2" t="inlineStr">
        <is>
          <t>4550182603064</t>
        </is>
      </c>
      <c r="F15" s="2" t="n"/>
      <c r="G15" s="2" t="n"/>
      <c r="H15" s="2" t="n">
        <v>12</v>
      </c>
      <c r="I15" s="2" t="n">
        <v>12</v>
      </c>
      <c r="J15" s="2" t="n">
        <v>17.5</v>
      </c>
      <c r="K15" s="2" t="n"/>
      <c r="L15" s="2" t="n"/>
      <c r="M15" s="2" t="inlineStr">
        <is>
          <t>免安裝</t>
        </is>
      </c>
      <c r="N15" s="2" t="inlineStr">
        <is>
          <t>鋼</t>
        </is>
      </c>
      <c r="O15" s="2" t="inlineStr"/>
      <c r="P15" s="2" t="n">
        <v>99</v>
      </c>
      <c r="Q15" s="2" t="inlineStr">
        <is>
          <t>2026-10-26</t>
        </is>
      </c>
      <c r="R15" s="3" t="inlineStr">
        <is>
          <t>https://shop.muji.tw/SalePage/Index/8917030</t>
        </is>
      </c>
      <c r="S15" s="2" t="inlineStr">
        <is>
          <t>官網</t>
        </is>
      </c>
      <c r="T15" s="2" t="inlineStr">
        <is>
          <t>high</t>
        </is>
      </c>
      <c r="U15" s="2" t="inlineStr">
        <is>
          <t>書架隔板</t>
        </is>
      </c>
      <c r="V15" s="2" t="inlineStr">
        <is>
          <t>書擋型；官方規格12x12x17.5cm；網路商店於查詢日顯示已售完</t>
        </is>
      </c>
    </row>
    <row r="16">
      <c r="A16" s="2" t="inlineStr">
        <is>
          <t>MUJI-A015</t>
        </is>
      </c>
      <c r="B16" s="2" t="inlineStr">
        <is>
          <t>MUJI</t>
        </is>
      </c>
      <c r="C16" s="2" t="inlineStr">
        <is>
          <t>抽屜隔板</t>
        </is>
      </c>
      <c r="D16" s="2" t="inlineStr">
        <is>
          <t>鋼製書架隔板.大</t>
        </is>
      </c>
      <c r="E16" s="2" t="inlineStr">
        <is>
          <t>4550182603057</t>
        </is>
      </c>
      <c r="F16" s="2" t="n"/>
      <c r="G16" s="2" t="n"/>
      <c r="H16" s="2" t="n">
        <v>16</v>
      </c>
      <c r="I16" s="2" t="n">
        <v>15</v>
      </c>
      <c r="J16" s="2" t="n">
        <v>21</v>
      </c>
      <c r="K16" s="2" t="n"/>
      <c r="L16" s="2" t="n"/>
      <c r="M16" s="2" t="inlineStr">
        <is>
          <t>免安裝</t>
        </is>
      </c>
      <c r="N16" s="2" t="inlineStr">
        <is>
          <t>鋼</t>
        </is>
      </c>
      <c r="O16" s="2" t="inlineStr"/>
      <c r="P16" s="2" t="n">
        <v>129</v>
      </c>
      <c r="Q16" s="2" t="inlineStr">
        <is>
          <t>2026-10-26</t>
        </is>
      </c>
      <c r="R16" s="3" t="inlineStr">
        <is>
          <t>https://shop.muji.tw/SalePage/Index/8916994</t>
        </is>
      </c>
      <c r="S16" s="2" t="inlineStr">
        <is>
          <t>官網</t>
        </is>
      </c>
      <c r="T16" s="2" t="inlineStr">
        <is>
          <t>high</t>
        </is>
      </c>
      <c r="U16" s="2" t="inlineStr">
        <is>
          <t>書架隔板</t>
        </is>
      </c>
      <c r="V16" s="2" t="inlineStr">
        <is>
          <t>書擋型；官方規格16x15x21cm；網路商店於查詢日顯示已售完</t>
        </is>
      </c>
    </row>
    <row r="17">
      <c r="A17" s="2" t="inlineStr">
        <is>
          <t>MUJI-A016</t>
        </is>
      </c>
      <c r="B17" s="2" t="inlineStr">
        <is>
          <t>MUJI</t>
        </is>
      </c>
      <c r="C17" s="2" t="inlineStr">
        <is>
          <t>小型置物架</t>
        </is>
      </c>
      <c r="D17" s="2" t="inlineStr">
        <is>
          <t>壓克力隔板/26×17.5×10cm</t>
        </is>
      </c>
      <c r="E17" s="2" t="inlineStr">
        <is>
          <t>4547315919833</t>
        </is>
      </c>
      <c r="F17" s="2" t="n"/>
      <c r="G17" s="2" t="n"/>
      <c r="H17" s="2" t="n">
        <v>26</v>
      </c>
      <c r="I17" s="2" t="n">
        <v>17.5</v>
      </c>
      <c r="J17" s="2" t="n">
        <v>10</v>
      </c>
      <c r="K17" s="2" t="n"/>
      <c r="L17" s="2" t="n"/>
      <c r="M17" s="2" t="inlineStr">
        <is>
          <t>免安裝</t>
        </is>
      </c>
      <c r="N17" s="2" t="inlineStr">
        <is>
          <t>丙烯系樹脂(壓克力)</t>
        </is>
      </c>
      <c r="O17" s="2" t="inlineStr">
        <is>
          <t>透明</t>
        </is>
      </c>
      <c r="P17" s="2" t="n">
        <v>219</v>
      </c>
      <c r="Q17" s="2" t="inlineStr">
        <is>
          <t>2026-10-26</t>
        </is>
      </c>
      <c r="R17" s="3" t="inlineStr">
        <is>
          <t>https://shop.muji.tw/SalePage/Index/8916974</t>
        </is>
      </c>
      <c r="S17" s="2" t="inlineStr">
        <is>
          <t>官網</t>
        </is>
      </c>
      <c r="T17" s="2" t="inlineStr">
        <is>
          <t>high</t>
        </is>
      </c>
      <c r="U17" s="2" t="inlineStr">
        <is>
          <t>用途多元的隔板，可用於分隔或擺放物品</t>
        </is>
      </c>
      <c r="V17" s="2" t="inlineStr">
        <is>
          <t>ㄈ型層板加高架</t>
        </is>
      </c>
    </row>
    <row r="18">
      <c r="A18" s="2" t="inlineStr">
        <is>
          <t>MUJI-A017</t>
        </is>
      </c>
      <c r="B18" s="2" t="inlineStr">
        <is>
          <t>MUJI</t>
        </is>
      </c>
      <c r="C18" s="2" t="inlineStr">
        <is>
          <t>小型置物架</t>
        </is>
      </c>
      <c r="D18" s="2" t="inlineStr">
        <is>
          <t>壓克力隔板/26×17.5×16cm</t>
        </is>
      </c>
      <c r="E18" s="2" t="inlineStr">
        <is>
          <t>4547315919840</t>
        </is>
      </c>
      <c r="F18" s="2" t="n"/>
      <c r="G18" s="2" t="n"/>
      <c r="H18" s="2" t="n">
        <v>26</v>
      </c>
      <c r="I18" s="2" t="n">
        <v>17.5</v>
      </c>
      <c r="J18" s="2" t="n">
        <v>16</v>
      </c>
      <c r="K18" s="2" t="n"/>
      <c r="L18" s="2" t="n"/>
      <c r="M18" s="2" t="inlineStr">
        <is>
          <t>免安裝</t>
        </is>
      </c>
      <c r="N18" s="2" t="inlineStr">
        <is>
          <t>丙烯系樹脂(壓克力)</t>
        </is>
      </c>
      <c r="O18" s="2" t="inlineStr">
        <is>
          <t>透明</t>
        </is>
      </c>
      <c r="P18" s="2" t="n">
        <v>269</v>
      </c>
      <c r="Q18" s="2" t="inlineStr">
        <is>
          <t>2026-10-26</t>
        </is>
      </c>
      <c r="R18" s="3" t="inlineStr">
        <is>
          <t>https://shop.muji.tw/SalePage/Index/8916992</t>
        </is>
      </c>
      <c r="S18" s="2" t="inlineStr">
        <is>
          <t>官網</t>
        </is>
      </c>
      <c r="T18" s="2" t="inlineStr">
        <is>
          <t>high</t>
        </is>
      </c>
      <c r="U18" s="2" t="inlineStr">
        <is>
          <t>用途多元的隔板，可用於分隔或擺放物品</t>
        </is>
      </c>
      <c r="V18" s="2" t="inlineStr">
        <is>
          <t>ㄈ型層板加高架</t>
        </is>
      </c>
    </row>
    <row r="19">
      <c r="A19" s="2" t="inlineStr">
        <is>
          <t>MUJI-A018</t>
        </is>
      </c>
      <c r="B19" s="2" t="inlineStr">
        <is>
          <t>MUJI</t>
        </is>
      </c>
      <c r="C19" s="2" t="inlineStr">
        <is>
          <t>小型置物架</t>
        </is>
      </c>
      <c r="D19" s="2" t="inlineStr">
        <is>
          <t>不鏽鋼廚房立架</t>
        </is>
      </c>
      <c r="E19" s="2" t="inlineStr">
        <is>
          <t>4550344902394</t>
        </is>
      </c>
      <c r="F19" s="2" t="n"/>
      <c r="G19" s="2" t="n"/>
      <c r="H19" s="2" t="n">
        <v>10</v>
      </c>
      <c r="I19" s="2" t="n">
        <v>20.5</v>
      </c>
      <c r="J19" s="2" t="n">
        <v>15</v>
      </c>
      <c r="K19" s="2" t="n"/>
      <c r="L19" s="2" t="n"/>
      <c r="M19" s="2" t="inlineStr">
        <is>
          <t>免安裝</t>
        </is>
      </c>
      <c r="N19" s="2" t="inlineStr">
        <is>
          <t>18-8不鏽鋼</t>
        </is>
      </c>
      <c r="O19" s="2" t="inlineStr"/>
      <c r="P19" s="2" t="n">
        <v>300</v>
      </c>
      <c r="Q19" s="2" t="inlineStr">
        <is>
          <t>2026-10-26</t>
        </is>
      </c>
      <c r="R19" s="3" t="inlineStr">
        <is>
          <t>https://shop.muji.tw/SalePage/Index/8918348</t>
        </is>
      </c>
      <c r="S19" s="2" t="inlineStr">
        <is>
          <t>官網</t>
        </is>
      </c>
      <c r="T19" s="2" t="inlineStr">
        <is>
          <t>high</t>
        </is>
      </c>
      <c r="U19" s="2" t="inlineStr">
        <is>
          <t>收納餐具或砧板，瓶子或鍋蓋也可同時擺放</t>
        </is>
      </c>
      <c r="V19" s="2" t="inlineStr">
        <is>
          <t>請勿拖拉本體以免損傷洗碗槽</t>
        </is>
      </c>
    </row>
    <row r="20">
      <c r="A20" s="2" t="inlineStr">
        <is>
          <t>MUJI-A019</t>
        </is>
      </c>
      <c r="B20" s="2" t="inlineStr">
        <is>
          <t>MUJI</t>
        </is>
      </c>
      <c r="C20" s="2" t="inlineStr">
        <is>
          <t>小型置物架</t>
        </is>
      </c>
      <c r="D20" s="2" t="inlineStr">
        <is>
          <t>相思木立架/不鏽鋼收納籃用</t>
        </is>
      </c>
      <c r="E20" s="2" t="inlineStr">
        <is>
          <t>4550584437083</t>
        </is>
      </c>
      <c r="F20" s="2" t="n"/>
      <c r="G20" s="2" t="n"/>
      <c r="H20" s="2" t="n">
        <v>43</v>
      </c>
      <c r="I20" s="2" t="n">
        <v>31.5</v>
      </c>
      <c r="J20" s="2" t="n">
        <v>39.5</v>
      </c>
      <c r="K20" s="2" t="n"/>
      <c r="L20" s="2" t="n">
        <v>5</v>
      </c>
      <c r="M20" s="2" t="inlineStr">
        <is>
          <t>免安裝</t>
        </is>
      </c>
      <c r="N20" s="2" t="inlineStr">
        <is>
          <t>天然木(相思木)</t>
        </is>
      </c>
      <c r="O20" s="2" t="inlineStr"/>
      <c r="P20" s="2" t="n">
        <v>890</v>
      </c>
      <c r="Q20" s="2" t="inlineStr">
        <is>
          <t>2026-10-26</t>
        </is>
      </c>
      <c r="R20" s="3" t="inlineStr">
        <is>
          <t>https://shop.muji.tw/SalePage/Index/10653130</t>
        </is>
      </c>
      <c r="S20" s="2" t="inlineStr">
        <is>
          <t>官網</t>
        </is>
      </c>
      <c r="T20" s="2" t="inlineStr">
        <is>
          <t>high</t>
        </is>
      </c>
      <c r="U20" s="2" t="inlineStr">
        <is>
          <t>可與不鏽鋼收納籃組合的立架(收納籃需另購)</t>
        </is>
      </c>
      <c r="V20" s="2" t="inlineStr">
        <is>
          <t>耐重最大5kg，勿單側放置；品號PA12JJ5S</t>
        </is>
      </c>
    </row>
    <row r="21">
      <c r="A21" s="2" t="inlineStr">
        <is>
          <t>MUJI-A020</t>
        </is>
      </c>
      <c r="B21" s="2" t="inlineStr">
        <is>
          <t>MUJI</t>
        </is>
      </c>
      <c r="C21" s="2" t="inlineStr">
        <is>
          <t>小型置物架</t>
        </is>
      </c>
      <c r="D21" s="2" t="inlineStr">
        <is>
          <t>不鏽鋼海綿架/吸盤式</t>
        </is>
      </c>
      <c r="E21" s="2" t="inlineStr">
        <is>
          <t>4550584794520</t>
        </is>
      </c>
      <c r="F21" s="2" t="n"/>
      <c r="G21" s="2" t="n"/>
      <c r="H21" s="2" t="n">
        <v>6</v>
      </c>
      <c r="I21" s="2" t="n">
        <v>5</v>
      </c>
      <c r="J21" s="2" t="n">
        <v>7</v>
      </c>
      <c r="K21" s="2" t="n"/>
      <c r="L21" s="2" t="n"/>
      <c r="M21" s="2" t="inlineStr">
        <is>
          <t>吸盤</t>
        </is>
      </c>
      <c r="N21" s="2" t="inlineStr">
        <is>
          <t>18-8不鏽鋼、吸盤:聚氯乙烯樹脂</t>
        </is>
      </c>
      <c r="O21" s="2" t="inlineStr"/>
      <c r="P21" s="2" t="n">
        <v>180</v>
      </c>
      <c r="Q21" s="2" t="inlineStr">
        <is>
          <t>2026-10-26</t>
        </is>
      </c>
      <c r="R21" s="3" t="inlineStr">
        <is>
          <t>https://shop.muji.tw/SalePage/Index/11580248</t>
        </is>
      </c>
      <c r="S21" s="2" t="inlineStr">
        <is>
          <t>官網</t>
        </is>
      </c>
      <c r="T21" s="2" t="inlineStr">
        <is>
          <t>high</t>
        </is>
      </c>
      <c r="U21" s="2" t="inlineStr">
        <is>
          <t>利用吸盤吸附於洗碗槽等平滑表面上</t>
        </is>
      </c>
      <c r="V21" s="2" t="inlineStr">
        <is>
          <t>品號MC13FA5S</t>
        </is>
      </c>
    </row>
    <row r="22">
      <c r="A22" s="2" t="inlineStr">
        <is>
          <t>MUJI-A021</t>
        </is>
      </c>
      <c r="B22" s="2" t="inlineStr">
        <is>
          <t>MUJI</t>
        </is>
      </c>
      <c r="C22" s="2" t="inlineStr">
        <is>
          <t>掛勾</t>
        </is>
      </c>
      <c r="D22" s="2" t="inlineStr">
        <is>
          <t>S掛鉤/防橫搖型/小/2入</t>
        </is>
      </c>
      <c r="E22" s="2" t="inlineStr">
        <is>
          <t>4549738755616</t>
        </is>
      </c>
      <c r="F22" s="2" t="n"/>
      <c r="G22" s="2" t="n"/>
      <c r="H22" s="2" t="n">
        <v>5</v>
      </c>
      <c r="I22" s="2" t="n">
        <v>1</v>
      </c>
      <c r="J22" s="2" t="n">
        <v>9.5</v>
      </c>
      <c r="K22" s="2" t="n"/>
      <c r="L22" s="2" t="n"/>
      <c r="M22" s="2" t="inlineStr">
        <is>
          <t>掛勾</t>
        </is>
      </c>
      <c r="N22" s="2" t="inlineStr">
        <is>
          <t>18-8不鏽鋼</t>
        </is>
      </c>
      <c r="O22" s="2" t="inlineStr"/>
      <c r="P22" s="2" t="n"/>
      <c r="Q22" s="2" t="inlineStr">
        <is>
          <t>2026-10-26</t>
        </is>
      </c>
      <c r="R22" s="3" t="inlineStr">
        <is>
          <t>https://shop.muji.tw/SalePage/Index/8918240</t>
        </is>
      </c>
      <c r="S22" s="2" t="inlineStr">
        <is>
          <t>官網</t>
        </is>
      </c>
      <c r="T22" s="2" t="inlineStr">
        <is>
          <t>high</t>
        </is>
      </c>
      <c r="U22" s="2" t="inlineStr">
        <is>
          <t>用於懸掛小物</t>
        </is>
      </c>
      <c r="V22" s="2" t="inlineStr">
        <is>
          <t>SET:4549738755616|140|2|2;單件約5×1×9.5cm；適用直徑2~3.5cm的橫桿；不易左右搖晃</t>
        </is>
      </c>
    </row>
    <row r="23">
      <c r="A23" s="2" t="inlineStr">
        <is>
          <t>MUJI-A022</t>
        </is>
      </c>
      <c r="B23" s="2" t="inlineStr">
        <is>
          <t>MUJI</t>
        </is>
      </c>
      <c r="C23" s="2" t="inlineStr">
        <is>
          <t>掛勾</t>
        </is>
      </c>
      <c r="D23" s="2" t="inlineStr">
        <is>
          <t>S掛鉤/防橫搖型/大/2入/7A</t>
        </is>
      </c>
      <c r="E23" s="2" t="inlineStr">
        <is>
          <t>4549738755609</t>
        </is>
      </c>
      <c r="F23" s="2" t="n"/>
      <c r="G23" s="2" t="n"/>
      <c r="H23" s="2" t="n">
        <v>7</v>
      </c>
      <c r="I23" s="2" t="n">
        <v>1.5</v>
      </c>
      <c r="J23" s="2" t="n">
        <v>14</v>
      </c>
      <c r="K23" s="2" t="n"/>
      <c r="L23" s="2" t="n"/>
      <c r="M23" s="2" t="inlineStr">
        <is>
          <t>掛勾</t>
        </is>
      </c>
      <c r="N23" s="2" t="inlineStr">
        <is>
          <t>18-8不鏽鋼</t>
        </is>
      </c>
      <c r="O23" s="2" t="inlineStr"/>
      <c r="P23" s="2" t="n"/>
      <c r="Q23" s="2" t="inlineStr">
        <is>
          <t>2026-10-26</t>
        </is>
      </c>
      <c r="R23" s="3" t="inlineStr">
        <is>
          <t>https://shop.muji.tw/SalePage/Index/8918252</t>
        </is>
      </c>
      <c r="S23" s="2" t="inlineStr">
        <is>
          <t>官網</t>
        </is>
      </c>
      <c r="T23" s="2" t="inlineStr">
        <is>
          <t>high</t>
        </is>
      </c>
      <c r="U23" s="2" t="inlineStr">
        <is>
          <t>用於懸掛小物</t>
        </is>
      </c>
      <c r="V23" s="2" t="inlineStr">
        <is>
          <t>SET:4549738755609|260|2|2;單件約7×1.5×14cm；適用直徑3~5cm的橫桿；網路商店於查詢日顯示已售完</t>
        </is>
      </c>
    </row>
    <row r="24">
      <c r="A24" s="2" t="inlineStr">
        <is>
          <t>MUJI-A023</t>
        </is>
      </c>
      <c r="B24" s="2" t="inlineStr">
        <is>
          <t>MUJI</t>
        </is>
      </c>
      <c r="C24" s="2" t="inlineStr">
        <is>
          <t>掛勾</t>
        </is>
      </c>
      <c r="D24" s="2" t="inlineStr">
        <is>
          <t>掛鉤/防橫搖型/小/3入</t>
        </is>
      </c>
      <c r="E24" s="2" t="inlineStr">
        <is>
          <t>4549738755630</t>
        </is>
      </c>
      <c r="F24" s="2" t="n"/>
      <c r="G24" s="2" t="n"/>
      <c r="H24" s="2" t="n"/>
      <c r="I24" s="2" t="n"/>
      <c r="J24" s="2" t="n"/>
      <c r="K24" s="2" t="n"/>
      <c r="L24" s="2" t="n"/>
      <c r="M24" s="2" t="inlineStr">
        <is>
          <t>掛勾</t>
        </is>
      </c>
      <c r="N24" s="2" t="inlineStr">
        <is>
          <t>18-8不鏽鋼</t>
        </is>
      </c>
      <c r="O24" s="2" t="inlineStr"/>
      <c r="P24" s="2" t="n"/>
      <c r="Q24" s="2" t="inlineStr">
        <is>
          <t>2026-10-26</t>
        </is>
      </c>
      <c r="R24" s="3" t="inlineStr">
        <is>
          <t>https://shop.muji.tw/SalePage/Index/8918231</t>
        </is>
      </c>
      <c r="S24" s="2" t="inlineStr">
        <is>
          <t>官網</t>
        </is>
      </c>
      <c r="T24" s="2" t="inlineStr">
        <is>
          <t>high</t>
        </is>
      </c>
      <c r="U24" s="2" t="inlineStr"/>
      <c r="V24" s="2" t="inlineStr">
        <is>
          <t>SET:4549738755630|130|3|3;最大可固定於直徑7.5mm的圓形桿；官方規格「約直徑1*2.5mm」意義不明，尺寸欄留空；網路商店於查詢日顯示已售完</t>
        </is>
      </c>
    </row>
    <row r="25">
      <c r="A25" s="2" t="inlineStr">
        <is>
          <t>MUJI-A024</t>
        </is>
      </c>
      <c r="B25" s="2" t="inlineStr">
        <is>
          <t>MUJI</t>
        </is>
      </c>
      <c r="C25" s="2" t="inlineStr">
        <is>
          <t>掛勾</t>
        </is>
      </c>
      <c r="D25" s="2" t="inlineStr">
        <is>
          <t>掛鉤/防橫搖型/大/2入</t>
        </is>
      </c>
      <c r="E25" s="2" t="inlineStr">
        <is>
          <t>4549738755623</t>
        </is>
      </c>
      <c r="F25" s="2" t="n"/>
      <c r="G25" s="2" t="n"/>
      <c r="H25" s="2" t="n"/>
      <c r="I25" s="2" t="n"/>
      <c r="J25" s="2" t="n"/>
      <c r="K25" s="2" t="n"/>
      <c r="L25" s="2" t="n"/>
      <c r="M25" s="2" t="inlineStr">
        <is>
          <t>掛勾</t>
        </is>
      </c>
      <c r="N25" s="2" t="inlineStr">
        <is>
          <t>18-8不鏽鋼</t>
        </is>
      </c>
      <c r="O25" s="2" t="inlineStr"/>
      <c r="P25" s="2" t="n"/>
      <c r="Q25" s="2" t="inlineStr">
        <is>
          <t>2026-10-26</t>
        </is>
      </c>
      <c r="R25" s="3" t="inlineStr">
        <is>
          <t>https://shop.muji.tw/SalePage/Index/8918234</t>
        </is>
      </c>
      <c r="S25" s="2" t="inlineStr">
        <is>
          <t>官網</t>
        </is>
      </c>
      <c r="T25" s="2" t="inlineStr">
        <is>
          <t>high</t>
        </is>
      </c>
      <c r="U25" s="2" t="inlineStr"/>
      <c r="V25" s="2" t="inlineStr">
        <is>
          <t>SET:4549738755623|130|2|2;最大可固定於直徑14.5mm的圓形桿；官方規格「約直徑1.5×2.5cm」意義不明，尺寸欄留空；網路商店於查詢日顯示已售完</t>
        </is>
      </c>
    </row>
    <row r="26">
      <c r="A26" s="2" t="inlineStr">
        <is>
          <t>MUJI-A025</t>
        </is>
      </c>
      <c r="B26" s="2" t="inlineStr">
        <is>
          <t>MUJI</t>
        </is>
      </c>
      <c r="C26" s="2" t="inlineStr">
        <is>
          <t>掛勾</t>
        </is>
      </c>
      <c r="D26" s="2" t="inlineStr">
        <is>
          <t>掛鉤/防橫搖型/長型</t>
        </is>
      </c>
      <c r="E26" s="2" t="inlineStr">
        <is>
          <t>4550584835797</t>
        </is>
      </c>
      <c r="F26" s="2" t="n"/>
      <c r="G26" s="2" t="n"/>
      <c r="H26" s="2" t="n">
        <v>1.5</v>
      </c>
      <c r="I26" s="2" t="n">
        <v>6.5</v>
      </c>
      <c r="J26" s="2" t="n">
        <v>25</v>
      </c>
      <c r="K26" s="2" t="n"/>
      <c r="L26" s="2" t="n">
        <v>2</v>
      </c>
      <c r="M26" s="2" t="inlineStr">
        <is>
          <t>掛勾</t>
        </is>
      </c>
      <c r="N26" s="2" t="inlineStr">
        <is>
          <t>18-8不鏽鋼(電解拋光)</t>
        </is>
      </c>
      <c r="O26" s="2" t="inlineStr"/>
      <c r="P26" s="2" t="n">
        <v>110</v>
      </c>
      <c r="Q26" s="2" t="inlineStr">
        <is>
          <t>2026-10-26</t>
        </is>
      </c>
      <c r="R26" s="3" t="inlineStr">
        <is>
          <t>https://shop.muji.tw/SalePage/Index/12052444</t>
        </is>
      </c>
      <c r="S26" s="2" t="inlineStr">
        <is>
          <t>官網</t>
        </is>
      </c>
      <c r="T26" s="2" t="inlineStr">
        <is>
          <t>high</t>
        </is>
      </c>
      <c r="U26" s="2" t="inlineStr">
        <is>
          <t>可上下掛用，有效利用空間</t>
        </is>
      </c>
      <c r="V26" s="2" t="inlineStr">
        <is>
          <t>適用直徑18mm以內的桿子；品號MAJ27A5S；網路商店於查詢日顯示已售完</t>
        </is>
      </c>
    </row>
    <row r="27">
      <c r="A27" s="2" t="inlineStr">
        <is>
          <t>MUJI-A026</t>
        </is>
      </c>
      <c r="B27" s="2" t="inlineStr">
        <is>
          <t>MUJI</t>
        </is>
      </c>
      <c r="C27" s="2" t="inlineStr">
        <is>
          <t>掛勾</t>
        </is>
      </c>
      <c r="D27" s="2" t="inlineStr">
        <is>
          <t>鋁製S掛鉤/小</t>
        </is>
      </c>
      <c r="E27" s="2" t="inlineStr">
        <is>
          <t>4550182932386</t>
        </is>
      </c>
      <c r="F27" s="2" t="n"/>
      <c r="G27" s="2" t="n"/>
      <c r="H27" s="2" t="n">
        <v>3</v>
      </c>
      <c r="I27" s="2" t="n"/>
      <c r="J27" s="2" t="n">
        <v>5.5</v>
      </c>
      <c r="K27" s="2" t="n"/>
      <c r="L27" s="2" t="n">
        <v>4</v>
      </c>
      <c r="M27" s="2" t="inlineStr">
        <is>
          <t>掛勾</t>
        </is>
      </c>
      <c r="N27" s="2" t="inlineStr">
        <is>
          <t>鋁合金</t>
        </is>
      </c>
      <c r="O27" s="2" t="inlineStr"/>
      <c r="P27" s="2" t="n"/>
      <c r="Q27" s="2" t="inlineStr">
        <is>
          <t>2026-10-26</t>
        </is>
      </c>
      <c r="R27" s="3" t="inlineStr">
        <is>
          <t>https://shop.muji.tw/SalePage/Index/8918274</t>
        </is>
      </c>
      <c r="S27" s="2" t="inlineStr">
        <is>
          <t>官網</t>
        </is>
      </c>
      <c r="T27" s="2" t="inlineStr">
        <is>
          <t>high</t>
        </is>
      </c>
      <c r="U27" s="2" t="inlineStr"/>
      <c r="V27" s="2" t="inlineStr">
        <is>
          <t>SET:4550182932386|50|3|3;單件約寬3×高5.5cm；可吊掛直徑約1.5cm圓柱形橫桿；耐重約4kg(官方未說明為單件或整組)</t>
        </is>
      </c>
    </row>
    <row r="28">
      <c r="A28" s="2" t="inlineStr">
        <is>
          <t>MUJI-A027</t>
        </is>
      </c>
      <c r="B28" s="2" t="inlineStr">
        <is>
          <t>MUJI</t>
        </is>
      </c>
      <c r="C28" s="2" t="inlineStr">
        <is>
          <t>掛勾</t>
        </is>
      </c>
      <c r="D28" s="2" t="inlineStr">
        <is>
          <t>鋁製S掛鉤/中</t>
        </is>
      </c>
      <c r="E28" s="2" t="inlineStr">
        <is>
          <t>4550182932379</t>
        </is>
      </c>
      <c r="F28" s="2" t="n"/>
      <c r="G28" s="2" t="n"/>
      <c r="H28" s="2" t="n">
        <v>4</v>
      </c>
      <c r="I28" s="2" t="n"/>
      <c r="J28" s="2" t="n">
        <v>8.5</v>
      </c>
      <c r="K28" s="2" t="n"/>
      <c r="L28" s="2" t="n">
        <v>4</v>
      </c>
      <c r="M28" s="2" t="inlineStr">
        <is>
          <t>掛勾</t>
        </is>
      </c>
      <c r="N28" s="2" t="inlineStr">
        <is>
          <t>鋁合金</t>
        </is>
      </c>
      <c r="O28" s="2" t="inlineStr"/>
      <c r="P28" s="2" t="n"/>
      <c r="Q28" s="2" t="inlineStr">
        <is>
          <t>2026-10-26</t>
        </is>
      </c>
      <c r="R28" s="3" t="inlineStr">
        <is>
          <t>https://shop.muji.tw/SalePage/Index/8918257</t>
        </is>
      </c>
      <c r="S28" s="2" t="inlineStr">
        <is>
          <t>官網</t>
        </is>
      </c>
      <c r="T28" s="2" t="inlineStr">
        <is>
          <t>high</t>
        </is>
      </c>
      <c r="U28" s="2" t="inlineStr"/>
      <c r="V28" s="2" t="inlineStr">
        <is>
          <t>SET:4550182932379|50|2|2;單件約寬4×高8.5cm；可吊掛直徑約2.5cm圓柱形橫桿；耐重約4kg(官方未說明為單件或整組)</t>
        </is>
      </c>
    </row>
    <row r="29">
      <c r="A29" s="2" t="inlineStr">
        <is>
          <t>MUJI-A028</t>
        </is>
      </c>
      <c r="B29" s="2" t="inlineStr">
        <is>
          <t>MUJI</t>
        </is>
      </c>
      <c r="C29" s="2" t="inlineStr">
        <is>
          <t>掛勾</t>
        </is>
      </c>
      <c r="D29" s="2" t="inlineStr">
        <is>
          <t>鋁製S掛鉤/大</t>
        </is>
      </c>
      <c r="E29" s="2" t="inlineStr">
        <is>
          <t>4550182932362</t>
        </is>
      </c>
      <c r="F29" s="2" t="n"/>
      <c r="G29" s="2" t="n"/>
      <c r="H29" s="2" t="n">
        <v>5.5</v>
      </c>
      <c r="I29" s="2" t="n"/>
      <c r="J29" s="2" t="n">
        <v>11</v>
      </c>
      <c r="K29" s="2" t="n"/>
      <c r="L29" s="2" t="n">
        <v>4</v>
      </c>
      <c r="M29" s="2" t="inlineStr">
        <is>
          <t>掛勾</t>
        </is>
      </c>
      <c r="N29" s="2" t="inlineStr">
        <is>
          <t>鋁合金</t>
        </is>
      </c>
      <c r="O29" s="2" t="inlineStr"/>
      <c r="P29" s="2" t="n">
        <v>50</v>
      </c>
      <c r="Q29" s="2" t="inlineStr">
        <is>
          <t>2026-10-26</t>
        </is>
      </c>
      <c r="R29" s="3" t="inlineStr">
        <is>
          <t>https://shop.muji.tw/SalePage/Index/8918276</t>
        </is>
      </c>
      <c r="S29" s="2" t="inlineStr">
        <is>
          <t>官網</t>
        </is>
      </c>
      <c r="T29" s="2" t="inlineStr">
        <is>
          <t>high</t>
        </is>
      </c>
      <c r="U29" s="2" t="inlineStr"/>
      <c r="V29" s="2" t="inlineStr">
        <is>
          <t>1入；約寬5.5×高11cm；可吊掛直徑約3cm圓柱形橫桿；耐重約4kg；網路商店於查詢日顯示已售完</t>
        </is>
      </c>
    </row>
    <row r="30">
      <c r="A30" s="2" t="inlineStr">
        <is>
          <t>MUJI-A029</t>
        </is>
      </c>
      <c r="B30" s="2" t="inlineStr">
        <is>
          <t>MUJI</t>
        </is>
      </c>
      <c r="C30" s="2" t="inlineStr">
        <is>
          <t>掛勾</t>
        </is>
      </c>
      <c r="D30" s="2" t="inlineStr">
        <is>
          <t>不鏽鋼掛鉤/門用</t>
        </is>
      </c>
      <c r="E30" s="2" t="inlineStr">
        <is>
          <t>4549738755593</t>
        </is>
      </c>
      <c r="F30" s="2" t="n"/>
      <c r="G30" s="2" t="n"/>
      <c r="H30" s="2" t="n">
        <v>3.5</v>
      </c>
      <c r="I30" s="2" t="n">
        <v>6</v>
      </c>
      <c r="J30" s="2" t="n">
        <v>6</v>
      </c>
      <c r="K30" s="2" t="n"/>
      <c r="L30" s="2" t="n">
        <v>1</v>
      </c>
      <c r="M30" s="2" t="inlineStr">
        <is>
          <t>掛門</t>
        </is>
      </c>
      <c r="N30" s="2" t="inlineStr">
        <is>
          <t>18-8不鏽鋼</t>
        </is>
      </c>
      <c r="O30" s="2" t="inlineStr"/>
      <c r="P30" s="2" t="n">
        <v>80</v>
      </c>
      <c r="Q30" s="2" t="inlineStr">
        <is>
          <t>2026-10-26</t>
        </is>
      </c>
      <c r="R30" s="3" t="inlineStr">
        <is>
          <t>https://shop.muji.tw/SalePage/Index/8918250</t>
        </is>
      </c>
      <c r="S30" s="2" t="inlineStr">
        <is>
          <t>官網</t>
        </is>
      </c>
      <c r="T30" s="2" t="inlineStr">
        <is>
          <t>high</t>
        </is>
      </c>
      <c r="U30" s="2" t="inlineStr">
        <is>
          <t>不需釘子或螺絲即可嵌入固定於門板上</t>
        </is>
      </c>
      <c r="V30" s="2" t="inlineStr">
        <is>
          <t>網路商店於查詢日顯示已售完</t>
        </is>
      </c>
    </row>
    <row r="31">
      <c r="A31" s="2" t="inlineStr">
        <is>
          <t>MUJI-A030</t>
        </is>
      </c>
      <c r="B31" s="2" t="inlineStr">
        <is>
          <t>MUJI</t>
        </is>
      </c>
      <c r="C31" s="2" t="inlineStr">
        <is>
          <t>掛勾</t>
        </is>
      </c>
      <c r="D31" s="2" t="inlineStr">
        <is>
          <t>不鏽鋼掛鉤/門用/2連</t>
        </is>
      </c>
      <c r="E31" s="2" t="inlineStr">
        <is>
          <t>4550583923556</t>
        </is>
      </c>
      <c r="F31" s="2" t="n"/>
      <c r="G31" s="2" t="n"/>
      <c r="H31" s="2" t="n">
        <v>6.5</v>
      </c>
      <c r="I31" s="2" t="n">
        <v>5.5</v>
      </c>
      <c r="J31" s="2" t="n">
        <v>6</v>
      </c>
      <c r="K31" s="2" t="n"/>
      <c r="L31" s="2" t="n">
        <v>1</v>
      </c>
      <c r="M31" s="2" t="inlineStr">
        <is>
          <t>掛門</t>
        </is>
      </c>
      <c r="N31" s="2" t="inlineStr">
        <is>
          <t>18-8不鏽鋼</t>
        </is>
      </c>
      <c r="O31" s="2" t="inlineStr"/>
      <c r="P31" s="2" t="n">
        <v>90</v>
      </c>
      <c r="Q31" s="2" t="inlineStr">
        <is>
          <t>2026-10-26</t>
        </is>
      </c>
      <c r="R31" s="3" t="inlineStr">
        <is>
          <t>https://shop.muji.tw/SalePage/Index/11863282</t>
        </is>
      </c>
      <c r="S31" s="2" t="inlineStr">
        <is>
          <t>官網</t>
        </is>
      </c>
      <c r="T31" s="2" t="inlineStr">
        <is>
          <t>high</t>
        </is>
      </c>
      <c r="U31" s="2" t="inlineStr">
        <is>
          <t>廚房、洗手台水槽櫃門用掛鉤，可掛毛巾或抹布</t>
        </is>
      </c>
      <c r="V31" s="2" t="inlineStr">
        <is>
          <t>適用厚度21mm以下的櫃門；耐重1kg(單邊500g)；品號MAJ13A4S；網路商店於查詢日顯示已售完</t>
        </is>
      </c>
    </row>
    <row r="32">
      <c r="A32" s="2" t="inlineStr">
        <is>
          <t>MUJI-A031</t>
        </is>
      </c>
      <c r="B32" s="2" t="inlineStr">
        <is>
          <t>MUJI</t>
        </is>
      </c>
      <c r="C32" s="2" t="inlineStr">
        <is>
          <t>掛勾</t>
        </is>
      </c>
      <c r="D32" s="2" t="inlineStr">
        <is>
          <t>不鏽鋼雙頭S掛鉤/2連</t>
        </is>
      </c>
      <c r="E32" s="2" t="inlineStr">
        <is>
          <t>4550583923563</t>
        </is>
      </c>
      <c r="F32" s="2" t="n"/>
      <c r="G32" s="2" t="n"/>
      <c r="H32" s="2" t="n">
        <v>6.5</v>
      </c>
      <c r="I32" s="2" t="n">
        <v>4.5</v>
      </c>
      <c r="J32" s="2" t="n">
        <v>6.5</v>
      </c>
      <c r="K32" s="2" t="n"/>
      <c r="L32" s="2" t="n">
        <v>1</v>
      </c>
      <c r="M32" s="2" t="inlineStr">
        <is>
          <t>掛勾</t>
        </is>
      </c>
      <c r="N32" s="2" t="inlineStr">
        <is>
          <t>18-8不鏽鋼</t>
        </is>
      </c>
      <c r="O32" s="2" t="inlineStr"/>
      <c r="P32" s="2" t="n">
        <v>90</v>
      </c>
      <c r="Q32" s="2" t="inlineStr">
        <is>
          <t>2026-10-26</t>
        </is>
      </c>
      <c r="R32" s="3" t="inlineStr">
        <is>
          <t>https://shop.muji.tw/SalePage/Index/10391413</t>
        </is>
      </c>
      <c r="S32" s="2" t="inlineStr">
        <is>
          <t>官網</t>
        </is>
      </c>
      <c r="T32" s="2" t="inlineStr">
        <is>
          <t>high</t>
        </is>
      </c>
      <c r="U32" s="2" t="inlineStr">
        <is>
          <t>可依吊掛物品或位置調整方向，用於吊掛小型物品或配件</t>
        </is>
      </c>
      <c r="V32" s="2" t="inlineStr">
        <is>
          <t>適合吊掛在直徑21mm或5mm的管線上；耐重約1kg(單邊約0.5kg)；網路商店於查詢日顯示已售完</t>
        </is>
      </c>
    </row>
    <row r="33">
      <c r="A33" s="2" t="inlineStr">
        <is>
          <t>MUJI-A032</t>
        </is>
      </c>
      <c r="B33" s="2" t="inlineStr">
        <is>
          <t>MUJI</t>
        </is>
      </c>
      <c r="C33" s="2" t="inlineStr">
        <is>
          <t>掛勾</t>
        </is>
      </c>
      <c r="D33" s="2" t="inlineStr">
        <is>
          <t>不鏽鋼瓶用掛鉤/瀝水籃專用</t>
        </is>
      </c>
      <c r="E33" s="2" t="inlineStr">
        <is>
          <t>4550583923495</t>
        </is>
      </c>
      <c r="F33" s="2" t="n"/>
      <c r="G33" s="2" t="n"/>
      <c r="H33" s="2" t="n">
        <v>3.5</v>
      </c>
      <c r="I33" s="2" t="n">
        <v>7</v>
      </c>
      <c r="J33" s="2" t="n">
        <v>13.5</v>
      </c>
      <c r="K33" s="2" t="n"/>
      <c r="L33" s="2" t="n">
        <v>0.5</v>
      </c>
      <c r="M33" s="2" t="inlineStr">
        <is>
          <t>掛勾</t>
        </is>
      </c>
      <c r="N33" s="2" t="inlineStr">
        <is>
          <t>18-8不鏽鋼</t>
        </is>
      </c>
      <c r="O33" s="2" t="inlineStr"/>
      <c r="P33" s="2" t="n">
        <v>90</v>
      </c>
      <c r="Q33" s="2" t="inlineStr">
        <is>
          <t>2026-10-26</t>
        </is>
      </c>
      <c r="R33" s="3" t="inlineStr">
        <is>
          <t>https://shop.muji.tw/SalePage/Index/10391411</t>
        </is>
      </c>
      <c r="S33" s="2" t="inlineStr">
        <is>
          <t>官網</t>
        </is>
      </c>
      <c r="T33" s="2" t="inlineStr">
        <is>
          <t>high</t>
        </is>
      </c>
      <c r="U33" s="2" t="inlineStr">
        <is>
          <t>掛在不鏽鋼瀝水籃上，用於晾乾清洗後的瓶罐和玻璃杯</t>
        </is>
      </c>
      <c r="V33" s="2" t="inlineStr">
        <is>
          <t>用於直徑5mm以下的管線</t>
        </is>
      </c>
    </row>
    <row r="34">
      <c r="A34" s="2" t="inlineStr">
        <is>
          <t>MUJI-A033</t>
        </is>
      </c>
      <c r="B34" s="2" t="inlineStr">
        <is>
          <t>MUJI</t>
        </is>
      </c>
      <c r="C34" s="2" t="inlineStr">
        <is>
          <t>掛勾</t>
        </is>
      </c>
      <c r="D34" s="2" t="inlineStr">
        <is>
          <t>不鏽鋼絲夾/掛鉤式/4入/7A</t>
        </is>
      </c>
      <c r="E34" s="2" t="inlineStr">
        <is>
          <t>4549738755586</t>
        </is>
      </c>
      <c r="F34" s="2" t="n"/>
      <c r="G34" s="2" t="n"/>
      <c r="H34" s="2" t="n">
        <v>2</v>
      </c>
      <c r="I34" s="2" t="n">
        <v>5.5</v>
      </c>
      <c r="J34" s="2" t="n">
        <v>9.5</v>
      </c>
      <c r="K34" s="2" t="n"/>
      <c r="L34" s="2" t="n"/>
      <c r="M34" s="2" t="inlineStr">
        <is>
          <t>掛勾</t>
        </is>
      </c>
      <c r="N34" s="2" t="inlineStr">
        <is>
          <t>18-8不鏽鋼</t>
        </is>
      </c>
      <c r="O34" s="2" t="inlineStr"/>
      <c r="P34" s="2" t="n"/>
      <c r="Q34" s="2" t="inlineStr">
        <is>
          <t>2026-10-26</t>
        </is>
      </c>
      <c r="R34" s="3" t="inlineStr">
        <is>
          <t>https://shop.muji.tw/SalePage/Index/8918185</t>
        </is>
      </c>
      <c r="S34" s="2" t="inlineStr">
        <is>
          <t>官網</t>
        </is>
      </c>
      <c r="T34" s="2" t="inlineStr">
        <is>
          <t>high</t>
        </is>
      </c>
      <c r="U34" s="2" t="inlineStr">
        <is>
          <t>勾在桿上使用，懸吊食譜、抹布、橡膠手套等物品</t>
        </is>
      </c>
      <c r="V34" s="2" t="inlineStr">
        <is>
          <t>SET:4549738755586|119|4|4;單件約寬2×深5.5×高9.5cm</t>
        </is>
      </c>
    </row>
    <row r="35">
      <c r="A35" s="2" t="inlineStr">
        <is>
          <t>MUJI-A034</t>
        </is>
      </c>
      <c r="B35" s="2" t="inlineStr">
        <is>
          <t>MUJI</t>
        </is>
      </c>
      <c r="C35" s="2" t="inlineStr">
        <is>
          <t>掛勾</t>
        </is>
      </c>
      <c r="D35" s="2" t="inlineStr">
        <is>
          <t>旅行用S鉤</t>
        </is>
      </c>
      <c r="E35" s="2" t="inlineStr">
        <is>
          <t>4550002547431</t>
        </is>
      </c>
      <c r="F35" s="2" t="n"/>
      <c r="G35" s="2" t="n"/>
      <c r="H35" s="2" t="n">
        <v>5</v>
      </c>
      <c r="I35" s="2" t="n"/>
      <c r="J35" s="2" t="n">
        <v>9</v>
      </c>
      <c r="K35" s="2" t="n"/>
      <c r="L35" s="2" t="n"/>
      <c r="M35" s="2" t="inlineStr">
        <is>
          <t>掛勾</t>
        </is>
      </c>
      <c r="N35" s="2" t="inlineStr">
        <is>
          <t>POM樹脂</t>
        </is>
      </c>
      <c r="O35" s="2" t="inlineStr">
        <is>
          <t>淺灰</t>
        </is>
      </c>
      <c r="P35" s="2" t="n">
        <v>140</v>
      </c>
      <c r="Q35" s="2" t="inlineStr">
        <is>
          <t>2026-10-26</t>
        </is>
      </c>
      <c r="R35" s="3" t="inlineStr">
        <is>
          <t>https://shop.muji.tw/SalePage/Index/8920758</t>
        </is>
      </c>
      <c r="S35" s="2" t="inlineStr">
        <is>
          <t>官網</t>
        </is>
      </c>
      <c r="T35" s="2" t="inlineStr">
        <is>
          <t>high</t>
        </is>
      </c>
      <c r="U35" s="2" t="inlineStr">
        <is>
          <t>旅行中吊掛物品；呈O型時可與鑰匙環、收納袋等連結</t>
        </is>
      </c>
      <c r="V35" s="2" t="inlineStr">
        <is>
          <t>官方規格「黑.約50x90mm」，與品名「淺灰」顏色不一致，color依品名</t>
        </is>
      </c>
    </row>
    <row r="36">
      <c r="A36" s="2" t="inlineStr">
        <is>
          <t>MUJI-A035</t>
        </is>
      </c>
      <c r="B36" s="2" t="inlineStr">
        <is>
          <t>MUJI</t>
        </is>
      </c>
      <c r="C36" s="2" t="inlineStr">
        <is>
          <t>掛勾</t>
        </is>
      </c>
      <c r="D36" s="2" t="inlineStr">
        <is>
          <t>壁掛家具/掛鉤</t>
        </is>
      </c>
      <c r="E36" s="2" t="inlineStr">
        <is>
          <t>4550344162323/4550344162378</t>
        </is>
      </c>
      <c r="F36" s="2" t="n"/>
      <c r="G36" s="2" t="n"/>
      <c r="H36" s="2" t="n">
        <v>4</v>
      </c>
      <c r="I36" s="2" t="n">
        <v>6</v>
      </c>
      <c r="J36" s="2" t="n">
        <v>8</v>
      </c>
      <c r="K36" s="2" t="n"/>
      <c r="L36" s="2" t="n">
        <v>2</v>
      </c>
      <c r="M36" s="2" t="inlineStr">
        <is>
          <t>壁掛(石膏板牆，無提供鑽牆螺絲)</t>
        </is>
      </c>
      <c r="N36" s="2" t="inlineStr">
        <is>
          <t>天然木(橡木/胡桃木)、聚苯乙烯樹脂</t>
        </is>
      </c>
      <c r="O36" s="2" t="inlineStr">
        <is>
          <t>橡木/胡桃木</t>
        </is>
      </c>
      <c r="P36" s="2" t="n">
        <v>300</v>
      </c>
      <c r="Q36" s="2" t="inlineStr">
        <is>
          <t>2026-10-26</t>
        </is>
      </c>
      <c r="R36" s="3" t="inlineStr">
        <is>
          <t>https://shop.muji.tw/SalePage/Index/8916062</t>
        </is>
      </c>
      <c r="S36" s="2" t="inlineStr">
        <is>
          <t>官網</t>
        </is>
      </c>
      <c r="T36" s="2" t="inlineStr">
        <is>
          <t>high</t>
        </is>
      </c>
      <c r="U36" s="2" t="inlineStr">
        <is>
          <t>可當帽架或外套掛勾(胡桃木款說明)</t>
        </is>
      </c>
      <c r="V36" s="2" t="inlineStr">
        <is>
          <t>橡木款300元(JAN 4550344162323，SalePage 8916062)；胡桃木款350元(JAN 4550344162378，SalePage 12209053)；胡桃木款官方規格「長40×深60×高80mm」</t>
        </is>
      </c>
    </row>
    <row r="37">
      <c r="A37" s="2" t="inlineStr">
        <is>
          <t>MUJI-A036</t>
        </is>
      </c>
      <c r="B37" s="2" t="inlineStr">
        <is>
          <t>MUJI</t>
        </is>
      </c>
      <c r="C37" s="2" t="inlineStr">
        <is>
          <t>掛勾</t>
        </is>
      </c>
      <c r="D37" s="2" t="inlineStr">
        <is>
          <t>壁掛家具/三連掛鉤/44cm</t>
        </is>
      </c>
      <c r="E37" s="2" t="inlineStr">
        <is>
          <t>4550344504840/4550344504956</t>
        </is>
      </c>
      <c r="F37" s="2" t="n"/>
      <c r="G37" s="2" t="n"/>
      <c r="H37" s="2" t="n">
        <v>44</v>
      </c>
      <c r="I37" s="2" t="n">
        <v>2.5</v>
      </c>
      <c r="J37" s="2" t="n">
        <v>10</v>
      </c>
      <c r="K37" s="2" t="n"/>
      <c r="L37" s="2" t="n">
        <v>5</v>
      </c>
      <c r="M37" s="2" t="inlineStr">
        <is>
          <t>壁掛(石膏板牆，無提供鑽牆螺絲)</t>
        </is>
      </c>
      <c r="N37" s="2" t="inlineStr">
        <is>
          <t>天然木質裝飾單板貼面纖維板、天然木掛鉤</t>
        </is>
      </c>
      <c r="O37" s="2" t="inlineStr">
        <is>
          <t>橡木/胡桃木</t>
        </is>
      </c>
      <c r="P37" s="2" t="n">
        <v>1190</v>
      </c>
      <c r="Q37" s="2" t="inlineStr">
        <is>
          <t>2026-10-26</t>
        </is>
      </c>
      <c r="R37" s="3" t="inlineStr">
        <is>
          <t>https://shop.muji.tw/SalePage/Index/12209056</t>
        </is>
      </c>
      <c r="S37" s="2" t="inlineStr">
        <is>
          <t>官網</t>
        </is>
      </c>
      <c r="T37" s="2" t="inlineStr">
        <is>
          <t>high</t>
        </is>
      </c>
      <c r="U37" s="2" t="inlineStr">
        <is>
          <t>適合用來掛帽子或外套</t>
        </is>
      </c>
      <c r="V37" s="2" t="inlineStr">
        <is>
          <t>耐重整體5kg、單個掛鉤2kg；官方規格「長440×深25×高100mm」；胡桃木款SalePage 12209059</t>
        </is>
      </c>
    </row>
    <row r="38">
      <c r="A38" s="2" t="inlineStr">
        <is>
          <t>MUJI-A037</t>
        </is>
      </c>
      <c r="B38" s="2" t="inlineStr">
        <is>
          <t>MUJI</t>
        </is>
      </c>
      <c r="C38" s="2" t="inlineStr">
        <is>
          <t>吊掛收納</t>
        </is>
      </c>
      <c r="D38" s="2" t="inlineStr">
        <is>
          <t>不鏽鋼掛門式收納/毛巾用橫桿/大</t>
        </is>
      </c>
      <c r="E38" s="2" t="inlineStr">
        <is>
          <t>4550583923440</t>
        </is>
      </c>
      <c r="F38" s="2" t="n"/>
      <c r="G38" s="2" t="n"/>
      <c r="H38" s="2" t="n">
        <v>37.5</v>
      </c>
      <c r="I38" s="2" t="n">
        <v>7.5</v>
      </c>
      <c r="J38" s="2" t="n">
        <v>5.5</v>
      </c>
      <c r="K38" s="2" t="n"/>
      <c r="L38" s="2" t="n">
        <v>5</v>
      </c>
      <c r="M38" s="2" t="inlineStr">
        <is>
          <t>掛門</t>
        </is>
      </c>
      <c r="N38" s="2" t="inlineStr">
        <is>
          <t>18-8不鏽鋼、墊片:發泡EVA</t>
        </is>
      </c>
      <c r="O38" s="2" t="inlineStr"/>
      <c r="P38" s="2" t="n">
        <v>210</v>
      </c>
      <c r="Q38" s="2" t="inlineStr">
        <is>
          <t>2026-10-26</t>
        </is>
      </c>
      <c r="R38" s="3" t="inlineStr">
        <is>
          <t>https://shop.muji.tw/SalePage/Index/10391409</t>
        </is>
      </c>
      <c r="S38" s="2" t="inlineStr">
        <is>
          <t>官網</t>
        </is>
      </c>
      <c r="T38" s="2" t="inlineStr">
        <is>
          <t>high</t>
        </is>
      </c>
      <c r="U38" s="2" t="inlineStr">
        <is>
          <t>掛在廚房或浴室水槽門上的毛巾架</t>
        </is>
      </c>
      <c r="V38" s="2" t="inlineStr">
        <is>
          <t>可掛在厚度21mm以下的門上；耐熱80℃</t>
        </is>
      </c>
    </row>
    <row r="39">
      <c r="A39" s="2" t="inlineStr">
        <is>
          <t>MUJI-A038</t>
        </is>
      </c>
      <c r="B39" s="2" t="inlineStr">
        <is>
          <t>MUJI</t>
        </is>
      </c>
      <c r="C39" s="2" t="inlineStr">
        <is>
          <t>吊掛收納</t>
        </is>
      </c>
      <c r="D39" s="2" t="inlineStr">
        <is>
          <t>不鏽鋼掛門式收納/毛巾用橫桿/小</t>
        </is>
      </c>
      <c r="E39" s="2" t="inlineStr">
        <is>
          <t>4550583923457</t>
        </is>
      </c>
      <c r="F39" s="2" t="n"/>
      <c r="G39" s="2" t="n"/>
      <c r="H39" s="2" t="n">
        <v>20.5</v>
      </c>
      <c r="I39" s="2" t="n">
        <v>7.5</v>
      </c>
      <c r="J39" s="2" t="n">
        <v>5.5</v>
      </c>
      <c r="K39" s="2" t="n"/>
      <c r="L39" s="2" t="n">
        <v>3</v>
      </c>
      <c r="M39" s="2" t="inlineStr">
        <is>
          <t>掛門</t>
        </is>
      </c>
      <c r="N39" s="2" t="inlineStr">
        <is>
          <t>18-8不鏽鋼、墊片:發泡EVA</t>
        </is>
      </c>
      <c r="O39" s="2" t="inlineStr"/>
      <c r="P39" s="2" t="n">
        <v>170</v>
      </c>
      <c r="Q39" s="2" t="inlineStr">
        <is>
          <t>2026-10-26</t>
        </is>
      </c>
      <c r="R39" s="3" t="inlineStr">
        <is>
          <t>https://shop.muji.tw/SalePage/Index/10391410</t>
        </is>
      </c>
      <c r="S39" s="2" t="inlineStr">
        <is>
          <t>官網</t>
        </is>
      </c>
      <c r="T39" s="2" t="inlineStr">
        <is>
          <t>high</t>
        </is>
      </c>
      <c r="U39" s="2" t="inlineStr">
        <is>
          <t>掛在廚房或浴室水槽門上的毛巾架</t>
        </is>
      </c>
      <c r="V39" s="2" t="inlineStr">
        <is>
          <t>可掛在厚度21mm以下的門上；耐熱80℃；網路商店於查詢日顯示已售完</t>
        </is>
      </c>
    </row>
    <row r="40">
      <c r="A40" s="2" t="inlineStr">
        <is>
          <t>NITORI-A001</t>
        </is>
      </c>
      <c r="B40" s="2" t="inlineStr">
        <is>
          <t>NITORI</t>
        </is>
      </c>
      <c r="C40" s="2" t="inlineStr">
        <is>
          <t>伸縮棒</t>
        </is>
      </c>
      <c r="D40" s="2" t="inlineStr">
        <is>
          <t>極粗伸縮桿 NT 120-200cm</t>
        </is>
      </c>
      <c r="E40" s="2" t="inlineStr">
        <is>
          <t>7450822</t>
        </is>
      </c>
      <c r="F40" s="2" t="n">
        <v>120</v>
      </c>
      <c r="G40" s="2" t="n">
        <v>200</v>
      </c>
      <c r="H40" s="2" t="n"/>
      <c r="I40" s="2" t="n"/>
      <c r="J40" s="2" t="n"/>
      <c r="K40" s="2" t="n">
        <v>2.2</v>
      </c>
      <c r="L40" s="2" t="n">
        <v>4</v>
      </c>
      <c r="M40" s="2" t="inlineStr">
        <is>
          <t>伸縮撐壓</t>
        </is>
      </c>
      <c r="N40" s="2" t="inlineStr">
        <is>
          <t>鋼</t>
        </is>
      </c>
      <c r="O40" s="2" t="inlineStr">
        <is>
          <t>白色</t>
        </is>
      </c>
      <c r="P40" s="2" t="n">
        <v>179</v>
      </c>
      <c r="Q40" s="2" t="inlineStr">
        <is>
          <t>2026-10-26</t>
        </is>
      </c>
      <c r="R40" s="3" t="inlineStr">
        <is>
          <t>https://www.nitori-net.tw/product/7450822</t>
        </is>
      </c>
      <c r="S40" s="2" t="inlineStr">
        <is>
          <t>官網</t>
        </is>
      </c>
      <c r="T40" s="2" t="inlineStr">
        <is>
          <t>high</t>
        </is>
      </c>
      <c r="U40" s="2" t="inlineStr"/>
      <c r="V40" s="2" t="inlineStr">
        <is>
          <t>直徑19mm/22mm（細管/粗管）；mount依官網「耐重會因牆壁材質、伸縮長度、旋轉鬆緊度（撐緊力道）而有差異」判定為撐壓式；分類頁品名標示70-120cm，但線上僅見120-200cm規格；價格：查詢日售價179（原價199）</t>
        </is>
      </c>
    </row>
    <row r="41">
      <c r="A41" s="2" t="inlineStr">
        <is>
          <t>NITORI-A002</t>
        </is>
      </c>
      <c r="B41" s="2" t="inlineStr">
        <is>
          <t>NITORI</t>
        </is>
      </c>
      <c r="C41" s="2" t="inlineStr">
        <is>
          <t>伸縮棒</t>
        </is>
      </c>
      <c r="D41" s="2" t="inlineStr">
        <is>
          <t>伸縮門簾桿 NT-5 25-40cm</t>
        </is>
      </c>
      <c r="E41" s="2" t="inlineStr">
        <is>
          <t>7450826</t>
        </is>
      </c>
      <c r="F41" s="2" t="n">
        <v>25</v>
      </c>
      <c r="G41" s="2" t="n">
        <v>40</v>
      </c>
      <c r="H41" s="2" t="n"/>
      <c r="I41" s="2" t="n"/>
      <c r="J41" s="2" t="n"/>
      <c r="K41" s="2" t="n">
        <v>1.35</v>
      </c>
      <c r="L41" s="2" t="n">
        <v>3</v>
      </c>
      <c r="M41" s="2" t="inlineStr">
        <is>
          <t>伸縮撐壓</t>
        </is>
      </c>
      <c r="N41" s="2" t="inlineStr">
        <is>
          <t>鋼</t>
        </is>
      </c>
      <c r="O41" s="2" t="inlineStr">
        <is>
          <t>白色</t>
        </is>
      </c>
      <c r="P41" s="2" t="n">
        <v>39</v>
      </c>
      <c r="Q41" s="2" t="inlineStr">
        <is>
          <t>2026-10-26</t>
        </is>
      </c>
      <c r="R41" s="3" t="inlineStr">
        <is>
          <t>https://www.nitori-net.tw/product/7450826</t>
        </is>
      </c>
      <c r="S41" s="2" t="inlineStr">
        <is>
          <t>官網</t>
        </is>
      </c>
      <c r="T41" s="2" t="inlineStr">
        <is>
          <t>high</t>
        </is>
      </c>
      <c r="U41" s="2" t="inlineStr">
        <is>
          <t>吊掛布簾</t>
        </is>
      </c>
      <c r="V41" s="2" t="inlineStr">
        <is>
          <t>直徑10.4mm/13.5mm；mount依官網「耐重會因牆壁材質、伸縮長度、旋轉鬆緊度（撐緊力道）而有差異」判定為撐壓式</t>
        </is>
      </c>
    </row>
    <row r="42">
      <c r="A42" s="2" t="inlineStr">
        <is>
          <t>NITORI-A003</t>
        </is>
      </c>
      <c r="B42" s="2" t="inlineStr">
        <is>
          <t>NITORI</t>
        </is>
      </c>
      <c r="C42" s="2" t="inlineStr">
        <is>
          <t>伸縮棒</t>
        </is>
      </c>
      <c r="D42" s="2" t="inlineStr">
        <is>
          <t>伸縮門簾桿 NT-5 40-70cm</t>
        </is>
      </c>
      <c r="E42" s="2" t="inlineStr">
        <is>
          <t>7450827</t>
        </is>
      </c>
      <c r="F42" s="2" t="n">
        <v>40</v>
      </c>
      <c r="G42" s="2" t="n">
        <v>70</v>
      </c>
      <c r="H42" s="2" t="n"/>
      <c r="I42" s="2" t="n"/>
      <c r="J42" s="2" t="n"/>
      <c r="K42" s="2" t="n">
        <v>1.35</v>
      </c>
      <c r="L42" s="2" t="n">
        <v>2.5</v>
      </c>
      <c r="M42" s="2" t="inlineStr">
        <is>
          <t>伸縮撐壓</t>
        </is>
      </c>
      <c r="N42" s="2" t="inlineStr">
        <is>
          <t>鋼</t>
        </is>
      </c>
      <c r="O42" s="2" t="inlineStr">
        <is>
          <t>白色</t>
        </is>
      </c>
      <c r="P42" s="2" t="n">
        <v>49</v>
      </c>
      <c r="Q42" s="2" t="inlineStr">
        <is>
          <t>2026-10-26</t>
        </is>
      </c>
      <c r="R42" s="3" t="inlineStr">
        <is>
          <t>https://www.nitori-net.tw/product/7450827</t>
        </is>
      </c>
      <c r="S42" s="2" t="inlineStr">
        <is>
          <t>官網</t>
        </is>
      </c>
      <c r="T42" s="2" t="inlineStr">
        <is>
          <t>high</t>
        </is>
      </c>
      <c r="U42" s="2" t="inlineStr">
        <is>
          <t>吊掛布簾</t>
        </is>
      </c>
      <c r="V42" s="2" t="inlineStr">
        <is>
          <t>直徑10.4mm/13.5mm；mount依官網「耐重會因牆壁材質、伸縮長度、旋轉鬆緊度（撐緊力道）而有差異」判定為撐壓式</t>
        </is>
      </c>
    </row>
    <row r="43">
      <c r="A43" s="2" t="inlineStr">
        <is>
          <t>NITORI-A004</t>
        </is>
      </c>
      <c r="B43" s="2" t="inlineStr">
        <is>
          <t>NITORI</t>
        </is>
      </c>
      <c r="C43" s="2" t="inlineStr">
        <is>
          <t>伸縮棒</t>
        </is>
      </c>
      <c r="D43" s="2" t="inlineStr">
        <is>
          <t>伸縮門簾桿 NT-5 120-200cm</t>
        </is>
      </c>
      <c r="E43" s="2" t="inlineStr">
        <is>
          <t>7450829/7450838</t>
        </is>
      </c>
      <c r="F43" s="2" t="n">
        <v>120</v>
      </c>
      <c r="G43" s="2" t="n">
        <v>200</v>
      </c>
      <c r="H43" s="2" t="n"/>
      <c r="I43" s="2" t="n"/>
      <c r="J43" s="2" t="n"/>
      <c r="K43" s="2" t="n">
        <v>1.35</v>
      </c>
      <c r="L43" s="2" t="n">
        <v>1</v>
      </c>
      <c r="M43" s="2" t="inlineStr">
        <is>
          <t>伸縮撐壓</t>
        </is>
      </c>
      <c r="N43" s="2" t="inlineStr">
        <is>
          <t>鋼</t>
        </is>
      </c>
      <c r="O43" s="2" t="inlineStr">
        <is>
          <t>白色/褐色</t>
        </is>
      </c>
      <c r="P43" s="2" t="n">
        <v>119</v>
      </c>
      <c r="Q43" s="2" t="inlineStr">
        <is>
          <t>2026-10-26</t>
        </is>
      </c>
      <c r="R43" s="3" t="inlineStr">
        <is>
          <t>https://www.nitori-net.tw/product/7450829</t>
        </is>
      </c>
      <c r="S43" s="2" t="inlineStr">
        <is>
          <t>官網</t>
        </is>
      </c>
      <c r="T43" s="2" t="inlineStr">
        <is>
          <t>high</t>
        </is>
      </c>
      <c r="U43" s="2" t="inlineStr">
        <is>
          <t>吊掛布簾</t>
        </is>
      </c>
      <c r="V43" s="2" t="inlineStr">
        <is>
          <t>直徑10.4mm/13.5mm；mount依官網「耐重會因牆壁材質、伸縮長度、旋轉鬆緊度（撐緊力道）而有差異」判定為撐壓式；價格：褐色 109元</t>
        </is>
      </c>
    </row>
    <row r="44">
      <c r="A44" s="2" t="inlineStr">
        <is>
          <t>NITORI-A005</t>
        </is>
      </c>
      <c r="B44" s="2" t="inlineStr">
        <is>
          <t>NITORI</t>
        </is>
      </c>
      <c r="C44" s="2" t="inlineStr">
        <is>
          <t>伸縮棒</t>
        </is>
      </c>
      <c r="D44" s="2" t="inlineStr">
        <is>
          <t>伸縮門簾桿 NT-6 40-70</t>
        </is>
      </c>
      <c r="E44" s="2" t="inlineStr">
        <is>
          <t>2114100279568/2114100279605</t>
        </is>
      </c>
      <c r="F44" s="2" t="n">
        <v>40</v>
      </c>
      <c r="G44" s="2" t="n">
        <v>70</v>
      </c>
      <c r="H44" s="2" t="n"/>
      <c r="I44" s="2" t="n"/>
      <c r="J44" s="2" t="n"/>
      <c r="K44" s="2" t="n">
        <v>1.35</v>
      </c>
      <c r="L44" s="2" t="n">
        <v>2.5</v>
      </c>
      <c r="M44" s="2" t="inlineStr">
        <is>
          <t>伸縮撐壓</t>
        </is>
      </c>
      <c r="N44" s="2" t="inlineStr">
        <is>
          <t>鋼、聚氯乙烯</t>
        </is>
      </c>
      <c r="O44" s="2" t="inlineStr">
        <is>
          <t>中褐色/灰色</t>
        </is>
      </c>
      <c r="P44" s="2" t="n">
        <v>69</v>
      </c>
      <c r="Q44" s="2" t="inlineStr">
        <is>
          <t>2026-10-26</t>
        </is>
      </c>
      <c r="R44" s="3" t="inlineStr">
        <is>
          <t>https://www.nitori-net.tw/product/2114100279568</t>
        </is>
      </c>
      <c r="S44" s="2" t="inlineStr">
        <is>
          <t>官網</t>
        </is>
      </c>
      <c r="T44" s="2" t="inlineStr">
        <is>
          <t>high</t>
        </is>
      </c>
      <c r="U44" s="2" t="inlineStr">
        <is>
          <t>房間隔間；衣櫥等收納空間遮擋</t>
        </is>
      </c>
      <c r="V44" s="2" t="inlineStr">
        <is>
          <t>桿徑13.5mm(最大直徑)；mount依官網「耐重會因牆壁材質、伸縮長度、旋轉鬆緊度（撐緊力道）而有差異」判定為撐壓式</t>
        </is>
      </c>
    </row>
    <row r="45">
      <c r="A45" s="2" t="inlineStr">
        <is>
          <t>NITORI-A006</t>
        </is>
      </c>
      <c r="B45" s="2" t="inlineStr">
        <is>
          <t>NITORI</t>
        </is>
      </c>
      <c r="C45" s="2" t="inlineStr">
        <is>
          <t>伸縮棒</t>
        </is>
      </c>
      <c r="D45" s="2" t="inlineStr">
        <is>
          <t>伸縮門簾桿 NT-6 70-120</t>
        </is>
      </c>
      <c r="E45" s="2" t="inlineStr">
        <is>
          <t>2114100279612</t>
        </is>
      </c>
      <c r="F45" s="2" t="n">
        <v>70</v>
      </c>
      <c r="G45" s="2" t="n">
        <v>120</v>
      </c>
      <c r="H45" s="2" t="n"/>
      <c r="I45" s="2" t="n"/>
      <c r="J45" s="2" t="n"/>
      <c r="K45" s="2" t="n">
        <v>1.35</v>
      </c>
      <c r="L45" s="2" t="n">
        <v>2</v>
      </c>
      <c r="M45" s="2" t="inlineStr">
        <is>
          <t>伸縮撐壓</t>
        </is>
      </c>
      <c r="N45" s="2" t="inlineStr">
        <is>
          <t>鋼</t>
        </is>
      </c>
      <c r="O45" s="2" t="inlineStr">
        <is>
          <t>灰色</t>
        </is>
      </c>
      <c r="P45" s="2" t="n">
        <v>79</v>
      </c>
      <c r="Q45" s="2" t="inlineStr">
        <is>
          <t>2026-10-26</t>
        </is>
      </c>
      <c r="R45" s="3" t="inlineStr">
        <is>
          <t>https://www.nitori-net.tw/product/2114100279612</t>
        </is>
      </c>
      <c r="S45" s="2" t="inlineStr">
        <is>
          <t>官網</t>
        </is>
      </c>
      <c r="T45" s="2" t="inlineStr">
        <is>
          <t>high</t>
        </is>
      </c>
      <c r="U45" s="2" t="inlineStr"/>
      <c r="V45" s="2" t="inlineStr">
        <is>
          <t>桿徑13.5mm(最大直徑)；mount依官網「耐重會因牆壁材質、伸縮長度、旋轉鬆緊度（撐緊力道）而有差異」判定為撐壓式</t>
        </is>
      </c>
    </row>
    <row r="46">
      <c r="A46" s="2" t="inlineStr">
        <is>
          <t>NITORI-A007</t>
        </is>
      </c>
      <c r="B46" s="2" t="inlineStr">
        <is>
          <t>NITORI</t>
        </is>
      </c>
      <c r="C46" s="2" t="inlineStr">
        <is>
          <t>伸縮棒</t>
        </is>
      </c>
      <c r="D46" s="2" t="inlineStr">
        <is>
          <t>浴室支撐吊桿 1.2M-2M</t>
        </is>
      </c>
      <c r="E46" s="2" t="inlineStr">
        <is>
          <t>7710665</t>
        </is>
      </c>
      <c r="F46" s="2" t="n">
        <v>120</v>
      </c>
      <c r="G46" s="2" t="n">
        <v>200</v>
      </c>
      <c r="H46" s="2" t="n"/>
      <c r="I46" s="2" t="n"/>
      <c r="J46" s="2" t="n"/>
      <c r="K46" s="2" t="n"/>
      <c r="L46" s="2" t="n"/>
      <c r="M46" s="2" t="inlineStr">
        <is>
          <t>伸縮撐壓</t>
        </is>
      </c>
      <c r="N46" s="2" t="inlineStr">
        <is>
          <t>不鏽鋼</t>
        </is>
      </c>
      <c r="O46" s="2" t="inlineStr">
        <is>
          <t>白色</t>
        </is>
      </c>
      <c r="P46" s="2" t="n">
        <v>299</v>
      </c>
      <c r="Q46" s="2" t="inlineStr">
        <is>
          <t>2026-10-26</t>
        </is>
      </c>
      <c r="R46" s="3" t="inlineStr">
        <is>
          <t>https://www.nitori-net.tw/product/7710665</t>
        </is>
      </c>
      <c r="S46" s="2" t="inlineStr">
        <is>
          <t>官網</t>
        </is>
      </c>
      <c r="T46" s="2" t="inlineStr">
        <is>
          <t>high</t>
        </is>
      </c>
      <c r="U46" s="2" t="inlineStr">
        <is>
          <t>安裝浴簾</t>
        </is>
      </c>
      <c r="V46" s="2" t="inlineStr">
        <is>
          <t>官網：耐重會依牆壁材質、使用長度而改變（未標數值）</t>
        </is>
      </c>
    </row>
    <row r="47">
      <c r="A47" s="2" t="inlineStr">
        <is>
          <t>NITORI-A008</t>
        </is>
      </c>
      <c r="B47" s="2" t="inlineStr">
        <is>
          <t>NITORI</t>
        </is>
      </c>
      <c r="C47" s="2" t="inlineStr">
        <is>
          <t>伸縮棒</t>
        </is>
      </c>
      <c r="D47" s="2" t="inlineStr">
        <is>
          <t>(網購限定)伸縮曬衣桿 掛衣桿 晾衣桿 170-280 HA02(EC)</t>
        </is>
      </c>
      <c r="E47" s="2" t="inlineStr">
        <is>
          <t>8542104</t>
        </is>
      </c>
      <c r="F47" s="2" t="n">
        <v>170</v>
      </c>
      <c r="G47" s="2" t="n">
        <v>280</v>
      </c>
      <c r="H47" s="2" t="n"/>
      <c r="I47" s="2" t="n"/>
      <c r="J47" s="2" t="n"/>
      <c r="K47" s="2" t="n">
        <v>3</v>
      </c>
      <c r="L47" s="2" t="n"/>
      <c r="M47" s="2" t="inlineStr">
        <is>
          <t>伸縮撐壓</t>
        </is>
      </c>
      <c r="N47" s="2" t="inlineStr">
        <is>
          <t>鋼、ABS樹脂</t>
        </is>
      </c>
      <c r="O47" s="2" t="inlineStr">
        <is>
          <t>純白色</t>
        </is>
      </c>
      <c r="P47" s="2" t="n">
        <v>349</v>
      </c>
      <c r="Q47" s="2" t="inlineStr">
        <is>
          <t>2026-10-26</t>
        </is>
      </c>
      <c r="R47" s="3" t="inlineStr">
        <is>
          <t>https://www.nitori-net.tw/product/8542104</t>
        </is>
      </c>
      <c r="S47" s="2" t="inlineStr">
        <is>
          <t>官網</t>
        </is>
      </c>
      <c r="T47" s="2" t="inlineStr">
        <is>
          <t>high</t>
        </is>
      </c>
      <c r="U47" s="2" t="inlineStr"/>
      <c r="V47" s="2" t="inlineStr">
        <is>
          <t>耐重依長度：安裝寬度170cm時最高約15kg、280cm時最高約8kg；官網：以強力撐住牆面方式安裝，限水平使用</t>
        </is>
      </c>
    </row>
    <row r="48">
      <c r="A48" s="2" t="inlineStr">
        <is>
          <t>NITORI-A009</t>
        </is>
      </c>
      <c r="B48" s="2" t="inlineStr">
        <is>
          <t>NITORI</t>
        </is>
      </c>
      <c r="C48" s="2" t="inlineStr">
        <is>
          <t>伸縮棒</t>
        </is>
      </c>
      <c r="D48" s="2" t="inlineStr">
        <is>
          <t>(網購限定)伸縮曬衣桿 掛衣桿 晾衣桿 HW04(EC)</t>
        </is>
      </c>
      <c r="E48" s="2" t="inlineStr">
        <is>
          <t>2112200002482</t>
        </is>
      </c>
      <c r="F48" s="2" t="n">
        <v>120</v>
      </c>
      <c r="G48" s="2" t="n">
        <v>220</v>
      </c>
      <c r="H48" s="2" t="n"/>
      <c r="I48" s="2" t="n"/>
      <c r="J48" s="2" t="n"/>
      <c r="K48" s="2" t="n">
        <v>2.5</v>
      </c>
      <c r="L48" s="2" t="n"/>
      <c r="M48" s="2" t="inlineStr">
        <is>
          <t>置於承托架</t>
        </is>
      </c>
      <c r="N48" s="2" t="inlineStr">
        <is>
          <t>鋁合金、ABS樹脂、聚氯乙烯</t>
        </is>
      </c>
      <c r="O48" s="2" t="inlineStr">
        <is>
          <t>白色</t>
        </is>
      </c>
      <c r="P48" s="2" t="n">
        <v>299</v>
      </c>
      <c r="Q48" s="2" t="inlineStr">
        <is>
          <t>2026-10-26</t>
        </is>
      </c>
      <c r="R48" s="3" t="inlineStr">
        <is>
          <t>https://www.nitori-net.tw/product/2112200002482</t>
        </is>
      </c>
      <c r="S48" s="2" t="inlineStr">
        <is>
          <t>官網</t>
        </is>
      </c>
      <c r="T48" s="2" t="inlineStr">
        <is>
          <t>high</t>
        </is>
      </c>
      <c r="U48" s="2" t="inlineStr"/>
      <c r="V48" s="2" t="inlineStr">
        <is>
          <t>管徑：伸縮部22mm、粗管25mm；官網：兩端須伸出衣架承托架外側；僅限室內使用；耐重未標示</t>
        </is>
      </c>
    </row>
    <row r="49">
      <c r="A49" s="2" t="inlineStr">
        <is>
          <t>NITORI-A010</t>
        </is>
      </c>
      <c r="B49" s="2" t="inlineStr">
        <is>
          <t>NITORI</t>
        </is>
      </c>
      <c r="C49" s="2" t="inlineStr">
        <is>
          <t>伸縮棒</t>
        </is>
      </c>
      <c r="D49" s="2" t="inlineStr">
        <is>
          <t>(網購限定)伸縮曬衣桿 1.4-2.5M(EC)</t>
        </is>
      </c>
      <c r="E49" s="2" t="inlineStr">
        <is>
          <t>8540141</t>
        </is>
      </c>
      <c r="F49" s="2" t="n">
        <v>140</v>
      </c>
      <c r="G49" s="2" t="n">
        <v>250</v>
      </c>
      <c r="H49" s="2" t="n"/>
      <c r="I49" s="2" t="n"/>
      <c r="J49" s="2" t="n"/>
      <c r="K49" s="2" t="n">
        <v>2.5</v>
      </c>
      <c r="L49" s="2" t="n">
        <v>14</v>
      </c>
      <c r="M49" s="2" t="inlineStr"/>
      <c r="N49" s="2" t="inlineStr">
        <is>
          <t>鋼、不鏽鋼、ABS樹酯</t>
        </is>
      </c>
      <c r="O49" s="2" t="inlineStr">
        <is>
          <t>銀色</t>
        </is>
      </c>
      <c r="P49" s="2" t="n">
        <v>149</v>
      </c>
      <c r="Q49" s="2" t="inlineStr">
        <is>
          <t>2026-10-26</t>
        </is>
      </c>
      <c r="R49" s="3" t="inlineStr">
        <is>
          <t>https://www.nitori-net.tw/product/8540141</t>
        </is>
      </c>
      <c r="S49" s="2" t="inlineStr">
        <is>
          <t>官網</t>
        </is>
      </c>
      <c r="T49" s="2" t="inlineStr">
        <is>
          <t>high</t>
        </is>
      </c>
      <c r="U49" s="2" t="inlineStr"/>
      <c r="V49" s="2" t="inlineStr">
        <is>
          <t>管徑：細管22mm、粗管25mm；兩端可伸縮；安裝方式官網未說明</t>
        </is>
      </c>
    </row>
    <row r="50">
      <c r="A50" s="2" t="inlineStr">
        <is>
          <t>NITORI-A011</t>
        </is>
      </c>
      <c r="B50" s="2" t="inlineStr">
        <is>
          <t>NITORI</t>
        </is>
      </c>
      <c r="C50" s="2" t="inlineStr">
        <is>
          <t>伸縮棒</t>
        </is>
      </c>
      <c r="D50" s="2" t="inlineStr">
        <is>
          <t>(網購限定)附掛勾伸縮曬衣桿 1.4-2.5m(EC)</t>
        </is>
      </c>
      <c r="E50" s="2" t="inlineStr">
        <is>
          <t>8540143</t>
        </is>
      </c>
      <c r="F50" s="2" t="n">
        <v>140</v>
      </c>
      <c r="G50" s="2" t="n">
        <v>250</v>
      </c>
      <c r="H50" s="2" t="n"/>
      <c r="I50" s="2" t="n"/>
      <c r="J50" s="2" t="n"/>
      <c r="K50" s="2" t="n">
        <v>2.5</v>
      </c>
      <c r="L50" s="2" t="n">
        <v>14</v>
      </c>
      <c r="M50" s="2" t="inlineStr"/>
      <c r="N50" s="2" t="inlineStr">
        <is>
          <t>鋼、ABS樹脂</t>
        </is>
      </c>
      <c r="O50" s="2" t="inlineStr">
        <is>
          <t>銀色</t>
        </is>
      </c>
      <c r="P50" s="2" t="n">
        <v>199</v>
      </c>
      <c r="Q50" s="2" t="inlineStr">
        <is>
          <t>2026-10-26</t>
        </is>
      </c>
      <c r="R50" s="3" t="inlineStr">
        <is>
          <t>https://www.nitori-net.tw/product/8540143</t>
        </is>
      </c>
      <c r="S50" s="2" t="inlineStr">
        <is>
          <t>官網</t>
        </is>
      </c>
      <c r="T50" s="2" t="inlineStr">
        <is>
          <t>high</t>
        </is>
      </c>
      <c r="U50" s="2" t="inlineStr"/>
      <c r="V50" s="2" t="inlineStr">
        <is>
          <t>附衣架掛勾；管徑：細管22mm、粗管25mm；安裝方式官網未說明</t>
        </is>
      </c>
    </row>
    <row r="51">
      <c r="A51" s="2" t="inlineStr">
        <is>
          <t>NITORI-A012</t>
        </is>
      </c>
      <c r="B51" s="2" t="inlineStr">
        <is>
          <t>NITORI</t>
        </is>
      </c>
      <c r="C51" s="2" t="inlineStr">
        <is>
          <t>伸縮棒</t>
        </is>
      </c>
      <c r="D51" s="2" t="inlineStr">
        <is>
          <t>(網購限定)伸縮曬衣桿 2.8-4m(EC)</t>
        </is>
      </c>
      <c r="E51" s="2" t="inlineStr">
        <is>
          <t>8540145</t>
        </is>
      </c>
      <c r="F51" s="2" t="n">
        <v>280</v>
      </c>
      <c r="G51" s="2" t="n">
        <v>400</v>
      </c>
      <c r="H51" s="2" t="n"/>
      <c r="I51" s="2" t="n"/>
      <c r="J51" s="2" t="n"/>
      <c r="K51" s="2" t="n">
        <v>2.9</v>
      </c>
      <c r="L51" s="2" t="n">
        <v>8</v>
      </c>
      <c r="M51" s="2" t="inlineStr"/>
      <c r="N51" s="2" t="inlineStr">
        <is>
          <t>鋼、ABS樹脂</t>
        </is>
      </c>
      <c r="O51" s="2" t="inlineStr">
        <is>
          <t>銀色</t>
        </is>
      </c>
      <c r="P51" s="2" t="n">
        <v>199</v>
      </c>
      <c r="Q51" s="2" t="inlineStr">
        <is>
          <t>2026-10-26</t>
        </is>
      </c>
      <c r="R51" s="3" t="inlineStr">
        <is>
          <t>https://www.nitori-net.tw/product/8540145</t>
        </is>
      </c>
      <c r="S51" s="2" t="inlineStr">
        <is>
          <t>官網</t>
        </is>
      </c>
      <c r="T51" s="2" t="inlineStr">
        <is>
          <t>high</t>
        </is>
      </c>
      <c r="U51" s="2" t="inlineStr"/>
      <c r="V51" s="2" t="inlineStr">
        <is>
          <t>管徑：細管25mm、粗管29mm；單側可伸縮；安裝方式官網未說明</t>
        </is>
      </c>
    </row>
    <row r="52">
      <c r="A52" s="2" t="inlineStr">
        <is>
          <t>NITORI-A013</t>
        </is>
      </c>
      <c r="B52" s="2" t="inlineStr">
        <is>
          <t>NITORI</t>
        </is>
      </c>
      <c r="C52" s="2" t="inlineStr">
        <is>
          <t>伸縮棒</t>
        </is>
      </c>
      <c r="D52" s="2" t="inlineStr">
        <is>
          <t>(網購限定)附掛勾伸縮曬衣桿 2.8-4m(EC)</t>
        </is>
      </c>
      <c r="E52" s="2" t="inlineStr">
        <is>
          <t>8540146</t>
        </is>
      </c>
      <c r="F52" s="2" t="n">
        <v>280</v>
      </c>
      <c r="G52" s="2" t="n">
        <v>400</v>
      </c>
      <c r="H52" s="2" t="n"/>
      <c r="I52" s="2" t="n"/>
      <c r="J52" s="2" t="n"/>
      <c r="K52" s="2" t="n">
        <v>2.9</v>
      </c>
      <c r="L52" s="2" t="n">
        <v>8</v>
      </c>
      <c r="M52" s="2" t="inlineStr"/>
      <c r="N52" s="2" t="inlineStr">
        <is>
          <t>鋼、ABS樹脂</t>
        </is>
      </c>
      <c r="O52" s="2" t="inlineStr">
        <is>
          <t>銀色</t>
        </is>
      </c>
      <c r="P52" s="2" t="n">
        <v>299</v>
      </c>
      <c r="Q52" s="2" t="inlineStr">
        <is>
          <t>2026-10-26</t>
        </is>
      </c>
      <c r="R52" s="3" t="inlineStr">
        <is>
          <t>https://www.nitori-net.tw/product/8540146</t>
        </is>
      </c>
      <c r="S52" s="2" t="inlineStr">
        <is>
          <t>官網</t>
        </is>
      </c>
      <c r="T52" s="2" t="inlineStr">
        <is>
          <t>high</t>
        </is>
      </c>
      <c r="U52" s="2" t="inlineStr"/>
      <c r="V52" s="2" t="inlineStr">
        <is>
          <t>附衣架掛勾；管徑：細管25mm、粗管29mm；安裝方式官網未說明</t>
        </is>
      </c>
    </row>
    <row r="53">
      <c r="A53" s="2" t="inlineStr">
        <is>
          <t>NITORI-A014</t>
        </is>
      </c>
      <c r="B53" s="2" t="inlineStr">
        <is>
          <t>NITORI</t>
        </is>
      </c>
      <c r="C53" s="2" t="inlineStr">
        <is>
          <t>伸縮棒</t>
        </is>
      </c>
      <c r="D53" s="2" t="inlineStr">
        <is>
          <t>(網購限定)鋁製伸縮曬衣桿 1.4-2.5M(EC)</t>
        </is>
      </c>
      <c r="E53" s="2" t="inlineStr">
        <is>
          <t>8540147</t>
        </is>
      </c>
      <c r="F53" s="2" t="n">
        <v>140</v>
      </c>
      <c r="G53" s="2" t="n">
        <v>250</v>
      </c>
      <c r="H53" s="2" t="n"/>
      <c r="I53" s="2" t="n"/>
      <c r="J53" s="2" t="n"/>
      <c r="K53" s="2" t="n">
        <v>2.5</v>
      </c>
      <c r="L53" s="2" t="n">
        <v>8</v>
      </c>
      <c r="M53" s="2" t="inlineStr"/>
      <c r="N53" s="2" t="inlineStr">
        <is>
          <t>鋁合金、ABS樹脂</t>
        </is>
      </c>
      <c r="O53" s="2" t="inlineStr">
        <is>
          <t>銀色</t>
        </is>
      </c>
      <c r="P53" s="2" t="n">
        <v>199</v>
      </c>
      <c r="Q53" s="2" t="inlineStr">
        <is>
          <t>2026-10-26</t>
        </is>
      </c>
      <c r="R53" s="3" t="inlineStr">
        <is>
          <t>https://www.nitori-net.tw/product/8540147</t>
        </is>
      </c>
      <c r="S53" s="2" t="inlineStr">
        <is>
          <t>官網</t>
        </is>
      </c>
      <c r="T53" s="2" t="inlineStr">
        <is>
          <t>high</t>
        </is>
      </c>
      <c r="U53" s="2" t="inlineStr"/>
      <c r="V53" s="2" t="inlineStr">
        <is>
          <t>管徑：細管22mm、粗管25mm；安裝方式官網未說明</t>
        </is>
      </c>
    </row>
    <row r="54">
      <c r="A54" s="2" t="inlineStr">
        <is>
          <t>NITORI-A015</t>
        </is>
      </c>
      <c r="B54" s="2" t="inlineStr">
        <is>
          <t>NITORI</t>
        </is>
      </c>
      <c r="C54" s="2" t="inlineStr">
        <is>
          <t>伸縮棒</t>
        </is>
      </c>
      <c r="D54" s="2" t="inlineStr">
        <is>
          <t>(網購限定)鋁製伸縮曬衣桿 2.8-4M(EC)</t>
        </is>
      </c>
      <c r="E54" s="2" t="inlineStr">
        <is>
          <t>8540148</t>
        </is>
      </c>
      <c r="F54" s="2" t="n">
        <v>280</v>
      </c>
      <c r="G54" s="2" t="n">
        <v>400</v>
      </c>
      <c r="H54" s="2" t="n"/>
      <c r="I54" s="2" t="n"/>
      <c r="J54" s="2" t="n"/>
      <c r="K54" s="2" t="n">
        <v>2.9</v>
      </c>
      <c r="L54" s="2" t="n">
        <v>8</v>
      </c>
      <c r="M54" s="2" t="inlineStr"/>
      <c r="N54" s="2" t="inlineStr">
        <is>
          <t>鋁合金、ABS樹脂</t>
        </is>
      </c>
      <c r="O54" s="2" t="inlineStr">
        <is>
          <t>銀色</t>
        </is>
      </c>
      <c r="P54" s="2" t="n">
        <v>299</v>
      </c>
      <c r="Q54" s="2" t="inlineStr">
        <is>
          <t>2026-10-26</t>
        </is>
      </c>
      <c r="R54" s="3" t="inlineStr">
        <is>
          <t>https://www.nitori-net.tw/product/8540148</t>
        </is>
      </c>
      <c r="S54" s="2" t="inlineStr">
        <is>
          <t>官網</t>
        </is>
      </c>
      <c r="T54" s="2" t="inlineStr">
        <is>
          <t>high</t>
        </is>
      </c>
      <c r="U54" s="2" t="inlineStr"/>
      <c r="V54" s="2" t="inlineStr">
        <is>
          <t>管徑：細管25mm、粗管29mm；安裝方式官網未說明</t>
        </is>
      </c>
    </row>
    <row r="55">
      <c r="A55" s="2" t="inlineStr">
        <is>
          <t>NITORI-A016</t>
        </is>
      </c>
      <c r="B55" s="2" t="inlineStr">
        <is>
          <t>NITORI</t>
        </is>
      </c>
      <c r="C55" s="2" t="inlineStr">
        <is>
          <t>伸縮層架</t>
        </is>
      </c>
      <c r="D55" s="2" t="inlineStr">
        <is>
          <t>(網購限定)伸縮桿寬型層架 置物架 PW118-190(EC)</t>
        </is>
      </c>
      <c r="E55" s="2" t="inlineStr">
        <is>
          <t>8542078</t>
        </is>
      </c>
      <c r="F55" s="2" t="n">
        <v>118</v>
      </c>
      <c r="G55" s="2" t="n">
        <v>190</v>
      </c>
      <c r="H55" s="2" t="n"/>
      <c r="I55" s="2" t="n">
        <v>34</v>
      </c>
      <c r="J55" s="2" t="n">
        <v>8.800000000000001</v>
      </c>
      <c r="K55" s="2" t="n"/>
      <c r="L55" s="2" t="n"/>
      <c r="M55" s="2" t="inlineStr"/>
      <c r="N55" s="2" t="inlineStr">
        <is>
          <t>鋼、ABS樹脂</t>
        </is>
      </c>
      <c r="O55" s="2" t="inlineStr">
        <is>
          <t>白色</t>
        </is>
      </c>
      <c r="P55" s="2" t="n">
        <v>699</v>
      </c>
      <c r="Q55" s="2" t="inlineStr">
        <is>
          <t>2026-10-26</t>
        </is>
      </c>
      <c r="R55" s="3" t="inlineStr">
        <is>
          <t>https://www.nitori-net.tw/product/8542078</t>
        </is>
      </c>
      <c r="S55" s="2" t="inlineStr">
        <is>
          <t>官網</t>
        </is>
      </c>
      <c r="T55" s="2" t="inlineStr">
        <is>
          <t>high</t>
        </is>
      </c>
      <c r="U55" s="2" t="inlineStr"/>
      <c r="V55" s="2" t="inlineStr">
        <is>
          <t>耐重依長度：安裝寬度118cm時最高約20kg、190cm時最高約10kg；可滑動層板；有高低差牆面也可安裝；高度取自規格欄；安裝方式官網未明述</t>
        </is>
      </c>
    </row>
    <row r="56">
      <c r="A56" s="2" t="inlineStr">
        <is>
          <t>NITORI-A017</t>
        </is>
      </c>
      <c r="B56" s="2" t="inlineStr">
        <is>
          <t>NITORI</t>
        </is>
      </c>
      <c r="C56" s="2" t="inlineStr">
        <is>
          <t>伸縮層架</t>
        </is>
      </c>
      <c r="D56" s="2" t="inlineStr">
        <is>
          <t>(網購限定)伸縮寬型收納架 HA03 6595(EC)</t>
        </is>
      </c>
      <c r="E56" s="2" t="inlineStr">
        <is>
          <t>8540164</t>
        </is>
      </c>
      <c r="F56" s="2" t="n">
        <v>65</v>
      </c>
      <c r="G56" s="2" t="n">
        <v>95</v>
      </c>
      <c r="H56" s="2" t="n"/>
      <c r="I56" s="2" t="n">
        <v>32</v>
      </c>
      <c r="J56" s="2" t="n">
        <v>3.2</v>
      </c>
      <c r="K56" s="2" t="n"/>
      <c r="L56" s="2" t="n">
        <v>10</v>
      </c>
      <c r="M56" s="2" t="inlineStr">
        <is>
          <t>伸縮撐壓</t>
        </is>
      </c>
      <c r="N56" s="2" t="inlineStr">
        <is>
          <t>鋼</t>
        </is>
      </c>
      <c r="O56" s="2" t="inlineStr">
        <is>
          <t>純白色</t>
        </is>
      </c>
      <c r="P56" s="2" t="n">
        <v>399</v>
      </c>
      <c r="Q56" s="2" t="inlineStr">
        <is>
          <t>2026-10-26</t>
        </is>
      </c>
      <c r="R56" s="3" t="inlineStr">
        <is>
          <t>https://www.nitori-net.tw/product/8540164</t>
        </is>
      </c>
      <c r="S56" s="2" t="inlineStr">
        <is>
          <t>官網</t>
        </is>
      </c>
      <c r="T56" s="2" t="inlineStr">
        <is>
          <t>high</t>
        </is>
      </c>
      <c r="U56" s="2" t="inlineStr"/>
      <c r="V56" s="2" t="inlineStr">
        <is>
          <t>官網：採強力撐桿方式固定，限水平安裝；高度取自規格欄</t>
        </is>
      </c>
    </row>
    <row r="57">
      <c r="A57" s="2" t="inlineStr">
        <is>
          <t>NITORI-A018</t>
        </is>
      </c>
      <c r="B57" s="2" t="inlineStr">
        <is>
          <t>NITORI</t>
        </is>
      </c>
      <c r="C57" s="2" t="inlineStr">
        <is>
          <t>伸縮層架</t>
        </is>
      </c>
      <c r="D57" s="2" t="inlineStr">
        <is>
          <t>(網購限定)壁櫥收納架 伸縮收納架 橫向伸縮 CHS(EC)</t>
        </is>
      </c>
      <c r="E57" s="2" t="inlineStr">
        <is>
          <t>8440307</t>
        </is>
      </c>
      <c r="F57" s="2" t="n">
        <v>74</v>
      </c>
      <c r="G57" s="2" t="n">
        <v>108</v>
      </c>
      <c r="H57" s="2" t="n"/>
      <c r="I57" s="2" t="n">
        <v>37</v>
      </c>
      <c r="J57" s="2" t="n">
        <v>35</v>
      </c>
      <c r="K57" s="2" t="n"/>
      <c r="L57" s="2" t="n">
        <v>10</v>
      </c>
      <c r="M57" s="2" t="inlineStr">
        <is>
          <t>免安裝</t>
        </is>
      </c>
      <c r="N57" s="2" t="inlineStr">
        <is>
          <t>聚丙烯</t>
        </is>
      </c>
      <c r="O57" s="2" t="inlineStr">
        <is>
          <t>純白色</t>
        </is>
      </c>
      <c r="P57" s="2" t="n">
        <v>399</v>
      </c>
      <c r="Q57" s="2" t="inlineStr">
        <is>
          <t>2026-10-26</t>
        </is>
      </c>
      <c r="R57" s="3" t="inlineStr">
        <is>
          <t>https://www.nitori-net.tw/product/8440307</t>
        </is>
      </c>
      <c r="S57" s="2" t="inlineStr">
        <is>
          <t>官網</t>
        </is>
      </c>
      <c r="T57" s="2" t="inlineStr">
        <is>
          <t>high</t>
        </is>
      </c>
      <c r="U57" s="2" t="inlineStr"/>
      <c r="V57" s="2" t="inlineStr">
        <is>
          <t>高度30/35cm兩段調整，內部高26.5/31.5cm；整體耐重；落地放置（腳座接觸地面）；僅高度30cm時可堆疊</t>
        </is>
      </c>
    </row>
    <row r="58">
      <c r="A58" s="2" t="inlineStr">
        <is>
          <t>NITORI-A019</t>
        </is>
      </c>
      <c r="B58" s="2" t="inlineStr">
        <is>
          <t>NITORI</t>
        </is>
      </c>
      <c r="C58" s="2" t="inlineStr">
        <is>
          <t>伸縮層架</t>
        </is>
      </c>
      <c r="D58" s="2" t="inlineStr">
        <is>
          <t>(網購限定)壁櫥收納架 伸縮收納架 縱向伸縮 CHS(EC)</t>
        </is>
      </c>
      <c r="E58" s="2" t="inlineStr">
        <is>
          <t>8440308</t>
        </is>
      </c>
      <c r="F58" s="2" t="n">
        <v>74</v>
      </c>
      <c r="G58" s="2" t="n">
        <v>108</v>
      </c>
      <c r="H58" s="2" t="n"/>
      <c r="I58" s="2" t="n">
        <v>37</v>
      </c>
      <c r="J58" s="2" t="n">
        <v>76</v>
      </c>
      <c r="K58" s="2" t="n"/>
      <c r="L58" s="2" t="n">
        <v>10</v>
      </c>
      <c r="M58" s="2" t="inlineStr">
        <is>
          <t>免安裝</t>
        </is>
      </c>
      <c r="N58" s="2" t="inlineStr">
        <is>
          <t>聚丙烯</t>
        </is>
      </c>
      <c r="O58" s="2" t="inlineStr">
        <is>
          <t>純白色</t>
        </is>
      </c>
      <c r="P58" s="2" t="n">
        <v>499</v>
      </c>
      <c r="Q58" s="2" t="inlineStr">
        <is>
          <t>2026-10-26</t>
        </is>
      </c>
      <c r="R58" s="3" t="inlineStr">
        <is>
          <t>https://www.nitori-net.tw/product/8440308</t>
        </is>
      </c>
      <c r="S58" s="2" t="inlineStr">
        <is>
          <t>官網</t>
        </is>
      </c>
      <c r="T58" s="2" t="inlineStr">
        <is>
          <t>high</t>
        </is>
      </c>
      <c r="U58" s="2" t="inlineStr">
        <is>
          <t>可容納2個單人尺寸棉被（疊放）</t>
        </is>
      </c>
      <c r="V58" s="2" t="inlineStr">
        <is>
          <t>高度可調48~76cm（內部44.5~72.5cm），height填最大值；整體耐重；落地放置；可與另售可伸縮附輪收納架CH2c01疊加</t>
        </is>
      </c>
    </row>
    <row r="59">
      <c r="A59" s="2" t="inlineStr">
        <is>
          <t>NITORI-A020</t>
        </is>
      </c>
      <c r="B59" s="2" t="inlineStr">
        <is>
          <t>NITORI</t>
        </is>
      </c>
      <c r="C59" s="2" t="inlineStr">
        <is>
          <t>伸縮層架</t>
        </is>
      </c>
      <c r="D59" s="2" t="inlineStr">
        <is>
          <t>【DECO HOME商品】可調式伸縮收納架 29-45 CL01</t>
        </is>
      </c>
      <c r="E59" s="2" t="inlineStr">
        <is>
          <t>5850511</t>
        </is>
      </c>
      <c r="F59" s="2" t="n">
        <v>29</v>
      </c>
      <c r="G59" s="2" t="n">
        <v>45</v>
      </c>
      <c r="H59" s="2" t="n"/>
      <c r="I59" s="2" t="n">
        <v>32</v>
      </c>
      <c r="J59" s="2" t="n">
        <v>31</v>
      </c>
      <c r="K59" s="2" t="n"/>
      <c r="L59" s="2" t="n">
        <v>5</v>
      </c>
      <c r="M59" s="2" t="inlineStr"/>
      <c r="N59" s="2" t="inlineStr">
        <is>
          <t>聚丙烯、聚苯乙烯、鋼</t>
        </is>
      </c>
      <c r="O59" s="2" t="inlineStr">
        <is>
          <t>摩卡色</t>
        </is>
      </c>
      <c r="P59" s="2" t="n">
        <v>349</v>
      </c>
      <c r="Q59" s="2" t="inlineStr">
        <is>
          <t>2026-10-26</t>
        </is>
      </c>
      <c r="R59" s="3" t="inlineStr">
        <is>
          <t>https://www.nitori-net.tw/product/5850511</t>
        </is>
      </c>
      <c r="S59" s="2" t="inlineStr">
        <is>
          <t>官網</t>
        </is>
      </c>
      <c r="T59" s="2" t="inlineStr">
        <is>
          <t>high</t>
        </is>
      </c>
      <c r="U59" s="2" t="inlineStr"/>
      <c r="V59" s="2" t="inlineStr">
        <is>
          <t>層板位置4段調整</t>
        </is>
      </c>
    </row>
    <row r="60">
      <c r="A60" s="2" t="inlineStr">
        <is>
          <t>NITORI-A021</t>
        </is>
      </c>
      <c r="B60" s="2" t="inlineStr">
        <is>
          <t>NITORI</t>
        </is>
      </c>
      <c r="C60" s="2" t="inlineStr">
        <is>
          <t>伸縮層架</t>
        </is>
      </c>
      <c r="D60" s="2" t="inlineStr">
        <is>
          <t>【DECO HOME商品】可調式伸縮收納架 46-75 CL01</t>
        </is>
      </c>
      <c r="E60" s="2" t="inlineStr">
        <is>
          <t>5850512</t>
        </is>
      </c>
      <c r="F60" s="2" t="n">
        <v>46</v>
      </c>
      <c r="G60" s="2" t="n">
        <v>75</v>
      </c>
      <c r="H60" s="2" t="n"/>
      <c r="I60" s="2" t="n">
        <v>32</v>
      </c>
      <c r="J60" s="2" t="n">
        <v>31</v>
      </c>
      <c r="K60" s="2" t="n"/>
      <c r="L60" s="2" t="n">
        <v>5</v>
      </c>
      <c r="M60" s="2" t="inlineStr"/>
      <c r="N60" s="2" t="inlineStr">
        <is>
          <t>聚丙烯、聚苯乙烯、鋼</t>
        </is>
      </c>
      <c r="O60" s="2" t="inlineStr">
        <is>
          <t>摩卡色</t>
        </is>
      </c>
      <c r="P60" s="2" t="n">
        <v>399</v>
      </c>
      <c r="Q60" s="2" t="inlineStr">
        <is>
          <t>2026-10-26</t>
        </is>
      </c>
      <c r="R60" s="3" t="inlineStr">
        <is>
          <t>https://www.nitori-net.tw/product/5850512</t>
        </is>
      </c>
      <c r="S60" s="2" t="inlineStr">
        <is>
          <t>官網</t>
        </is>
      </c>
      <c r="T60" s="2" t="inlineStr">
        <is>
          <t>high</t>
        </is>
      </c>
      <c r="U60" s="2" t="inlineStr"/>
      <c r="V60" s="2" t="inlineStr">
        <is>
          <t>層板位置4段調整；框架厚約1.5cm；價格：查詢日售價399（原價449）</t>
        </is>
      </c>
    </row>
    <row r="61">
      <c r="A61" s="2" t="inlineStr">
        <is>
          <t>NITORI-A022</t>
        </is>
      </c>
      <c r="B61" s="2" t="inlineStr">
        <is>
          <t>NITORI</t>
        </is>
      </c>
      <c r="C61" s="2" t="inlineStr">
        <is>
          <t>伸縮層架</t>
        </is>
      </c>
      <c r="D61" s="2" t="inlineStr">
        <is>
          <t>(網購限定)伸縮微波爐置物架 MG-4464(EC)</t>
        </is>
      </c>
      <c r="E61" s="2" t="inlineStr">
        <is>
          <t>2111200008197/2111200008203</t>
        </is>
      </c>
      <c r="F61" s="2" t="n">
        <v>45.2</v>
      </c>
      <c r="G61" s="2" t="n">
        <v>65.2</v>
      </c>
      <c r="H61" s="2" t="n"/>
      <c r="I61" s="2" t="n">
        <v>36.2</v>
      </c>
      <c r="J61" s="2" t="n">
        <v>42.5</v>
      </c>
      <c r="K61" s="2" t="n"/>
      <c r="L61" s="2" t="n">
        <v>5</v>
      </c>
      <c r="M61" s="2" t="inlineStr"/>
      <c r="N61" s="2" t="inlineStr">
        <is>
          <t>鋼、ABS</t>
        </is>
      </c>
      <c r="O61" s="2" t="inlineStr">
        <is>
          <t>白色/黑色</t>
        </is>
      </c>
      <c r="P61" s="2" t="n">
        <v>649</v>
      </c>
      <c r="Q61" s="2" t="inlineStr">
        <is>
          <t>2026-10-26</t>
        </is>
      </c>
      <c r="R61" s="3" t="inlineStr">
        <is>
          <t>https://www.nitori-net.tw/product/2111200008197</t>
        </is>
      </c>
      <c r="S61" s="2" t="inlineStr">
        <is>
          <t>官網</t>
        </is>
      </c>
      <c r="T61" s="2" t="inlineStr">
        <is>
          <t>high</t>
        </is>
      </c>
      <c r="U61" s="2" t="inlineStr"/>
      <c r="V61" s="2" t="inlineStr">
        <is>
          <t>耐重為本體；保鮮膜收納架每層0.5kg；寬度含保鮮膜收納架；白色規格欄深36公分</t>
        </is>
      </c>
    </row>
    <row r="62">
      <c r="A62" s="2" t="inlineStr">
        <is>
          <t>NITORI-A023</t>
        </is>
      </c>
      <c r="B62" s="2" t="inlineStr">
        <is>
          <t>NITORI</t>
        </is>
      </c>
      <c r="C62" s="2" t="inlineStr">
        <is>
          <t>小型置物架</t>
        </is>
      </c>
      <c r="D62" s="2" t="inlineStr">
        <is>
          <t>伸縮廚房收納架 WH</t>
        </is>
      </c>
      <c r="E62" s="2" t="inlineStr">
        <is>
          <t>8987549</t>
        </is>
      </c>
      <c r="F62" s="2" t="n">
        <v>33.5</v>
      </c>
      <c r="G62" s="2" t="n">
        <v>57.5</v>
      </c>
      <c r="H62" s="2" t="n"/>
      <c r="I62" s="2" t="n">
        <v>24</v>
      </c>
      <c r="J62" s="2" t="n">
        <v>14.5</v>
      </c>
      <c r="K62" s="2" t="n"/>
      <c r="L62" s="2" t="n">
        <v>8</v>
      </c>
      <c r="M62" s="2" t="inlineStr"/>
      <c r="N62" s="2" t="inlineStr">
        <is>
          <t>鋼</t>
        </is>
      </c>
      <c r="O62" s="2" t="inlineStr">
        <is>
          <t>白色</t>
        </is>
      </c>
      <c r="P62" s="2" t="n">
        <v>349</v>
      </c>
      <c r="Q62" s="2" t="inlineStr">
        <is>
          <t>2026-10-26</t>
        </is>
      </c>
      <c r="R62" s="3" t="inlineStr">
        <is>
          <t>https://www.nitori-net.tw/product/8987549</t>
        </is>
      </c>
      <c r="S62" s="2" t="inlineStr">
        <is>
          <t>官網</t>
        </is>
      </c>
      <c r="T62" s="2" t="inlineStr">
        <is>
          <t>high</t>
        </is>
      </c>
      <c r="U62" s="2" t="inlineStr"/>
      <c r="V62" s="2" t="inlineStr">
        <is>
          <t>整體耐重；尺寸取自說明欄（規格欄誤植寬6）</t>
        </is>
      </c>
    </row>
    <row r="63">
      <c r="A63" s="2" t="inlineStr">
        <is>
          <t>NITORI-A024</t>
        </is>
      </c>
      <c r="B63" s="2" t="inlineStr">
        <is>
          <t>NITORI</t>
        </is>
      </c>
      <c r="C63" s="2" t="inlineStr">
        <is>
          <t>小型置物架</t>
        </is>
      </c>
      <c r="D63" s="2" t="inlineStr">
        <is>
          <t>伸縮廚房收納架 WH SLIM</t>
        </is>
      </c>
      <c r="E63" s="2" t="inlineStr">
        <is>
          <t>8987548</t>
        </is>
      </c>
      <c r="F63" s="2" t="n">
        <v>33.5</v>
      </c>
      <c r="G63" s="2" t="n">
        <v>57.5</v>
      </c>
      <c r="H63" s="2" t="n"/>
      <c r="I63" s="2" t="n">
        <v>16</v>
      </c>
      <c r="J63" s="2" t="n">
        <v>14.5</v>
      </c>
      <c r="K63" s="2" t="n"/>
      <c r="L63" s="2" t="n">
        <v>8</v>
      </c>
      <c r="M63" s="2" t="inlineStr"/>
      <c r="N63" s="2" t="inlineStr">
        <is>
          <t>鋼</t>
        </is>
      </c>
      <c r="O63" s="2" t="inlineStr">
        <is>
          <t>白色</t>
        </is>
      </c>
      <c r="P63" s="2" t="n">
        <v>299</v>
      </c>
      <c r="Q63" s="2" t="inlineStr">
        <is>
          <t>2026-10-26</t>
        </is>
      </c>
      <c r="R63" s="3" t="inlineStr">
        <is>
          <t>https://www.nitori-net.tw/product/8987548</t>
        </is>
      </c>
      <c r="S63" s="2" t="inlineStr">
        <is>
          <t>官網</t>
        </is>
      </c>
      <c r="T63" s="2" t="inlineStr">
        <is>
          <t>high</t>
        </is>
      </c>
      <c r="U63" s="2" t="inlineStr"/>
      <c r="V63" s="2" t="inlineStr">
        <is>
          <t>整體耐重；尺寸取自說明欄</t>
        </is>
      </c>
    </row>
    <row r="64">
      <c r="A64" s="2" t="inlineStr">
        <is>
          <t>NITORI-A025</t>
        </is>
      </c>
      <c r="B64" s="2" t="inlineStr">
        <is>
          <t>NITORI</t>
        </is>
      </c>
      <c r="C64" s="2" t="inlineStr">
        <is>
          <t>小型置物架</t>
        </is>
      </c>
      <c r="D64" s="2" t="inlineStr">
        <is>
          <t>【DECO HOME商品】可調式伸縮收納架 YI52</t>
        </is>
      </c>
      <c r="E64" s="2" t="inlineStr">
        <is>
          <t>5898478</t>
        </is>
      </c>
      <c r="F64" s="2" t="n">
        <v>46</v>
      </c>
      <c r="G64" s="2" t="n">
        <v>72</v>
      </c>
      <c r="H64" s="2" t="n"/>
      <c r="I64" s="2" t="n">
        <v>24.5</v>
      </c>
      <c r="J64" s="2" t="n">
        <v>15</v>
      </c>
      <c r="K64" s="2" t="n"/>
      <c r="L64" s="2" t="n"/>
      <c r="M64" s="2" t="inlineStr">
        <is>
          <t>免安裝</t>
        </is>
      </c>
      <c r="N64" s="2" t="inlineStr">
        <is>
          <t>鋼</t>
        </is>
      </c>
      <c r="O64" s="2" t="inlineStr">
        <is>
          <t>摩卡色</t>
        </is>
      </c>
      <c r="P64" s="2" t="n">
        <v>249</v>
      </c>
      <c r="Q64" s="2" t="inlineStr">
        <is>
          <t>2026-10-26</t>
        </is>
      </c>
      <c r="R64" s="3" t="inlineStr">
        <is>
          <t>https://www.nitori-net.tw/product/5898478</t>
        </is>
      </c>
      <c r="S64" s="2" t="inlineStr">
        <is>
          <t>官網</t>
        </is>
      </c>
      <c r="T64" s="2" t="inlineStr">
        <is>
          <t>medium</t>
        </is>
      </c>
      <c r="U64" s="2" t="inlineStr">
        <is>
          <t>可放置於水槽上下</t>
        </is>
      </c>
      <c r="V64" s="2" t="inlineStr">
        <is>
          <t>伸縮使用時須重疊2片以上層架；規格欄高14.5、說明欄高15，此列依說明欄</t>
        </is>
      </c>
    </row>
    <row r="65">
      <c r="A65" s="2" t="inlineStr">
        <is>
          <t>NITORI-A026</t>
        </is>
      </c>
      <c r="B65" s="2" t="inlineStr">
        <is>
          <t>NITORI</t>
        </is>
      </c>
      <c r="C65" s="2" t="inlineStr">
        <is>
          <t>小型置物架</t>
        </is>
      </c>
      <c r="D65" s="2" t="inlineStr">
        <is>
          <t>可調整洗手台下方置架 CH01</t>
        </is>
      </c>
      <c r="E65" s="2" t="inlineStr">
        <is>
          <t>2112100013717</t>
        </is>
      </c>
      <c r="F65" s="2" t="n">
        <v>44</v>
      </c>
      <c r="G65" s="2" t="n">
        <v>75</v>
      </c>
      <c r="H65" s="2" t="n"/>
      <c r="I65" s="2" t="n">
        <v>48</v>
      </c>
      <c r="J65" s="2" t="n">
        <v>31</v>
      </c>
      <c r="K65" s="2" t="n"/>
      <c r="L65" s="2" t="n">
        <v>10</v>
      </c>
      <c r="M65" s="2" t="inlineStr"/>
      <c r="N65" s="2" t="inlineStr">
        <is>
          <t>聚丙烯、鋼鐵</t>
        </is>
      </c>
      <c r="O65" s="2" t="inlineStr">
        <is>
          <t>白色</t>
        </is>
      </c>
      <c r="P65" s="2" t="n">
        <v>399</v>
      </c>
      <c r="Q65" s="2" t="inlineStr">
        <is>
          <t>2026-10-26</t>
        </is>
      </c>
      <c r="R65" s="3" t="inlineStr">
        <is>
          <t>https://www.nitori-net.tw/product/2112100013717</t>
        </is>
      </c>
      <c r="S65" s="2" t="inlineStr">
        <is>
          <t>官網</t>
        </is>
      </c>
      <c r="T65" s="2" t="inlineStr">
        <is>
          <t>high</t>
        </is>
      </c>
      <c r="U65" s="2" t="inlineStr"/>
      <c r="V65" s="2" t="inlineStr">
        <is>
          <t>深度可伸縮32~48cm（depth填最大值）；高度28/31cm兩段調整</t>
        </is>
      </c>
    </row>
    <row r="66">
      <c r="A66" s="2" t="inlineStr">
        <is>
          <t>NITORI-A027</t>
        </is>
      </c>
      <c r="B66" s="2" t="inlineStr">
        <is>
          <t>NITORI</t>
        </is>
      </c>
      <c r="C66" s="2" t="inlineStr">
        <is>
          <t>小型置物架</t>
        </is>
      </c>
      <c r="D66" s="2" t="inlineStr">
        <is>
          <t>伸縮式洗滌槽置架 深型</t>
        </is>
      </c>
      <c r="E66" s="2" t="inlineStr">
        <is>
          <t>8987521</t>
        </is>
      </c>
      <c r="F66" s="2" t="n">
        <v>40</v>
      </c>
      <c r="G66" s="2" t="n">
        <v>56</v>
      </c>
      <c r="H66" s="2" t="n"/>
      <c r="I66" s="2" t="n">
        <v>22.5</v>
      </c>
      <c r="J66" s="2" t="n">
        <v>13.5</v>
      </c>
      <c r="K66" s="2" t="n"/>
      <c r="L66" s="2" t="n"/>
      <c r="M66" s="2" t="inlineStr"/>
      <c r="N66" s="2" t="inlineStr">
        <is>
          <t>不鏽鋼</t>
        </is>
      </c>
      <c r="O66" s="2" t="inlineStr">
        <is>
          <t>銀色</t>
        </is>
      </c>
      <c r="P66" s="2" t="n">
        <v>314</v>
      </c>
      <c r="Q66" s="2" t="inlineStr">
        <is>
          <t>2026-10-26</t>
        </is>
      </c>
      <c r="R66" s="3" t="inlineStr">
        <is>
          <t>https://www.nitori-net.tw/product/8987521</t>
        </is>
      </c>
      <c r="S66" s="2" t="inlineStr">
        <is>
          <t>官網</t>
        </is>
      </c>
      <c r="T66" s="2" t="inlineStr">
        <is>
          <t>high</t>
        </is>
      </c>
      <c r="U66" s="2" t="inlineStr"/>
      <c r="V66" s="2" t="inlineStr">
        <is>
          <t>尺寸取自說明欄（規格欄誤植寬4）；價格：查詢日售價314（原價349）</t>
        </is>
      </c>
    </row>
    <row r="67">
      <c r="A67" s="2" t="inlineStr">
        <is>
          <t>NITORI-A028</t>
        </is>
      </c>
      <c r="B67" s="2" t="inlineStr">
        <is>
          <t>NITORI</t>
        </is>
      </c>
      <c r="C67" s="2" t="inlineStr">
        <is>
          <t>小型置物架</t>
        </is>
      </c>
      <c r="D67" s="2" t="inlineStr">
        <is>
          <t>伸縮式洗滌槽置架 深型 SLIM</t>
        </is>
      </c>
      <c r="E67" s="2" t="inlineStr">
        <is>
          <t>8987823</t>
        </is>
      </c>
      <c r="F67" s="2" t="n">
        <v>42</v>
      </c>
      <c r="G67" s="2" t="n">
        <v>56</v>
      </c>
      <c r="H67" s="2" t="n"/>
      <c r="I67" s="2" t="n">
        <v>15</v>
      </c>
      <c r="J67" s="2" t="n">
        <v>12.5</v>
      </c>
      <c r="K67" s="2" t="n"/>
      <c r="L67" s="2" t="n"/>
      <c r="M67" s="2" t="inlineStr"/>
      <c r="N67" s="2" t="inlineStr">
        <is>
          <t>不鏽鋼</t>
        </is>
      </c>
      <c r="O67" s="2" t="inlineStr">
        <is>
          <t>銀色</t>
        </is>
      </c>
      <c r="P67" s="2" t="n">
        <v>269</v>
      </c>
      <c r="Q67" s="2" t="inlineStr">
        <is>
          <t>2026-10-26</t>
        </is>
      </c>
      <c r="R67" s="3" t="inlineStr">
        <is>
          <t>https://www.nitori-net.tw/product/8987823</t>
        </is>
      </c>
      <c r="S67" s="2" t="inlineStr">
        <is>
          <t>官網</t>
        </is>
      </c>
      <c r="T67" s="2" t="inlineStr">
        <is>
          <t>high</t>
        </is>
      </c>
      <c r="U67" s="2" t="inlineStr"/>
      <c r="V67" s="2" t="inlineStr">
        <is>
          <t>價格：查詢日售價269（原價299）</t>
        </is>
      </c>
    </row>
    <row r="68">
      <c r="A68" s="2" t="inlineStr">
        <is>
          <t>NITORI-A029</t>
        </is>
      </c>
      <c r="B68" s="2" t="inlineStr">
        <is>
          <t>NITORI</t>
        </is>
      </c>
      <c r="C68" s="2" t="inlineStr">
        <is>
          <t>小型置物架</t>
        </is>
      </c>
      <c r="D68" s="2" t="inlineStr">
        <is>
          <t>伸縮式洗滌槽置架 深型 WIDE</t>
        </is>
      </c>
      <c r="E68" s="2" t="inlineStr">
        <is>
          <t>8987824</t>
        </is>
      </c>
      <c r="F68" s="2" t="n">
        <v>42</v>
      </c>
      <c r="G68" s="2" t="n">
        <v>56</v>
      </c>
      <c r="H68" s="2" t="n"/>
      <c r="I68" s="2" t="n">
        <v>29.5</v>
      </c>
      <c r="J68" s="2" t="n">
        <v>12.5</v>
      </c>
      <c r="K68" s="2" t="n"/>
      <c r="L68" s="2" t="n"/>
      <c r="M68" s="2" t="inlineStr"/>
      <c r="N68" s="2" t="inlineStr">
        <is>
          <t>不鏽鋼</t>
        </is>
      </c>
      <c r="O68" s="2" t="inlineStr">
        <is>
          <t>銀色</t>
        </is>
      </c>
      <c r="P68" s="2" t="n">
        <v>359</v>
      </c>
      <c r="Q68" s="2" t="inlineStr">
        <is>
          <t>2026-10-26</t>
        </is>
      </c>
      <c r="R68" s="3" t="inlineStr">
        <is>
          <t>https://www.nitori-net.tw/product/8987824</t>
        </is>
      </c>
      <c r="S68" s="2" t="inlineStr">
        <is>
          <t>官網</t>
        </is>
      </c>
      <c r="T68" s="2" t="inlineStr">
        <is>
          <t>high</t>
        </is>
      </c>
      <c r="U68" s="2" t="inlineStr"/>
      <c r="V68" s="2" t="inlineStr">
        <is>
          <t>價格：查詢日售價359（原價399）</t>
        </is>
      </c>
    </row>
    <row r="69">
      <c r="A69" s="2" t="inlineStr">
        <is>
          <t>NITORI-A030</t>
        </is>
      </c>
      <c r="B69" s="2" t="inlineStr">
        <is>
          <t>NITORI</t>
        </is>
      </c>
      <c r="C69" s="2" t="inlineStr">
        <is>
          <t>小型置物架</t>
        </is>
      </c>
      <c r="D69" s="2" t="inlineStr">
        <is>
          <t>【DECO HOME商品】水槽伸縮置架</t>
        </is>
      </c>
      <c r="E69" s="2" t="inlineStr">
        <is>
          <t>5898749</t>
        </is>
      </c>
      <c r="F69" s="2" t="n">
        <v>46</v>
      </c>
      <c r="G69" s="2" t="n">
        <v>70</v>
      </c>
      <c r="H69" s="2" t="n"/>
      <c r="I69" s="2" t="n">
        <v>17</v>
      </c>
      <c r="J69" s="2" t="n">
        <v>1.8</v>
      </c>
      <c r="K69" s="2" t="n"/>
      <c r="L69" s="2" t="n">
        <v>4</v>
      </c>
      <c r="M69" s="2" t="inlineStr"/>
      <c r="N69" s="2" t="inlineStr">
        <is>
          <t>不鏽鋼、聚丙烯</t>
        </is>
      </c>
      <c r="O69" s="2" t="inlineStr">
        <is>
          <t>銀色</t>
        </is>
      </c>
      <c r="P69" s="2" t="n">
        <v>279</v>
      </c>
      <c r="Q69" s="2" t="inlineStr">
        <is>
          <t>2026-10-26</t>
        </is>
      </c>
      <c r="R69" s="3" t="inlineStr">
        <is>
          <t>https://www.nitori-net.tw/product/5898749</t>
        </is>
      </c>
      <c r="S69" s="2" t="inlineStr">
        <is>
          <t>官網</t>
        </is>
      </c>
      <c r="T69" s="2" t="inlineStr">
        <is>
          <t>high</t>
        </is>
      </c>
      <c r="U69" s="2" t="inlineStr">
        <is>
          <t>水槽（適用水槽寬度40~65cm）</t>
        </is>
      </c>
      <c r="V69" s="2" t="inlineStr">
        <is>
          <t>耐熱90℃；高度取自規格欄</t>
        </is>
      </c>
    </row>
    <row r="70">
      <c r="A70" s="2" t="inlineStr">
        <is>
          <t>NITORI-A031</t>
        </is>
      </c>
      <c r="B70" s="2" t="inlineStr">
        <is>
          <t>NITORI</t>
        </is>
      </c>
      <c r="C70" s="2" t="inlineStr">
        <is>
          <t>小型置物架</t>
        </is>
      </c>
      <c r="D70" s="2" t="inlineStr">
        <is>
          <t>(網購限定)水槽伸縮式置架 H502(EC)</t>
        </is>
      </c>
      <c r="E70" s="2" t="inlineStr">
        <is>
          <t>8987986</t>
        </is>
      </c>
      <c r="F70" s="2" t="n">
        <v>46</v>
      </c>
      <c r="G70" s="2" t="n">
        <v>71</v>
      </c>
      <c r="H70" s="2" t="n"/>
      <c r="I70" s="2" t="n">
        <v>17</v>
      </c>
      <c r="J70" s="2" t="n">
        <v>2</v>
      </c>
      <c r="K70" s="2" t="n"/>
      <c r="L70" s="2" t="n">
        <v>3</v>
      </c>
      <c r="M70" s="2" t="inlineStr">
        <is>
          <t>螺絲</t>
        </is>
      </c>
      <c r="N70" s="2" t="inlineStr">
        <is>
          <t>不鏽鋼、聚丙烯</t>
        </is>
      </c>
      <c r="O70" s="2" t="inlineStr">
        <is>
          <t>銀色</t>
        </is>
      </c>
      <c r="P70" s="2" t="n">
        <v>179</v>
      </c>
      <c r="Q70" s="2" t="inlineStr">
        <is>
          <t>2026-10-26</t>
        </is>
      </c>
      <c r="R70" s="3" t="inlineStr">
        <is>
          <t>https://www.nitori-net.tw/product/8987986</t>
        </is>
      </c>
      <c r="S70" s="2" t="inlineStr">
        <is>
          <t>官網</t>
        </is>
      </c>
      <c r="T70" s="2" t="inlineStr">
        <is>
          <t>high</t>
        </is>
      </c>
      <c r="U70" s="2" t="inlineStr">
        <is>
          <t>瀝水（適用水槽內寬40~65cm）</t>
        </is>
      </c>
      <c r="V70" s="2" t="inlineStr">
        <is>
          <t>固定於水槽時以螺絲鎖緊滑軌；高度取自規格欄</t>
        </is>
      </c>
    </row>
    <row r="71">
      <c r="A71" s="2" t="inlineStr">
        <is>
          <t>NITORI-A032</t>
        </is>
      </c>
      <c r="B71" s="2" t="inlineStr">
        <is>
          <t>NITORI</t>
        </is>
      </c>
      <c r="C71" s="2" t="inlineStr">
        <is>
          <t>小型置物架</t>
        </is>
      </c>
      <c r="D71" s="2" t="inlineStr">
        <is>
          <t>水槽伸縮置物籃 koukinn H504</t>
        </is>
      </c>
      <c r="E71" s="2" t="inlineStr">
        <is>
          <t>8987987</t>
        </is>
      </c>
      <c r="F71" s="2" t="n"/>
      <c r="G71" s="2" t="n">
        <v>68</v>
      </c>
      <c r="H71" s="2" t="n"/>
      <c r="I71" s="2" t="n">
        <v>16</v>
      </c>
      <c r="J71" s="2" t="n">
        <v>9</v>
      </c>
      <c r="K71" s="2" t="n"/>
      <c r="L71" s="2" t="n"/>
      <c r="M71" s="2" t="inlineStr"/>
      <c r="N71" s="2" t="inlineStr">
        <is>
          <t>不鏽鋼 聚丙烯</t>
        </is>
      </c>
      <c r="O71" s="2" t="inlineStr">
        <is>
          <t>銀色</t>
        </is>
      </c>
      <c r="P71" s="2" t="n">
        <v>239</v>
      </c>
      <c r="Q71" s="2" t="inlineStr">
        <is>
          <t>2026-10-26</t>
        </is>
      </c>
      <c r="R71" s="3" t="inlineStr">
        <is>
          <t>https://www.nitori-net.tw/product/8987987</t>
        </is>
      </c>
      <c r="S71" s="2" t="inlineStr">
        <is>
          <t>官網</t>
        </is>
      </c>
      <c r="T71" s="2" t="inlineStr">
        <is>
          <t>medium</t>
        </is>
      </c>
      <c r="U71" s="2" t="inlineStr"/>
      <c r="V71" s="2" t="inlineStr">
        <is>
          <t>官網無說明文字；伸縮最短長度未標示，length_max取自規格欄寬68</t>
        </is>
      </c>
    </row>
    <row r="72">
      <c r="A72" s="2" t="inlineStr">
        <is>
          <t>NITORI-A033</t>
        </is>
      </c>
      <c r="B72" s="2" t="inlineStr">
        <is>
          <t>NITORI</t>
        </is>
      </c>
      <c r="C72" s="2" t="inlineStr">
        <is>
          <t>小型置物架</t>
        </is>
      </c>
      <c r="D72" s="2" t="inlineStr">
        <is>
          <t>【DECO HOME商品】伸縮式洗手台置架 SU01(DH)</t>
        </is>
      </c>
      <c r="E72" s="2" t="inlineStr">
        <is>
          <t>2112100004326</t>
        </is>
      </c>
      <c r="F72" s="2" t="n">
        <v>15</v>
      </c>
      <c r="G72" s="2" t="n">
        <v>25</v>
      </c>
      <c r="H72" s="2" t="n"/>
      <c r="I72" s="2" t="n">
        <v>8</v>
      </c>
      <c r="J72" s="2" t="n">
        <v>10.1</v>
      </c>
      <c r="K72" s="2" t="n"/>
      <c r="L72" s="2" t="n">
        <v>2</v>
      </c>
      <c r="M72" s="2" t="inlineStr"/>
      <c r="N72" s="2" t="inlineStr">
        <is>
          <t>鋼、矽膠</t>
        </is>
      </c>
      <c r="O72" s="2" t="inlineStr">
        <is>
          <t>淺摩卡色</t>
        </is>
      </c>
      <c r="P72" s="2" t="n">
        <v>239</v>
      </c>
      <c r="Q72" s="2" t="inlineStr">
        <is>
          <t>2026-10-26</t>
        </is>
      </c>
      <c r="R72" s="3" t="inlineStr">
        <is>
          <t>https://www.nitori-net.tw/product/2112100004326</t>
        </is>
      </c>
      <c r="S72" s="2" t="inlineStr">
        <is>
          <t>官網</t>
        </is>
      </c>
      <c r="T72" s="2" t="inlineStr">
        <is>
          <t>high</t>
        </is>
      </c>
      <c r="U72" s="2" t="inlineStr"/>
      <c r="V72" s="2" t="inlineStr"/>
    </row>
    <row r="73">
      <c r="A73" s="2" t="inlineStr">
        <is>
          <t>NITORI-A034</t>
        </is>
      </c>
      <c r="B73" s="2" t="inlineStr">
        <is>
          <t>NITORI</t>
        </is>
      </c>
      <c r="C73" s="2" t="inlineStr">
        <is>
          <t>小型置物架</t>
        </is>
      </c>
      <c r="D73" s="2" t="inlineStr">
        <is>
          <t>冰箱用整理架 S 淺型 W120 窄淺型</t>
        </is>
      </c>
      <c r="E73" s="2" t="inlineStr">
        <is>
          <t>8920432</t>
        </is>
      </c>
      <c r="F73" s="2" t="n"/>
      <c r="G73" s="2" t="n"/>
      <c r="H73" s="2" t="n">
        <v>13</v>
      </c>
      <c r="I73" s="2" t="n">
        <v>30</v>
      </c>
      <c r="J73" s="2" t="n">
        <v>6</v>
      </c>
      <c r="K73" s="2" t="n"/>
      <c r="L73" s="2" t="n">
        <v>1</v>
      </c>
      <c r="M73" s="2" t="inlineStr"/>
      <c r="N73" s="2" t="inlineStr">
        <is>
          <t>AS樹脂</t>
        </is>
      </c>
      <c r="O73" s="2" t="inlineStr">
        <is>
          <t>透明</t>
        </is>
      </c>
      <c r="P73" s="2" t="n">
        <v>119</v>
      </c>
      <c r="Q73" s="2" t="inlineStr">
        <is>
          <t>2026-10-26</t>
        </is>
      </c>
      <c r="R73" s="3" t="inlineStr">
        <is>
          <t>https://www.nitori-net.tw/product/8920432</t>
        </is>
      </c>
      <c r="S73" s="2" t="inlineStr">
        <is>
          <t>官網</t>
        </is>
      </c>
      <c r="T73" s="2" t="inlineStr">
        <is>
          <t>medium</t>
        </is>
      </c>
      <c r="U73" s="2" t="inlineStr"/>
      <c r="V73" s="2" t="inlineStr">
        <is>
          <t>耐熱90℃/耐冷-20℃；此SKU上架狀態碼與其他規格不同，可能暫停販售；亦含於冰箱用整理收納6件組</t>
        </is>
      </c>
    </row>
    <row r="74">
      <c r="A74" s="2" t="inlineStr">
        <is>
          <t>NITORI-A035</t>
        </is>
      </c>
      <c r="B74" s="2" t="inlineStr">
        <is>
          <t>NITORI</t>
        </is>
      </c>
      <c r="C74" s="2" t="inlineStr">
        <is>
          <t>小型置物架</t>
        </is>
      </c>
      <c r="D74" s="2" t="inlineStr">
        <is>
          <t>冰箱用整理架 S 深型 W120 窄深型</t>
        </is>
      </c>
      <c r="E74" s="2" t="inlineStr">
        <is>
          <t>8920433</t>
        </is>
      </c>
      <c r="F74" s="2" t="n"/>
      <c r="G74" s="2" t="n"/>
      <c r="H74" s="2" t="n">
        <v>13</v>
      </c>
      <c r="I74" s="2" t="n">
        <v>30</v>
      </c>
      <c r="J74" s="2" t="n">
        <v>11</v>
      </c>
      <c r="K74" s="2" t="n"/>
      <c r="L74" s="2" t="n">
        <v>1</v>
      </c>
      <c r="M74" s="2" t="inlineStr"/>
      <c r="N74" s="2" t="inlineStr">
        <is>
          <t>AS樹脂</t>
        </is>
      </c>
      <c r="O74" s="2" t="inlineStr">
        <is>
          <t>透明</t>
        </is>
      </c>
      <c r="P74" s="2" t="n">
        <v>149</v>
      </c>
      <c r="Q74" s="2" t="inlineStr">
        <is>
          <t>2026-10-26</t>
        </is>
      </c>
      <c r="R74" s="3" t="inlineStr">
        <is>
          <t>https://www.nitori-net.tw/product/8920433</t>
        </is>
      </c>
      <c r="S74" s="2" t="inlineStr">
        <is>
          <t>官網</t>
        </is>
      </c>
      <c r="T74" s="2" t="inlineStr">
        <is>
          <t>high</t>
        </is>
      </c>
      <c r="U74" s="2" t="inlineStr"/>
      <c r="V74" s="2" t="inlineStr">
        <is>
          <t>耐熱90℃/耐冷-20℃；亦含於冰箱用整理收納6件組</t>
        </is>
      </c>
    </row>
    <row r="75">
      <c r="A75" s="2" t="inlineStr">
        <is>
          <t>NITORI-A036</t>
        </is>
      </c>
      <c r="B75" s="2" t="inlineStr">
        <is>
          <t>NITORI</t>
        </is>
      </c>
      <c r="C75" s="2" t="inlineStr">
        <is>
          <t>小型置物架</t>
        </is>
      </c>
      <c r="D75" s="2" t="inlineStr">
        <is>
          <t>冰箱用整理架 M 深型 W240 寬深型</t>
        </is>
      </c>
      <c r="E75" s="2" t="inlineStr">
        <is>
          <t>8920435</t>
        </is>
      </c>
      <c r="F75" s="2" t="n"/>
      <c r="G75" s="2" t="n"/>
      <c r="H75" s="2" t="n">
        <v>25</v>
      </c>
      <c r="I75" s="2" t="n">
        <v>30</v>
      </c>
      <c r="J75" s="2" t="n">
        <v>11</v>
      </c>
      <c r="K75" s="2" t="n"/>
      <c r="L75" s="2" t="n">
        <v>1</v>
      </c>
      <c r="M75" s="2" t="inlineStr"/>
      <c r="N75" s="2" t="inlineStr">
        <is>
          <t>AS樹脂</t>
        </is>
      </c>
      <c r="O75" s="2" t="inlineStr">
        <is>
          <t>透明</t>
        </is>
      </c>
      <c r="P75" s="2" t="n">
        <v>199</v>
      </c>
      <c r="Q75" s="2" t="inlineStr">
        <is>
          <t>2026-10-26</t>
        </is>
      </c>
      <c r="R75" s="3" t="inlineStr">
        <is>
          <t>https://www.nitori-net.tw/product/8920435</t>
        </is>
      </c>
      <c r="S75" s="2" t="inlineStr">
        <is>
          <t>官網</t>
        </is>
      </c>
      <c r="T75" s="2" t="inlineStr">
        <is>
          <t>high</t>
        </is>
      </c>
      <c r="U75" s="2" t="inlineStr"/>
      <c r="V75" s="2" t="inlineStr">
        <is>
          <t>耐熱90℃/耐冷-20℃</t>
        </is>
      </c>
    </row>
    <row r="76">
      <c r="A76" s="2" t="inlineStr">
        <is>
          <t>NITORI-A037</t>
        </is>
      </c>
      <c r="B76" s="2" t="inlineStr">
        <is>
          <t>NITORI</t>
        </is>
      </c>
      <c r="C76" s="2" t="inlineStr">
        <is>
          <t>小型置物架</t>
        </is>
      </c>
      <c r="D76" s="2" t="inlineStr">
        <is>
          <t>堆疊收納架 CL N BRANC</t>
        </is>
      </c>
      <c r="E76" s="2" t="inlineStr">
        <is>
          <t>2111200005622</t>
        </is>
      </c>
      <c r="F76" s="2" t="n"/>
      <c r="G76" s="2" t="n"/>
      <c r="H76" s="2" t="n">
        <v>27</v>
      </c>
      <c r="I76" s="2" t="n">
        <v>20</v>
      </c>
      <c r="J76" s="2" t="n">
        <v>8.4</v>
      </c>
      <c r="K76" s="2" t="n"/>
      <c r="L76" s="2" t="n">
        <v>3</v>
      </c>
      <c r="M76" s="2" t="inlineStr"/>
      <c r="N76" s="2" t="inlineStr">
        <is>
          <t>PET塑膠</t>
        </is>
      </c>
      <c r="O76" s="2" t="inlineStr">
        <is>
          <t>透明</t>
        </is>
      </c>
      <c r="P76" s="2" t="n">
        <v>119</v>
      </c>
      <c r="Q76" s="2" t="inlineStr">
        <is>
          <t>2026-10-26</t>
        </is>
      </c>
      <c r="R76" s="3" t="inlineStr">
        <is>
          <t>https://www.nitori-net.tw/product/2111200005622</t>
        </is>
      </c>
      <c r="S76" s="2" t="inlineStr">
        <is>
          <t>官網</t>
        </is>
      </c>
      <c r="T76" s="2" t="inlineStr">
        <is>
          <t>high</t>
        </is>
      </c>
      <c r="U76" s="2" t="inlineStr"/>
      <c r="V76" s="2" t="inlineStr">
        <is>
          <t>耐重為每層；可堆疊，最多2層</t>
        </is>
      </c>
    </row>
    <row r="77">
      <c r="A77" s="2" t="inlineStr">
        <is>
          <t>NITORI-A038</t>
        </is>
      </c>
      <c r="B77" s="2" t="inlineStr">
        <is>
          <t>NITORI</t>
        </is>
      </c>
      <c r="C77" s="2" t="inlineStr">
        <is>
          <t>小型置物架</t>
        </is>
      </c>
      <c r="D77" s="2" t="inlineStr">
        <is>
          <t>餐盤收納架 N BRANC</t>
        </is>
      </c>
      <c r="E77" s="2" t="inlineStr">
        <is>
          <t>8920378</t>
        </is>
      </c>
      <c r="F77" s="2" t="n"/>
      <c r="G77" s="2" t="n"/>
      <c r="H77" s="2" t="n">
        <v>25</v>
      </c>
      <c r="I77" s="2" t="n">
        <v>20</v>
      </c>
      <c r="J77" s="2" t="n">
        <v>8.5</v>
      </c>
      <c r="K77" s="2" t="n"/>
      <c r="L77" s="2" t="n"/>
      <c r="M77" s="2" t="inlineStr"/>
      <c r="N77" s="2" t="inlineStr">
        <is>
          <t>聚丙烯</t>
        </is>
      </c>
      <c r="O77" s="2" t="inlineStr">
        <is>
          <t>白色</t>
        </is>
      </c>
      <c r="P77" s="2" t="n">
        <v>119</v>
      </c>
      <c r="Q77" s="2" t="inlineStr">
        <is>
          <t>2026-10-26</t>
        </is>
      </c>
      <c r="R77" s="3" t="inlineStr">
        <is>
          <t>https://www.nitori-net.tw/product/8920378</t>
        </is>
      </c>
      <c r="S77" s="2" t="inlineStr">
        <is>
          <t>官網</t>
        </is>
      </c>
      <c r="T77" s="2" t="inlineStr">
        <is>
          <t>high</t>
        </is>
      </c>
      <c r="U77" s="2" t="inlineStr"/>
      <c r="V77" s="2" t="inlineStr">
        <is>
          <t>可堆疊，購買2個最多疊2層；尺寸為組裝後；價格：查詢日售價119（原價149）</t>
        </is>
      </c>
    </row>
    <row r="78">
      <c r="A78" s="2" t="inlineStr">
        <is>
          <t>NITORI-A039</t>
        </is>
      </c>
      <c r="B78" s="2" t="inlineStr">
        <is>
          <t>NITORI</t>
        </is>
      </c>
      <c r="C78" s="2" t="inlineStr">
        <is>
          <t>小型置物架</t>
        </is>
      </c>
      <c r="D78" s="2" t="inlineStr">
        <is>
          <t>堆疊架 S</t>
        </is>
      </c>
      <c r="E78" s="2" t="inlineStr">
        <is>
          <t>8987555</t>
        </is>
      </c>
      <c r="F78" s="2" t="n"/>
      <c r="G78" s="2" t="n"/>
      <c r="H78" s="2" t="n">
        <v>41</v>
      </c>
      <c r="I78" s="2" t="n">
        <v>14</v>
      </c>
      <c r="J78" s="2" t="n">
        <v>19</v>
      </c>
      <c r="K78" s="2" t="n"/>
      <c r="L78" s="2" t="n"/>
      <c r="M78" s="2" t="inlineStr"/>
      <c r="N78" s="2" t="inlineStr">
        <is>
          <t>PP</t>
        </is>
      </c>
      <c r="O78" s="2" t="inlineStr">
        <is>
          <t>白色</t>
        </is>
      </c>
      <c r="P78" s="2" t="n">
        <v>69</v>
      </c>
      <c r="Q78" s="2" t="inlineStr">
        <is>
          <t>2026-10-26</t>
        </is>
      </c>
      <c r="R78" s="3" t="inlineStr">
        <is>
          <t>https://www.nitori-net.tw/product/8987555</t>
        </is>
      </c>
      <c r="S78" s="2" t="inlineStr">
        <is>
          <t>官網</t>
        </is>
      </c>
      <c r="T78" s="2" t="inlineStr">
        <is>
          <t>high</t>
        </is>
      </c>
      <c r="U78" s="2" t="inlineStr"/>
      <c r="V78" s="2" t="inlineStr">
        <is>
          <t>耐熱110℃</t>
        </is>
      </c>
    </row>
    <row r="79">
      <c r="A79" s="2" t="inlineStr">
        <is>
          <t>NITORI-A040</t>
        </is>
      </c>
      <c r="B79" s="2" t="inlineStr">
        <is>
          <t>NITORI</t>
        </is>
      </c>
      <c r="C79" s="2" t="inlineStr">
        <is>
          <t>小型置物架</t>
        </is>
      </c>
      <c r="D79" s="2" t="inlineStr">
        <is>
          <t>堆疊架 M</t>
        </is>
      </c>
      <c r="E79" s="2" t="inlineStr">
        <is>
          <t>8987556</t>
        </is>
      </c>
      <c r="F79" s="2" t="n"/>
      <c r="G79" s="2" t="n"/>
      <c r="H79" s="2" t="n">
        <v>41</v>
      </c>
      <c r="I79" s="2" t="n">
        <v>22</v>
      </c>
      <c r="J79" s="2" t="n">
        <v>19</v>
      </c>
      <c r="K79" s="2" t="n"/>
      <c r="L79" s="2" t="n"/>
      <c r="M79" s="2" t="inlineStr"/>
      <c r="N79" s="2" t="inlineStr">
        <is>
          <t>PP</t>
        </is>
      </c>
      <c r="O79" s="2" t="inlineStr">
        <is>
          <t>白色</t>
        </is>
      </c>
      <c r="P79" s="2" t="n">
        <v>79</v>
      </c>
      <c r="Q79" s="2" t="inlineStr">
        <is>
          <t>2026-10-26</t>
        </is>
      </c>
      <c r="R79" s="3" t="inlineStr">
        <is>
          <t>https://www.nitori-net.tw/product/8987556</t>
        </is>
      </c>
      <c r="S79" s="2" t="inlineStr">
        <is>
          <t>官網</t>
        </is>
      </c>
      <c r="T79" s="2" t="inlineStr">
        <is>
          <t>high</t>
        </is>
      </c>
      <c r="U79" s="2" t="inlineStr"/>
      <c r="V79" s="2" t="inlineStr">
        <is>
          <t>耐熱110℃</t>
        </is>
      </c>
    </row>
    <row r="80">
      <c r="A80" s="2" t="inlineStr">
        <is>
          <t>NITORI-A041</t>
        </is>
      </c>
      <c r="B80" s="2" t="inlineStr">
        <is>
          <t>NITORI</t>
        </is>
      </c>
      <c r="C80" s="2" t="inlineStr">
        <is>
          <t>小型置物架</t>
        </is>
      </c>
      <c r="D80" s="2" t="inlineStr">
        <is>
          <t>堆疊收納架 NSD01</t>
        </is>
      </c>
      <c r="E80" s="2" t="inlineStr">
        <is>
          <t>8430627</t>
        </is>
      </c>
      <c r="F80" s="2" t="n"/>
      <c r="G80" s="2" t="n"/>
      <c r="H80" s="2" t="n">
        <v>44.5</v>
      </c>
      <c r="I80" s="2" t="n">
        <v>35</v>
      </c>
      <c r="J80" s="2" t="n">
        <v>23.5</v>
      </c>
      <c r="K80" s="2" t="n"/>
      <c r="L80" s="2" t="n">
        <v>4</v>
      </c>
      <c r="M80" s="2" t="inlineStr"/>
      <c r="N80" s="2" t="inlineStr">
        <is>
          <t>聚丙烯</t>
        </is>
      </c>
      <c r="O80" s="2" t="inlineStr">
        <is>
          <t>白色</t>
        </is>
      </c>
      <c r="P80" s="2" t="n">
        <v>139</v>
      </c>
      <c r="Q80" s="2" t="inlineStr">
        <is>
          <t>2026-10-26</t>
        </is>
      </c>
      <c r="R80" s="3" t="inlineStr">
        <is>
          <t>https://www.nitori-net.tw/product/8430627</t>
        </is>
      </c>
      <c r="S80" s="2" t="inlineStr">
        <is>
          <t>官網</t>
        </is>
      </c>
      <c r="T80" s="2" t="inlineStr">
        <is>
          <t>high</t>
        </is>
      </c>
      <c r="U80" s="2" t="inlineStr"/>
      <c r="V80" s="2" t="inlineStr">
        <is>
          <t>內側尺寸寬40.5×深31.3×高21.8；可堆疊最多3層；價格：查詢日售價139（原價179）</t>
        </is>
      </c>
    </row>
    <row r="81">
      <c r="A81" s="2" t="inlineStr">
        <is>
          <t>NITORI-A042</t>
        </is>
      </c>
      <c r="B81" s="2" t="inlineStr">
        <is>
          <t>NITORI</t>
        </is>
      </c>
      <c r="C81" s="2" t="inlineStr">
        <is>
          <t>抽屜隔板</t>
        </is>
      </c>
      <c r="D81" s="2" t="inlineStr">
        <is>
          <t>收納整理盒隔板 CLANE</t>
        </is>
      </c>
      <c r="E81" s="2" t="inlineStr">
        <is>
          <t>8511543</t>
        </is>
      </c>
      <c r="F81" s="2" t="n"/>
      <c r="G81" s="2" t="n"/>
      <c r="H81" s="2" t="n">
        <v>12</v>
      </c>
      <c r="I81" s="2" t="n">
        <v>28.8</v>
      </c>
      <c r="J81" s="2" t="n">
        <v>10</v>
      </c>
      <c r="K81" s="2" t="n"/>
      <c r="L81" s="2" t="n"/>
      <c r="M81" s="2" t="inlineStr"/>
      <c r="N81" s="2" t="inlineStr">
        <is>
          <t>分隔板：聚丙烯纖維；滑軌：聚苯乙烯</t>
        </is>
      </c>
      <c r="O81" s="2" t="inlineStr">
        <is>
          <t>透明</t>
        </is>
      </c>
      <c r="P81" s="2" t="n">
        <v>109</v>
      </c>
      <c r="Q81" s="2" t="inlineStr">
        <is>
          <t>2026-10-26</t>
        </is>
      </c>
      <c r="R81" s="3" t="inlineStr">
        <is>
          <t>https://www.nitori-net.tw/product/8511543</t>
        </is>
      </c>
      <c r="S81" s="2" t="inlineStr">
        <is>
          <t>官網</t>
        </is>
      </c>
      <c r="T81" s="2" t="inlineStr">
        <is>
          <t>high</t>
        </is>
      </c>
      <c r="U81" s="2" t="inlineStr">
        <is>
          <t>內部尺寸12×10.8×深10cm以上的收納盒或抽屜</t>
        </is>
      </c>
      <c r="V81" s="2" t="inlineStr">
        <is>
          <t>內含分隔板4片、滑軌3片；尺寸為說明欄「連結尺寸」（規格欄標示3×8×6）；可連結使用</t>
        </is>
      </c>
    </row>
    <row r="82">
      <c r="A82" s="2" t="inlineStr">
        <is>
          <t>NITORI-A043</t>
        </is>
      </c>
      <c r="B82" s="2" t="inlineStr">
        <is>
          <t>NITORI</t>
        </is>
      </c>
      <c r="C82" s="2" t="inlineStr">
        <is>
          <t>抽屜隔板</t>
        </is>
      </c>
      <c r="D82" s="2" t="inlineStr">
        <is>
          <t>收納盒分隔板 SOFT N INBOX</t>
        </is>
      </c>
      <c r="E82" s="2" t="inlineStr">
        <is>
          <t>8421417</t>
        </is>
      </c>
      <c r="F82" s="2" t="n"/>
      <c r="G82" s="2" t="n"/>
      <c r="H82" s="2" t="n">
        <v>13.3</v>
      </c>
      <c r="I82" s="2" t="n">
        <v>0.3</v>
      </c>
      <c r="J82" s="2" t="n">
        <v>10</v>
      </c>
      <c r="K82" s="2" t="n"/>
      <c r="L82" s="2" t="n"/>
      <c r="M82" s="2" t="inlineStr"/>
      <c r="N82" s="2" t="inlineStr">
        <is>
          <t>聚丙烯</t>
        </is>
      </c>
      <c r="O82" s="2" t="inlineStr">
        <is>
          <t>透明</t>
        </is>
      </c>
      <c r="P82" s="2" t="n">
        <v>29</v>
      </c>
      <c r="Q82" s="2" t="inlineStr">
        <is>
          <t>2026-10-26</t>
        </is>
      </c>
      <c r="R82" s="3" t="inlineStr">
        <is>
          <t>https://www.nitori-net.tw/product/8421417</t>
        </is>
      </c>
      <c r="S82" s="2" t="inlineStr">
        <is>
          <t>官網</t>
        </is>
      </c>
      <c r="T82" s="2" t="inlineStr">
        <is>
          <t>high</t>
        </is>
      </c>
      <c r="U82" s="2" t="inlineStr">
        <is>
          <t>收納盒 HALF/LOW SOFT N INBOX 專用</t>
        </is>
      </c>
      <c r="V82" s="2" t="inlineStr">
        <is>
          <t>說明欄標示寬13×高10</t>
        </is>
      </c>
    </row>
    <row r="83">
      <c r="A83" s="2" t="inlineStr">
        <is>
          <t>NITORI-A044</t>
        </is>
      </c>
      <c r="B83" s="2" t="inlineStr">
        <is>
          <t>NITORI</t>
        </is>
      </c>
      <c r="C83" s="2" t="inlineStr">
        <is>
          <t>掛勾</t>
        </is>
      </c>
      <c r="D83" s="2" t="inlineStr">
        <is>
          <t>掛勾S型 3P</t>
        </is>
      </c>
      <c r="E83" s="2" t="inlineStr">
        <is>
          <t>8503177</t>
        </is>
      </c>
      <c r="F83" s="2" t="n"/>
      <c r="G83" s="2" t="n"/>
      <c r="H83" s="2" t="n">
        <v>4.5</v>
      </c>
      <c r="I83" s="2" t="n"/>
      <c r="J83" s="2" t="n"/>
      <c r="K83" s="2" t="n"/>
      <c r="L83" s="2" t="n"/>
      <c r="M83" s="2" t="inlineStr"/>
      <c r="N83" s="2" t="inlineStr"/>
      <c r="O83" s="2" t="inlineStr">
        <is>
          <t>藍色</t>
        </is>
      </c>
      <c r="P83" s="2" t="n"/>
      <c r="Q83" s="2" t="inlineStr">
        <is>
          <t>2026-10-26</t>
        </is>
      </c>
      <c r="R83" s="3" t="inlineStr">
        <is>
          <t>https://www.nitori-net.tw/product/8503177</t>
        </is>
      </c>
      <c r="S83" s="2" t="inlineStr">
        <is>
          <t>官網</t>
        </is>
      </c>
      <c r="T83" s="2" t="inlineStr">
        <is>
          <t>high</t>
        </is>
      </c>
      <c r="U83" s="2" t="inlineStr">
        <is>
          <t>外出時也能使用</t>
        </is>
      </c>
      <c r="V83" s="2" t="inlineStr">
        <is>
          <t>SET:8503177|29|3|3;規格欄僅標示約寬4.5公分；價格：查詢日售價29（原價49）</t>
        </is>
      </c>
    </row>
    <row r="84">
      <c r="A84" s="2" t="inlineStr">
        <is>
          <t>NITORI-A045</t>
        </is>
      </c>
      <c r="B84" s="2" t="inlineStr">
        <is>
          <t>NITORI</t>
        </is>
      </c>
      <c r="C84" s="2" t="inlineStr">
        <is>
          <t>掛勾</t>
        </is>
      </c>
      <c r="D84" s="2" t="inlineStr">
        <is>
          <t>掛勾S型 6P</t>
        </is>
      </c>
      <c r="E84" s="2" t="inlineStr">
        <is>
          <t>8503229</t>
        </is>
      </c>
      <c r="F84" s="2" t="n"/>
      <c r="G84" s="2" t="n"/>
      <c r="H84" s="2" t="n">
        <v>12</v>
      </c>
      <c r="I84" s="2" t="n">
        <v>6</v>
      </c>
      <c r="J84" s="2" t="n">
        <v>1</v>
      </c>
      <c r="K84" s="2" t="n"/>
      <c r="L84" s="2" t="n"/>
      <c r="M84" s="2" t="inlineStr"/>
      <c r="N84" s="2" t="inlineStr">
        <is>
          <t>PP塑膠</t>
        </is>
      </c>
      <c r="O84" s="2" t="inlineStr">
        <is>
          <t>白色</t>
        </is>
      </c>
      <c r="P84" s="2" t="n"/>
      <c r="Q84" s="2" t="inlineStr">
        <is>
          <t>2026-10-26</t>
        </is>
      </c>
      <c r="R84" s="3" t="inlineStr">
        <is>
          <t>https://www.nitori-net.tw/product/8503229</t>
        </is>
      </c>
      <c r="S84" s="2" t="inlineStr">
        <is>
          <t>官網</t>
        </is>
      </c>
      <c r="T84" s="2" t="inlineStr">
        <is>
          <t>high</t>
        </is>
      </c>
      <c r="U84" s="2" t="inlineStr"/>
      <c r="V84" s="2" t="inlineStr">
        <is>
          <t>SET:8503229|39|6|6;規格欄尺寸未說明為單件或整組；價格：查詢日售價39（原價49）</t>
        </is>
      </c>
    </row>
    <row r="85">
      <c r="A85" s="2" t="inlineStr">
        <is>
          <t>NITORI-A046</t>
        </is>
      </c>
      <c r="B85" s="2" t="inlineStr">
        <is>
          <t>NITORI</t>
        </is>
      </c>
      <c r="C85" s="2" t="inlineStr">
        <is>
          <t>掛勾</t>
        </is>
      </c>
      <c r="D85" s="2" t="inlineStr">
        <is>
          <t>不鏽鋼S型掛勾15-25mm 4入組</t>
        </is>
      </c>
      <c r="E85" s="2" t="inlineStr">
        <is>
          <t>8511529</t>
        </is>
      </c>
      <c r="F85" s="2" t="n"/>
      <c r="G85" s="2" t="n"/>
      <c r="H85" s="2" t="n">
        <v>3.5</v>
      </c>
      <c r="I85" s="2" t="n">
        <v>5.2</v>
      </c>
      <c r="J85" s="2" t="n">
        <v>8.5</v>
      </c>
      <c r="K85" s="2" t="n">
        <v>2.5</v>
      </c>
      <c r="L85" s="2" t="n">
        <v>5</v>
      </c>
      <c r="M85" s="2" t="inlineStr"/>
      <c r="N85" s="2" t="inlineStr">
        <is>
          <t>不鏽鋼</t>
        </is>
      </c>
      <c r="O85" s="2" t="inlineStr">
        <is>
          <t>銀色</t>
        </is>
      </c>
      <c r="P85" s="2" t="n"/>
      <c r="Q85" s="2" t="inlineStr">
        <is>
          <t>2026-10-26</t>
        </is>
      </c>
      <c r="R85" s="3" t="inlineStr">
        <is>
          <t>https://www.nitori-net.tw/product/8511529</t>
        </is>
      </c>
      <c r="S85" s="2" t="inlineStr">
        <is>
          <t>官網</t>
        </is>
      </c>
      <c r="T85" s="2" t="inlineStr">
        <is>
          <t>high</t>
        </is>
      </c>
      <c r="U85" s="2" t="inlineStr">
        <is>
          <t>直徑25mm以內的衣桿</t>
        </is>
      </c>
      <c r="V85" s="2" t="inlineStr">
        <is>
          <t>SET:8511529|69|4|4;耐重為每件；diameter為適用桿徑上限</t>
        </is>
      </c>
    </row>
    <row r="86">
      <c r="A86" s="2" t="inlineStr">
        <is>
          <t>NITORI-A047</t>
        </is>
      </c>
      <c r="B86" s="2" t="inlineStr">
        <is>
          <t>NITORI</t>
        </is>
      </c>
      <c r="C86" s="2" t="inlineStr">
        <is>
          <t>掛勾</t>
        </is>
      </c>
      <c r="D86" s="2" t="inlineStr">
        <is>
          <t>不鏽鋼S型掛勾25-35mm 4入組</t>
        </is>
      </c>
      <c r="E86" s="2" t="inlineStr">
        <is>
          <t>8511531</t>
        </is>
      </c>
      <c r="F86" s="2" t="n"/>
      <c r="G86" s="2" t="n"/>
      <c r="H86" s="2" t="n">
        <v>4</v>
      </c>
      <c r="I86" s="2" t="n">
        <v>6.5</v>
      </c>
      <c r="J86" s="2" t="n">
        <v>10.5</v>
      </c>
      <c r="K86" s="2" t="n">
        <v>3.5</v>
      </c>
      <c r="L86" s="2" t="n">
        <v>5</v>
      </c>
      <c r="M86" s="2" t="inlineStr"/>
      <c r="N86" s="2" t="inlineStr">
        <is>
          <t>不鏽鋼</t>
        </is>
      </c>
      <c r="O86" s="2" t="inlineStr">
        <is>
          <t>銀色</t>
        </is>
      </c>
      <c r="P86" s="2" t="n"/>
      <c r="Q86" s="2" t="inlineStr">
        <is>
          <t>2026-10-26</t>
        </is>
      </c>
      <c r="R86" s="3" t="inlineStr">
        <is>
          <t>https://www.nitori-net.tw/product/8511531</t>
        </is>
      </c>
      <c r="S86" s="2" t="inlineStr">
        <is>
          <t>官網</t>
        </is>
      </c>
      <c r="T86" s="2" t="inlineStr">
        <is>
          <t>high</t>
        </is>
      </c>
      <c r="U86" s="2" t="inlineStr">
        <is>
          <t>直徑35mm以內的衣桿</t>
        </is>
      </c>
      <c r="V86" s="2" t="inlineStr">
        <is>
          <t>SET:8511531|79|4|4;耐重為每件；diameter為適用桿徑上限</t>
        </is>
      </c>
    </row>
    <row r="87">
      <c r="A87" s="2" t="inlineStr">
        <is>
          <t>NITORI-A048</t>
        </is>
      </c>
      <c r="B87" s="2" t="inlineStr">
        <is>
          <t>NITORI</t>
        </is>
      </c>
      <c r="C87" s="2" t="inlineStr">
        <is>
          <t>掛勾</t>
        </is>
      </c>
      <c r="D87" s="2" t="inlineStr">
        <is>
          <t>防橫晃S型掛勾15-25mm 4入組</t>
        </is>
      </c>
      <c r="E87" s="2" t="inlineStr">
        <is>
          <t>8511527</t>
        </is>
      </c>
      <c r="F87" s="2" t="n"/>
      <c r="G87" s="2" t="n"/>
      <c r="H87" s="2" t="n">
        <v>1.7</v>
      </c>
      <c r="I87" s="2" t="n">
        <v>5</v>
      </c>
      <c r="J87" s="2" t="n">
        <v>6.5</v>
      </c>
      <c r="K87" s="2" t="n">
        <v>2.5</v>
      </c>
      <c r="L87" s="2" t="n">
        <v>5</v>
      </c>
      <c r="M87" s="2" t="inlineStr"/>
      <c r="N87" s="2" t="inlineStr">
        <is>
          <t>不鏽鋼</t>
        </is>
      </c>
      <c r="O87" s="2" t="inlineStr">
        <is>
          <t>銀色</t>
        </is>
      </c>
      <c r="P87" s="2" t="n"/>
      <c r="Q87" s="2" t="inlineStr">
        <is>
          <t>2026-10-26</t>
        </is>
      </c>
      <c r="R87" s="3" t="inlineStr">
        <is>
          <t>https://www.nitori-net.tw/product/8511527</t>
        </is>
      </c>
      <c r="S87" s="2" t="inlineStr">
        <is>
          <t>官網</t>
        </is>
      </c>
      <c r="T87" s="2" t="inlineStr">
        <is>
          <t>medium</t>
        </is>
      </c>
      <c r="U87" s="2" t="inlineStr">
        <is>
          <t>直徑25mm以內的衣桿</t>
        </is>
      </c>
      <c r="V87" s="2" t="inlineStr">
        <is>
          <t>SET:8511527|79|4|4;耐重為每件；規格欄「約寬1.7×深5×6.5公分」第三值未標高；diameter為適用桿徑上限</t>
        </is>
      </c>
    </row>
    <row r="88">
      <c r="A88" s="2" t="inlineStr">
        <is>
          <t>NITORI-A049</t>
        </is>
      </c>
      <c r="B88" s="2" t="inlineStr">
        <is>
          <t>NITORI</t>
        </is>
      </c>
      <c r="C88" s="2" t="inlineStr">
        <is>
          <t>掛勾</t>
        </is>
      </c>
      <c r="D88" s="2" t="inlineStr">
        <is>
          <t>不鏽鋼S型附夾掛勾 4入組</t>
        </is>
      </c>
      <c r="E88" s="2" t="inlineStr">
        <is>
          <t>8511526</t>
        </is>
      </c>
      <c r="F88" s="2" t="n"/>
      <c r="G88" s="2" t="n"/>
      <c r="H88" s="2" t="n">
        <v>1.5</v>
      </c>
      <c r="I88" s="2" t="n"/>
      <c r="J88" s="2" t="n"/>
      <c r="K88" s="2" t="n">
        <v>1.5</v>
      </c>
      <c r="L88" s="2" t="n">
        <v>0.5</v>
      </c>
      <c r="M88" s="2" t="inlineStr"/>
      <c r="N88" s="2" t="inlineStr">
        <is>
          <t>不鏽鋼</t>
        </is>
      </c>
      <c r="O88" s="2" t="inlineStr">
        <is>
          <t>銀色</t>
        </is>
      </c>
      <c r="P88" s="2" t="n"/>
      <c r="Q88" s="2" t="inlineStr">
        <is>
          <t>2026-10-26</t>
        </is>
      </c>
      <c r="R88" s="3" t="inlineStr">
        <is>
          <t>https://www.nitori-net.tw/product/8511526</t>
        </is>
      </c>
      <c r="S88" s="2" t="inlineStr">
        <is>
          <t>官網</t>
        </is>
      </c>
      <c r="T88" s="2" t="inlineStr">
        <is>
          <t>high</t>
        </is>
      </c>
      <c r="U88" s="2" t="inlineStr">
        <is>
          <t>直徑15mm以內的衣桿</t>
        </is>
      </c>
      <c r="V88" s="2" t="inlineStr">
        <is>
          <t>SET:8511526|79|4|4;附夾子；耐重為每件；規格欄僅標示約寬1.5公分</t>
        </is>
      </c>
    </row>
    <row r="89">
      <c r="A89" s="2" t="inlineStr">
        <is>
          <t>NITORI-A050</t>
        </is>
      </c>
      <c r="B89" s="2" t="inlineStr">
        <is>
          <t>NITORI</t>
        </is>
      </c>
      <c r="C89" s="2" t="inlineStr">
        <is>
          <t>掛勾</t>
        </is>
      </c>
      <c r="D89" s="2" t="inlineStr">
        <is>
          <t>S掛勾 5入組</t>
        </is>
      </c>
      <c r="E89" s="2" t="inlineStr">
        <is>
          <t>8980446</t>
        </is>
      </c>
      <c r="F89" s="2" t="n"/>
      <c r="G89" s="2" t="n"/>
      <c r="H89" s="2" t="n">
        <v>6</v>
      </c>
      <c r="I89" s="2" t="n">
        <v>3</v>
      </c>
      <c r="J89" s="2" t="n">
        <v>1</v>
      </c>
      <c r="K89" s="2" t="n">
        <v>1.2</v>
      </c>
      <c r="L89" s="2" t="n">
        <v>2</v>
      </c>
      <c r="M89" s="2" t="inlineStr"/>
      <c r="N89" s="2" t="inlineStr">
        <is>
          <t>鋼</t>
        </is>
      </c>
      <c r="O89" s="2" t="inlineStr">
        <is>
          <t>銀色</t>
        </is>
      </c>
      <c r="P89" s="2" t="n"/>
      <c r="Q89" s="2" t="inlineStr">
        <is>
          <t>2026-10-26</t>
        </is>
      </c>
      <c r="R89" s="3" t="inlineStr">
        <is>
          <t>https://www.nitori-net.tw/product/8980446</t>
        </is>
      </c>
      <c r="S89" s="2" t="inlineStr">
        <is>
          <t>官網</t>
        </is>
      </c>
      <c r="T89" s="2" t="inlineStr">
        <is>
          <t>high</t>
        </is>
      </c>
      <c r="U89" s="2" t="inlineStr">
        <is>
          <t>直徑12mm的桿子</t>
        </is>
      </c>
      <c r="V89" s="2" t="inlineStr">
        <is>
          <t>SET:8980446|59|5|5;耐重為每件；雙頭附保護套；價格：查詢日售價59（原價69）</t>
        </is>
      </c>
    </row>
    <row r="90">
      <c r="A90" s="2" t="inlineStr">
        <is>
          <t>NITORI-A051</t>
        </is>
      </c>
      <c r="B90" s="2" t="inlineStr">
        <is>
          <t>NITORI</t>
        </is>
      </c>
      <c r="C90" s="2" t="inlineStr">
        <is>
          <t>掛勾</t>
        </is>
      </c>
      <c r="D90" s="2" t="inlineStr">
        <is>
          <t>門後掛勾 TOVER10H</t>
        </is>
      </c>
      <c r="E90" s="2" t="inlineStr">
        <is>
          <t>8470603/8470606</t>
        </is>
      </c>
      <c r="F90" s="2" t="n"/>
      <c r="G90" s="2" t="n"/>
      <c r="H90" s="2" t="n">
        <v>34</v>
      </c>
      <c r="I90" s="2" t="n">
        <v>12</v>
      </c>
      <c r="J90" s="2" t="n">
        <v>19</v>
      </c>
      <c r="K90" s="2" t="n"/>
      <c r="L90" s="2" t="n"/>
      <c r="M90" s="2" t="inlineStr">
        <is>
          <t>掛勾</t>
        </is>
      </c>
      <c r="N90" s="2" t="inlineStr">
        <is>
          <t>鋼</t>
        </is>
      </c>
      <c r="O90" s="2" t="inlineStr">
        <is>
          <t>白色/黑色</t>
        </is>
      </c>
      <c r="P90" s="2" t="n">
        <v>199</v>
      </c>
      <c r="Q90" s="2" t="inlineStr">
        <is>
          <t>2026-10-26</t>
        </is>
      </c>
      <c r="R90" s="3" t="inlineStr">
        <is>
          <t>https://www.nitori-net.tw/product/8470603</t>
        </is>
      </c>
      <c r="S90" s="2" t="inlineStr">
        <is>
          <t>官網</t>
        </is>
      </c>
      <c r="T90" s="2" t="inlineStr">
        <is>
          <t>high</t>
        </is>
      </c>
      <c r="U90" s="2" t="inlineStr"/>
      <c r="V90" s="2" t="inlineStr">
        <is>
          <t>門後吊掛式（依品名）；耐重未標示</t>
        </is>
      </c>
    </row>
    <row r="91">
      <c r="A91" s="2" t="inlineStr">
        <is>
          <t>NITORI-A052</t>
        </is>
      </c>
      <c r="B91" s="2" t="inlineStr">
        <is>
          <t>NITORI</t>
        </is>
      </c>
      <c r="C91" s="2" t="inlineStr">
        <is>
          <t>掛勾</t>
        </is>
      </c>
      <c r="D91" s="2" t="inlineStr">
        <is>
          <t>皮包掛勾 6P</t>
        </is>
      </c>
      <c r="E91" s="2" t="inlineStr">
        <is>
          <t>8470454</t>
        </is>
      </c>
      <c r="F91" s="2" t="n"/>
      <c r="G91" s="2" t="n"/>
      <c r="H91" s="2" t="n">
        <v>5</v>
      </c>
      <c r="I91" s="2" t="n">
        <v>8.5</v>
      </c>
      <c r="J91" s="2" t="n">
        <v>78</v>
      </c>
      <c r="K91" s="2" t="n"/>
      <c r="L91" s="2" t="n">
        <v>1</v>
      </c>
      <c r="M91" s="2" t="inlineStr">
        <is>
          <t>掛勾</t>
        </is>
      </c>
      <c r="N91" s="2" t="inlineStr">
        <is>
          <t>鋼</t>
        </is>
      </c>
      <c r="O91" s="2" t="inlineStr">
        <is>
          <t>白色</t>
        </is>
      </c>
      <c r="P91" s="2" t="n">
        <v>399</v>
      </c>
      <c r="Q91" s="2" t="inlineStr">
        <is>
          <t>2026-10-26</t>
        </is>
      </c>
      <c r="R91" s="3" t="inlineStr">
        <is>
          <t>https://www.nitori-net.tw/product/8470454</t>
        </is>
      </c>
      <c r="S91" s="2" t="inlineStr">
        <is>
          <t>官網</t>
        </is>
      </c>
      <c r="T91" s="2" t="inlineStr">
        <is>
          <t>high</t>
        </is>
      </c>
      <c r="U91" s="2" t="inlineStr"/>
      <c r="V91" s="2" t="inlineStr">
        <is>
          <t>6個掛鉤一組（單一商品）；耐重為每個掛鉤；附門用掛鉤、衣架用掛鉤、木螺絲各1</t>
        </is>
      </c>
    </row>
    <row r="92">
      <c r="A92" s="2" t="inlineStr">
        <is>
          <t>NITORI-A053</t>
        </is>
      </c>
      <c r="B92" s="2" t="inlineStr">
        <is>
          <t>NITORI</t>
        </is>
      </c>
      <c r="C92" s="2" t="inlineStr">
        <is>
          <t>掛勾</t>
        </is>
      </c>
      <c r="D92" s="2" t="inlineStr">
        <is>
          <t>伸縮桿掛勾 NT2</t>
        </is>
      </c>
      <c r="E92" s="2" t="inlineStr">
        <is>
          <t>7460403</t>
        </is>
      </c>
      <c r="F92" s="2" t="n"/>
      <c r="G92" s="2" t="n"/>
      <c r="H92" s="2" t="n">
        <v>2</v>
      </c>
      <c r="I92" s="2" t="n">
        <v>2</v>
      </c>
      <c r="J92" s="2" t="n">
        <v>4</v>
      </c>
      <c r="K92" s="2" t="n">
        <v>1.4</v>
      </c>
      <c r="L92" s="2" t="n"/>
      <c r="M92" s="2" t="inlineStr">
        <is>
          <t>螺絲</t>
        </is>
      </c>
      <c r="N92" s="2" t="inlineStr">
        <is>
          <t>ABS樹脂</t>
        </is>
      </c>
      <c r="O92" s="2" t="inlineStr">
        <is>
          <t>白色</t>
        </is>
      </c>
      <c r="P92" s="2" t="n">
        <v>39</v>
      </c>
      <c r="Q92" s="2" t="inlineStr">
        <is>
          <t>2026-10-26</t>
        </is>
      </c>
      <c r="R92" s="3" t="inlineStr">
        <is>
          <t>https://www.nitori-net.tw/product/7460403</t>
        </is>
      </c>
      <c r="S92" s="2" t="inlineStr">
        <is>
          <t>官網</t>
        </is>
      </c>
      <c r="T92" s="2" t="inlineStr">
        <is>
          <t>high</t>
        </is>
      </c>
      <c r="U92" s="2" t="inlineStr">
        <is>
          <t>門簾桿及伸縮桿用</t>
        </is>
      </c>
      <c r="V92" s="2" t="inlineStr">
        <is>
          <t>適用伸縮桿直徑最大14mm；木板專用螺絲，木板厚度須10mm以上</t>
        </is>
      </c>
    </row>
    <row r="93">
      <c r="A93" s="2" t="inlineStr">
        <is>
          <t>NITORI-A054</t>
        </is>
      </c>
      <c r="B93" s="2" t="inlineStr">
        <is>
          <t>NITORI</t>
        </is>
      </c>
      <c r="C93" s="2" t="inlineStr">
        <is>
          <t>掛勾</t>
        </is>
      </c>
      <c r="D93" s="2" t="inlineStr">
        <is>
          <t>伸縮桿吊環 NT2 10PCS</t>
        </is>
      </c>
      <c r="E93" s="2" t="inlineStr">
        <is>
          <t>7460408</t>
        </is>
      </c>
      <c r="F93" s="2" t="n"/>
      <c r="G93" s="2" t="n"/>
      <c r="H93" s="2" t="n">
        <v>3</v>
      </c>
      <c r="I93" s="2" t="n">
        <v>3</v>
      </c>
      <c r="J93" s="2" t="n">
        <v>6</v>
      </c>
      <c r="K93" s="2" t="n">
        <v>3</v>
      </c>
      <c r="L93" s="2" t="n"/>
      <c r="M93" s="2" t="inlineStr"/>
      <c r="N93" s="2" t="inlineStr">
        <is>
          <t>PP</t>
        </is>
      </c>
      <c r="O93" s="2" t="inlineStr">
        <is>
          <t>白色</t>
        </is>
      </c>
      <c r="P93" s="2" t="n"/>
      <c r="Q93" s="2" t="inlineStr">
        <is>
          <t>2026-10-26</t>
        </is>
      </c>
      <c r="R93" s="3" t="inlineStr">
        <is>
          <t>https://www.nitori-net.tw/product/7460408</t>
        </is>
      </c>
      <c r="S93" s="2" t="inlineStr">
        <is>
          <t>官網</t>
        </is>
      </c>
      <c r="T93" s="2" t="inlineStr">
        <is>
          <t>high</t>
        </is>
      </c>
      <c r="U93" s="2" t="inlineStr">
        <is>
          <t>門簾（寬100cm約7-9個、150cm約9-14個）</t>
        </is>
      </c>
      <c r="V93" s="2" t="inlineStr">
        <is>
          <t>SET:7460408|79|10|10;diameter為吊環內徑30mm；價格：查詢日售價79（原價99）</t>
        </is>
      </c>
    </row>
    <row r="94">
      <c r="A94" s="2" t="inlineStr">
        <is>
          <t>NITORI-A055</t>
        </is>
      </c>
      <c r="B94" s="2" t="inlineStr">
        <is>
          <t>NITORI</t>
        </is>
      </c>
      <c r="C94" s="2" t="inlineStr">
        <is>
          <t>掛勾</t>
        </is>
      </c>
      <c r="D94" s="2" t="inlineStr">
        <is>
          <t>不留痕掛勾4入 透明 250g</t>
        </is>
      </c>
      <c r="E94" s="2" t="inlineStr">
        <is>
          <t>2111200037005</t>
        </is>
      </c>
      <c r="F94" s="2" t="n"/>
      <c r="G94" s="2" t="n"/>
      <c r="H94" s="2" t="n">
        <v>3</v>
      </c>
      <c r="I94" s="2" t="n">
        <v>4</v>
      </c>
      <c r="J94" s="2" t="n">
        <v>1.6</v>
      </c>
      <c r="K94" s="2" t="n"/>
      <c r="L94" s="2" t="n">
        <v>0.25</v>
      </c>
      <c r="M94" s="2" t="inlineStr">
        <is>
          <t>黏貼</t>
        </is>
      </c>
      <c r="N94" s="2" t="inlineStr">
        <is>
          <t>PET塑膠、PU彈性體、PC聚碳酸酯</t>
        </is>
      </c>
      <c r="O94" s="2" t="inlineStr">
        <is>
          <t>透明</t>
        </is>
      </c>
      <c r="P94" s="2" t="n"/>
      <c r="Q94" s="2" t="inlineStr">
        <is>
          <t>2026-10-26</t>
        </is>
      </c>
      <c r="R94" s="3" t="inlineStr">
        <is>
          <t>https://www.nitori-net.tw/product/2111200037005</t>
        </is>
      </c>
      <c r="S94" s="2" t="inlineStr">
        <is>
          <t>官網</t>
        </is>
      </c>
      <c r="T94" s="2" t="inlineStr">
        <is>
          <t>high</t>
        </is>
      </c>
      <c r="U94" s="2" t="inlineStr"/>
      <c r="V94" s="2" t="inlineStr">
        <is>
          <t>SET:2111200037005|59|4|4;官網標示「整體耐重量」250g；適用磁磚、玻璃、塑膠壓克力、鏡面等光滑平整面</t>
        </is>
      </c>
    </row>
    <row r="95">
      <c r="A95" s="2" t="inlineStr">
        <is>
          <t>NITORI-A056</t>
        </is>
      </c>
      <c r="B95" s="2" t="inlineStr">
        <is>
          <t>NITORI</t>
        </is>
      </c>
      <c r="C95" s="2" t="inlineStr">
        <is>
          <t>掛勾</t>
        </is>
      </c>
      <c r="D95" s="2" t="inlineStr">
        <is>
          <t>不留痕掛勾1入 方型 1.5KG</t>
        </is>
      </c>
      <c r="E95" s="2" t="inlineStr">
        <is>
          <t>2111200036992</t>
        </is>
      </c>
      <c r="F95" s="2" t="n"/>
      <c r="G95" s="2" t="n"/>
      <c r="H95" s="2" t="n">
        <v>5.2</v>
      </c>
      <c r="I95" s="2" t="n">
        <v>6.6</v>
      </c>
      <c r="J95" s="2" t="n">
        <v>2</v>
      </c>
      <c r="K95" s="2" t="n"/>
      <c r="L95" s="2" t="n">
        <v>1.5</v>
      </c>
      <c r="M95" s="2" t="inlineStr">
        <is>
          <t>黏貼</t>
        </is>
      </c>
      <c r="N95" s="2" t="inlineStr">
        <is>
          <t>PET塑膠、PU彈性體、PC聚碳酸酯</t>
        </is>
      </c>
      <c r="O95" s="2" t="inlineStr">
        <is>
          <t>透明</t>
        </is>
      </c>
      <c r="P95" s="2" t="n">
        <v>39</v>
      </c>
      <c r="Q95" s="2" t="inlineStr">
        <is>
          <t>2026-10-26</t>
        </is>
      </c>
      <c r="R95" s="3" t="inlineStr">
        <is>
          <t>https://www.nitori-net.tw/product/2111200036992</t>
        </is>
      </c>
      <c r="S95" s="2" t="inlineStr">
        <is>
          <t>官網</t>
        </is>
      </c>
      <c r="T95" s="2" t="inlineStr">
        <is>
          <t>high</t>
        </is>
      </c>
      <c r="U95" s="2" t="inlineStr"/>
      <c r="V95" s="2" t="inlineStr">
        <is>
          <t>適用磁磚、玻璃、塑膠壓克力、鏡面等光滑平整面</t>
        </is>
      </c>
    </row>
    <row r="96">
      <c r="A96" s="2" t="inlineStr">
        <is>
          <t>NITORI-A057</t>
        </is>
      </c>
      <c r="B96" s="2" t="inlineStr">
        <is>
          <t>NITORI</t>
        </is>
      </c>
      <c r="C96" s="2" t="inlineStr">
        <is>
          <t>掛勾</t>
        </is>
      </c>
      <c r="D96" s="2" t="inlineStr">
        <is>
          <t>不留痕掛勾1入 方型 2KG</t>
        </is>
      </c>
      <c r="E96" s="2" t="inlineStr">
        <is>
          <t>2111200036985</t>
        </is>
      </c>
      <c r="F96" s="2" t="n"/>
      <c r="G96" s="2" t="n"/>
      <c r="H96" s="2" t="n">
        <v>6.3</v>
      </c>
      <c r="I96" s="2" t="n">
        <v>7</v>
      </c>
      <c r="J96" s="2" t="n">
        <v>2</v>
      </c>
      <c r="K96" s="2" t="n"/>
      <c r="L96" s="2" t="n">
        <v>2</v>
      </c>
      <c r="M96" s="2" t="inlineStr">
        <is>
          <t>黏貼</t>
        </is>
      </c>
      <c r="N96" s="2" t="inlineStr">
        <is>
          <t>PET塑膠、PU彈性體、PC聚碳酸酯</t>
        </is>
      </c>
      <c r="O96" s="2" t="inlineStr">
        <is>
          <t>透明</t>
        </is>
      </c>
      <c r="P96" s="2" t="n">
        <v>49</v>
      </c>
      <c r="Q96" s="2" t="inlineStr">
        <is>
          <t>2026-10-26</t>
        </is>
      </c>
      <c r="R96" s="3" t="inlineStr">
        <is>
          <t>https://www.nitori-net.tw/product/2111200036985</t>
        </is>
      </c>
      <c r="S96" s="2" t="inlineStr">
        <is>
          <t>官網</t>
        </is>
      </c>
      <c r="T96" s="2" t="inlineStr">
        <is>
          <t>high</t>
        </is>
      </c>
      <c r="U96" s="2" t="inlineStr"/>
      <c r="V96" s="2" t="inlineStr">
        <is>
          <t>適用磁磚、玻璃、塑膠壓克力、鏡面等光滑平整面</t>
        </is>
      </c>
    </row>
    <row r="97">
      <c r="A97" s="2" t="inlineStr">
        <is>
          <t>NITORI-A058</t>
        </is>
      </c>
      <c r="B97" s="2" t="inlineStr">
        <is>
          <t>NITORI</t>
        </is>
      </c>
      <c r="C97" s="2" t="inlineStr">
        <is>
          <t>掛勾</t>
        </is>
      </c>
      <c r="D97" s="2" t="inlineStr">
        <is>
          <t>不留痕黏貼掛勾 方型 7cm 1入 3WS7P-1B</t>
        </is>
      </c>
      <c r="E97" s="2" t="inlineStr">
        <is>
          <t>8980845</t>
        </is>
      </c>
      <c r="F97" s="2" t="n"/>
      <c r="G97" s="2" t="n"/>
      <c r="H97" s="2" t="n">
        <v>7</v>
      </c>
      <c r="I97" s="2" t="n">
        <v>2</v>
      </c>
      <c r="J97" s="2" t="n">
        <v>7</v>
      </c>
      <c r="K97" s="2" t="n"/>
      <c r="L97" s="2" t="n">
        <v>1.5</v>
      </c>
      <c r="M97" s="2" t="inlineStr">
        <is>
          <t>黏貼</t>
        </is>
      </c>
      <c r="N97" s="2" t="inlineStr">
        <is>
          <t>PET PU PC</t>
        </is>
      </c>
      <c r="O97" s="2" t="inlineStr">
        <is>
          <t>透明</t>
        </is>
      </c>
      <c r="P97" s="2" t="n">
        <v>39</v>
      </c>
      <c r="Q97" s="2" t="inlineStr">
        <is>
          <t>2026-10-26</t>
        </is>
      </c>
      <c r="R97" s="3" t="inlineStr">
        <is>
          <t>https://www.nitori-net.tw/product/8980845</t>
        </is>
      </c>
      <c r="S97" s="2" t="inlineStr">
        <is>
          <t>官網</t>
        </is>
      </c>
      <c r="T97" s="2" t="inlineStr">
        <is>
          <t>high</t>
        </is>
      </c>
      <c r="U97" s="2" t="inlineStr"/>
      <c r="V97" s="2" t="inlineStr">
        <is>
          <t>可重覆黏貼；適用光滑平整面</t>
        </is>
      </c>
    </row>
    <row r="98">
      <c r="A98" s="2" t="inlineStr">
        <is>
          <t>NITORI-A059</t>
        </is>
      </c>
      <c r="B98" s="2" t="inlineStr">
        <is>
          <t>NITORI</t>
        </is>
      </c>
      <c r="C98" s="2" t="inlineStr">
        <is>
          <t>掛勾</t>
        </is>
      </c>
      <c r="D98" s="2" t="inlineStr">
        <is>
          <t>不留痕貼片掛勾2入組</t>
        </is>
      </c>
      <c r="E98" s="2" t="inlineStr">
        <is>
          <t>2112100000342</t>
        </is>
      </c>
      <c r="F98" s="2" t="n"/>
      <c r="G98" s="2" t="n"/>
      <c r="H98" s="2" t="n">
        <v>5.2</v>
      </c>
      <c r="I98" s="2" t="n">
        <v>0.4</v>
      </c>
      <c r="J98" s="2" t="n">
        <v>6.6</v>
      </c>
      <c r="K98" s="2" t="n"/>
      <c r="L98" s="2" t="n">
        <v>2</v>
      </c>
      <c r="M98" s="2" t="inlineStr">
        <is>
          <t>黏貼</t>
        </is>
      </c>
      <c r="N98" s="2" t="inlineStr">
        <is>
          <t>塑膠、彈性體、聚碳酸酯</t>
        </is>
      </c>
      <c r="O98" s="2" t="inlineStr">
        <is>
          <t>白色</t>
        </is>
      </c>
      <c r="P98" s="2" t="n"/>
      <c r="Q98" s="2" t="inlineStr">
        <is>
          <t>2026-10-26</t>
        </is>
      </c>
      <c r="R98" s="3" t="inlineStr">
        <is>
          <t>https://www.nitori-net.tw/product/2112100000342</t>
        </is>
      </c>
      <c r="S98" s="2" t="inlineStr">
        <is>
          <t>官網</t>
        </is>
      </c>
      <c r="T98" s="2" t="inlineStr">
        <is>
          <t>high</t>
        </is>
      </c>
      <c r="U98" s="2" t="inlineStr"/>
      <c r="V98" s="2" t="inlineStr">
        <is>
          <t>SET:2112100000342|49|2|2;可重複黏貼；耐重未說明為每件或整組</t>
        </is>
      </c>
    </row>
    <row r="99">
      <c r="A99" s="2" t="inlineStr">
        <is>
          <t>NITORI-A060</t>
        </is>
      </c>
      <c r="B99" s="2" t="inlineStr">
        <is>
          <t>NITORI</t>
        </is>
      </c>
      <c r="C99" s="2" t="inlineStr">
        <is>
          <t>掛勾</t>
        </is>
      </c>
      <c r="D99" s="2" t="inlineStr">
        <is>
          <t>不留痕浴室掛勾 S 2P JP01</t>
        </is>
      </c>
      <c r="E99" s="2" t="inlineStr">
        <is>
          <t>8511745</t>
        </is>
      </c>
      <c r="F99" s="2" t="n"/>
      <c r="G99" s="2" t="n"/>
      <c r="H99" s="2" t="n">
        <v>4.2</v>
      </c>
      <c r="I99" s="2" t="n">
        <v>2.4</v>
      </c>
      <c r="J99" s="2" t="n">
        <v>5.6</v>
      </c>
      <c r="K99" s="2" t="n"/>
      <c r="L99" s="2" t="n">
        <v>2</v>
      </c>
      <c r="M99" s="2" t="inlineStr">
        <is>
          <t>黏貼</t>
        </is>
      </c>
      <c r="N99" s="2" t="inlineStr">
        <is>
          <t>PET、PU、PC</t>
        </is>
      </c>
      <c r="O99" s="2" t="inlineStr">
        <is>
          <t>純白色</t>
        </is>
      </c>
      <c r="P99" s="2" t="n"/>
      <c r="Q99" s="2" t="inlineStr">
        <is>
          <t>2026-10-26</t>
        </is>
      </c>
      <c r="R99" s="3" t="inlineStr">
        <is>
          <t>https://www.nitori-net.tw/product/8511745</t>
        </is>
      </c>
      <c r="S99" s="2" t="inlineStr">
        <is>
          <t>官網</t>
        </is>
      </c>
      <c r="T99" s="2" t="inlineStr">
        <is>
          <t>high</t>
        </is>
      </c>
      <c r="U99" s="2" t="inlineStr"/>
      <c r="V99" s="2" t="inlineStr">
        <is>
          <t>SET:8511745|69|2|2;官網標示「整體耐重」2kg；可重複黏貼；價格：查詢日售價69（原價79）</t>
        </is>
      </c>
    </row>
    <row r="100">
      <c r="A100" s="2" t="inlineStr">
        <is>
          <t>NITORI-A061</t>
        </is>
      </c>
      <c r="B100" s="2" t="inlineStr">
        <is>
          <t>NITORI</t>
        </is>
      </c>
      <c r="C100" s="2" t="inlineStr">
        <is>
          <t>掛勾</t>
        </is>
      </c>
      <c r="D100" s="2" t="inlineStr">
        <is>
          <t>【DECO HOME商品】不留痕四連掛勾 SU01</t>
        </is>
      </c>
      <c r="E100" s="2" t="inlineStr">
        <is>
          <t>2112100004388</t>
        </is>
      </c>
      <c r="F100" s="2" t="n"/>
      <c r="G100" s="2" t="n"/>
      <c r="H100" s="2" t="n">
        <v>20</v>
      </c>
      <c r="I100" s="2" t="n">
        <v>3.5</v>
      </c>
      <c r="J100" s="2" t="n">
        <v>5</v>
      </c>
      <c r="K100" s="2" t="n"/>
      <c r="L100" s="2" t="n">
        <v>1.5</v>
      </c>
      <c r="M100" s="2" t="inlineStr">
        <is>
          <t>黏貼</t>
        </is>
      </c>
      <c r="N100" s="2" t="inlineStr">
        <is>
          <t>鋼</t>
        </is>
      </c>
      <c r="O100" s="2" t="inlineStr">
        <is>
          <t>淺摩卡色</t>
        </is>
      </c>
      <c r="P100" s="2" t="n">
        <v>119</v>
      </c>
      <c r="Q100" s="2" t="inlineStr">
        <is>
          <t>2026-10-26</t>
        </is>
      </c>
      <c r="R100" s="3" t="inlineStr">
        <is>
          <t>https://www.nitori-net.tw/product/2112100004388</t>
        </is>
      </c>
      <c r="S100" s="2" t="inlineStr">
        <is>
          <t>官網</t>
        </is>
      </c>
      <c r="T100" s="2" t="inlineStr">
        <is>
          <t>medium</t>
        </is>
      </c>
      <c r="U100" s="2" t="inlineStr"/>
      <c r="V100" s="2" t="inlineStr">
        <is>
          <t>資料衝突：說明欄標示19.9×3.8×7.8公分，此列依規格欄</t>
        </is>
      </c>
    </row>
    <row r="101">
      <c r="A101" s="2" t="inlineStr">
        <is>
          <t>NITORI-A062</t>
        </is>
      </c>
      <c r="B101" s="2" t="inlineStr">
        <is>
          <t>NITORI</t>
        </is>
      </c>
      <c r="C101" s="2" t="inlineStr">
        <is>
          <t>掛勾</t>
        </is>
      </c>
      <c r="D101" s="2" t="inlineStr">
        <is>
          <t>不留痕掛勾架 KCT13106</t>
        </is>
      </c>
      <c r="E101" s="2" t="inlineStr">
        <is>
          <t>8981117</t>
        </is>
      </c>
      <c r="F101" s="2" t="n"/>
      <c r="G101" s="2" t="n"/>
      <c r="H101" s="2" t="n">
        <v>30</v>
      </c>
      <c r="I101" s="2" t="n">
        <v>3</v>
      </c>
      <c r="J101" s="2" t="n">
        <v>7</v>
      </c>
      <c r="K101" s="2" t="n"/>
      <c r="L101" s="2" t="n">
        <v>5</v>
      </c>
      <c r="M101" s="2" t="inlineStr">
        <is>
          <t>黏貼</t>
        </is>
      </c>
      <c r="N101" s="2" t="inlineStr">
        <is>
          <t>鐵</t>
        </is>
      </c>
      <c r="O101" s="2" t="inlineStr">
        <is>
          <t>白色</t>
        </is>
      </c>
      <c r="P101" s="2" t="n">
        <v>199</v>
      </c>
      <c r="Q101" s="2" t="inlineStr">
        <is>
          <t>2026-10-26</t>
        </is>
      </c>
      <c r="R101" s="3" t="inlineStr">
        <is>
          <t>https://www.nitori-net.tw/product/8981117</t>
        </is>
      </c>
      <c r="S101" s="2" t="inlineStr">
        <is>
          <t>官網</t>
        </is>
      </c>
      <c r="T101" s="2" t="inlineStr">
        <is>
          <t>high</t>
        </is>
      </c>
      <c r="U101" s="2" t="inlineStr"/>
      <c r="V101" s="2" t="inlineStr">
        <is>
          <t>含掛勾貼片、架體、定位框；粗糙或微凸面耐重會遞減</t>
        </is>
      </c>
    </row>
    <row r="102">
      <c r="A102" s="2" t="inlineStr">
        <is>
          <t>NITORI-A063</t>
        </is>
      </c>
      <c r="B102" s="2" t="inlineStr">
        <is>
          <t>NITORI</t>
        </is>
      </c>
      <c r="C102" s="2" t="inlineStr">
        <is>
          <t>掛勾</t>
        </is>
      </c>
      <c r="D102" s="2" t="inlineStr">
        <is>
          <t>吸盤式掛勾 CRED S40 2P</t>
        </is>
      </c>
      <c r="E102" s="2" t="inlineStr">
        <is>
          <t>8511021</t>
        </is>
      </c>
      <c r="F102" s="2" t="n"/>
      <c r="G102" s="2" t="n"/>
      <c r="H102" s="2" t="n">
        <v>6</v>
      </c>
      <c r="I102" s="2" t="n"/>
      <c r="J102" s="2" t="n"/>
      <c r="K102" s="2" t="n"/>
      <c r="L102" s="2" t="n">
        <v>0.5</v>
      </c>
      <c r="M102" s="2" t="inlineStr">
        <is>
          <t>吸盤</t>
        </is>
      </c>
      <c r="N102" s="2" t="inlineStr"/>
      <c r="O102" s="2" t="inlineStr">
        <is>
          <t>白色</t>
        </is>
      </c>
      <c r="P102" s="2" t="n"/>
      <c r="Q102" s="2" t="inlineStr">
        <is>
          <t>2026-10-26</t>
        </is>
      </c>
      <c r="R102" s="3" t="inlineStr">
        <is>
          <t>https://www.nitori-net.tw/product/8511021</t>
        </is>
      </c>
      <c r="S102" s="2" t="inlineStr">
        <is>
          <t>官網</t>
        </is>
      </c>
      <c r="T102" s="2" t="inlineStr">
        <is>
          <t>high</t>
        </is>
      </c>
      <c r="U102" s="2" t="inlineStr"/>
      <c r="V102" s="2" t="inlineStr">
        <is>
          <t>SET:8511021|113|2|2;耐熱60℃；規格欄僅標示約寬6公分；耐重未說明為每件或整組；價格：查詢日售價113（原價119）</t>
        </is>
      </c>
    </row>
    <row r="103">
      <c r="A103" s="2" t="inlineStr">
        <is>
          <t>NITORI-A064</t>
        </is>
      </c>
      <c r="B103" s="2" t="inlineStr">
        <is>
          <t>NITORI</t>
        </is>
      </c>
      <c r="C103" s="2" t="inlineStr">
        <is>
          <t>掛勾</t>
        </is>
      </c>
      <c r="D103" s="2" t="inlineStr">
        <is>
          <t>吸盤式掛勾 S60 MS05</t>
        </is>
      </c>
      <c r="E103" s="2" t="inlineStr">
        <is>
          <t>8511751</t>
        </is>
      </c>
      <c r="F103" s="2" t="n"/>
      <c r="G103" s="2" t="n"/>
      <c r="H103" s="2" t="n">
        <v>6.5</v>
      </c>
      <c r="I103" s="2" t="n">
        <v>4.2</v>
      </c>
      <c r="J103" s="2" t="n">
        <v>11</v>
      </c>
      <c r="K103" s="2" t="n"/>
      <c r="L103" s="2" t="n">
        <v>1.5</v>
      </c>
      <c r="M103" s="2" t="inlineStr">
        <is>
          <t>吸盤</t>
        </is>
      </c>
      <c r="N103" s="2" t="inlineStr">
        <is>
          <t>ABS樹脂</t>
        </is>
      </c>
      <c r="O103" s="2" t="inlineStr">
        <is>
          <t>黑色</t>
        </is>
      </c>
      <c r="P103" s="2" t="n">
        <v>119</v>
      </c>
      <c r="Q103" s="2" t="inlineStr">
        <is>
          <t>2026-10-26</t>
        </is>
      </c>
      <c r="R103" s="3" t="inlineStr">
        <is>
          <t>https://www.nitori-net.tw/product/8511751</t>
        </is>
      </c>
      <c r="S103" s="2" t="inlineStr">
        <is>
          <t>官網</t>
        </is>
      </c>
      <c r="T103" s="2" t="inlineStr">
        <is>
          <t>high</t>
        </is>
      </c>
      <c r="U103" s="2" t="inlineStr"/>
      <c r="V103" s="2" t="inlineStr">
        <is>
          <t>整體耐重；適用磁磚、不鏽鋼、塑膠、玻璃、鏡面、冰箱洗衣機等金屬塗裝面</t>
        </is>
      </c>
    </row>
    <row r="104">
      <c r="A104" s="2" t="inlineStr">
        <is>
          <t>NITORI-A065</t>
        </is>
      </c>
      <c r="B104" s="2" t="inlineStr">
        <is>
          <t>NITORI</t>
        </is>
      </c>
      <c r="C104" s="2" t="inlineStr">
        <is>
          <t>掛勾</t>
        </is>
      </c>
      <c r="D104" s="2" t="inlineStr">
        <is>
          <t>(網購限定)磁吸式掛勾 2入 AL02(EC)</t>
        </is>
      </c>
      <c r="E104" s="2" t="inlineStr">
        <is>
          <t>8511598</t>
        </is>
      </c>
      <c r="F104" s="2" t="n"/>
      <c r="G104" s="2" t="n"/>
      <c r="H104" s="2" t="n">
        <v>4.2</v>
      </c>
      <c r="I104" s="2" t="n">
        <v>3.4</v>
      </c>
      <c r="J104" s="2" t="n">
        <v>6.3</v>
      </c>
      <c r="K104" s="2" t="n"/>
      <c r="L104" s="2" t="n">
        <v>0.15</v>
      </c>
      <c r="M104" s="2" t="inlineStr">
        <is>
          <t>磁吸</t>
        </is>
      </c>
      <c r="N104" s="2" t="inlineStr">
        <is>
          <t>ABS樹脂、橡膠磁鐵</t>
        </is>
      </c>
      <c r="O104" s="2" t="inlineStr">
        <is>
          <t>純白色</t>
        </is>
      </c>
      <c r="P104" s="2" t="n"/>
      <c r="Q104" s="2" t="inlineStr">
        <is>
          <t>2026-10-26</t>
        </is>
      </c>
      <c r="R104" s="3" t="inlineStr">
        <is>
          <t>https://www.nitori-net.tw/product/8511598</t>
        </is>
      </c>
      <c r="S104" s="2" t="inlineStr">
        <is>
          <t>官網</t>
        </is>
      </c>
      <c r="T104" s="2" t="inlineStr">
        <is>
          <t>high</t>
        </is>
      </c>
      <c r="U104" s="2" t="inlineStr">
        <is>
          <t>整理、收納浴室小物</t>
        </is>
      </c>
      <c r="V104" s="2" t="inlineStr">
        <is>
          <t>SET:8511598|119|2|2;耐重為每個；可用於一般結構系統浴室／組合式浴室牆面；不可用於磁磚、玻璃、木材等（未使用鋼板）牆面</t>
        </is>
      </c>
    </row>
    <row r="105">
      <c r="A105" s="2" t="inlineStr">
        <is>
          <t>NITORI-A066</t>
        </is>
      </c>
      <c r="B105" s="2" t="inlineStr">
        <is>
          <t>NITORI</t>
        </is>
      </c>
      <c r="C105" s="2" t="inlineStr">
        <is>
          <t>掛勾</t>
        </is>
      </c>
      <c r="D105" s="2" t="inlineStr">
        <is>
          <t>磁吸式5連掛勾 AL02</t>
        </is>
      </c>
      <c r="E105" s="2" t="inlineStr">
        <is>
          <t>8511599/5850629</t>
        </is>
      </c>
      <c r="F105" s="2" t="n"/>
      <c r="G105" s="2" t="n"/>
      <c r="H105" s="2" t="n">
        <v>32</v>
      </c>
      <c r="I105" s="2" t="n">
        <v>3.6</v>
      </c>
      <c r="J105" s="2" t="n">
        <v>6</v>
      </c>
      <c r="K105" s="2" t="n"/>
      <c r="L105" s="2" t="n">
        <v>1.5</v>
      </c>
      <c r="M105" s="2" t="inlineStr">
        <is>
          <t>磁吸</t>
        </is>
      </c>
      <c r="N105" s="2" t="inlineStr">
        <is>
          <t>不鏽鋼、ABS樹脂、橡膠磁鐵、聚氨酯</t>
        </is>
      </c>
      <c r="O105" s="2" t="inlineStr">
        <is>
          <t>純白色/摩卡色</t>
        </is>
      </c>
      <c r="P105" s="2" t="n">
        <v>249</v>
      </c>
      <c r="Q105" s="2" t="inlineStr">
        <is>
          <t>2026-10-26</t>
        </is>
      </c>
      <c r="R105" s="3" t="inlineStr">
        <is>
          <t>https://www.nitori-net.tw/product/8511599</t>
        </is>
      </c>
      <c r="S105" s="2" t="inlineStr">
        <is>
          <t>官網</t>
        </is>
      </c>
      <c r="T105" s="2" t="inlineStr">
        <is>
          <t>high</t>
        </is>
      </c>
      <c r="U105" s="2" t="inlineStr"/>
      <c r="V105" s="2" t="inlineStr">
        <is>
          <t>整體耐重1.5kg、每個掛勾0.3kg；摩卡色為DECO HOME商品</t>
        </is>
      </c>
    </row>
    <row r="106">
      <c r="A106" s="2" t="inlineStr">
        <is>
          <t>NITORI-A067</t>
        </is>
      </c>
      <c r="B106" s="2" t="inlineStr">
        <is>
          <t>NITORI</t>
        </is>
      </c>
      <c r="C106" s="2" t="inlineStr">
        <is>
          <t>掛勾</t>
        </is>
      </c>
      <c r="D106" s="2" t="inlineStr">
        <is>
          <t>隨意掛毛巾掛勾</t>
        </is>
      </c>
      <c r="E106" s="2" t="inlineStr">
        <is>
          <t>8511687</t>
        </is>
      </c>
      <c r="F106" s="2" t="n"/>
      <c r="G106" s="2" t="n"/>
      <c r="H106" s="2" t="n">
        <v>4.8</v>
      </c>
      <c r="I106" s="2" t="n">
        <v>5.2</v>
      </c>
      <c r="J106" s="2" t="n">
        <v>10.8</v>
      </c>
      <c r="K106" s="2" t="n"/>
      <c r="L106" s="2" t="n"/>
      <c r="M106" s="2" t="inlineStr"/>
      <c r="N106" s="2" t="inlineStr">
        <is>
          <t>ABS樹脂/彈性體</t>
        </is>
      </c>
      <c r="O106" s="2" t="inlineStr">
        <is>
          <t>純白色</t>
        </is>
      </c>
      <c r="P106" s="2" t="n">
        <v>99</v>
      </c>
      <c r="Q106" s="2" t="inlineStr">
        <is>
          <t>2026-10-26</t>
        </is>
      </c>
      <c r="R106" s="3" t="inlineStr">
        <is>
          <t>https://www.nitori-net.tw/product/8511687</t>
        </is>
      </c>
      <c r="S106" s="2" t="inlineStr">
        <is>
          <t>官網</t>
        </is>
      </c>
      <c r="T106" s="2" t="inlineStr">
        <is>
          <t>high</t>
        </is>
      </c>
      <c r="U106" s="2" t="inlineStr"/>
      <c r="V106" s="2" t="inlineStr">
        <is>
          <t>按壓式固定毛巾；安裝方式與耐重官網未說明</t>
        </is>
      </c>
    </row>
    <row r="107">
      <c r="A107" s="2" t="inlineStr">
        <is>
          <t>NITORI-A068</t>
        </is>
      </c>
      <c r="B107" s="2" t="inlineStr">
        <is>
          <t>NITORI</t>
        </is>
      </c>
      <c r="C107" s="2" t="inlineStr">
        <is>
          <t>掛勾</t>
        </is>
      </c>
      <c r="D107" s="2" t="inlineStr">
        <is>
          <t>【DECO HOME商品】隨處可掛抹布掛勾</t>
        </is>
      </c>
      <c r="E107" s="2" t="inlineStr">
        <is>
          <t>5898499</t>
        </is>
      </c>
      <c r="F107" s="2" t="n"/>
      <c r="G107" s="2" t="n"/>
      <c r="H107" s="2" t="n">
        <v>4.8</v>
      </c>
      <c r="I107" s="2" t="n">
        <v>5.2</v>
      </c>
      <c r="J107" s="2" t="n">
        <v>10.8</v>
      </c>
      <c r="K107" s="2" t="n"/>
      <c r="L107" s="2" t="n"/>
      <c r="M107" s="2" t="inlineStr"/>
      <c r="N107" s="2" t="inlineStr">
        <is>
          <t>ABS樹脂、彈性體</t>
        </is>
      </c>
      <c r="O107" s="2" t="inlineStr">
        <is>
          <t>摩卡色</t>
        </is>
      </c>
      <c r="P107" s="2" t="n">
        <v>79</v>
      </c>
      <c r="Q107" s="2" t="inlineStr">
        <is>
          <t>2026-10-26</t>
        </is>
      </c>
      <c r="R107" s="3" t="inlineStr">
        <is>
          <t>https://www.nitori-net.tw/product/5898499</t>
        </is>
      </c>
      <c r="S107" s="2" t="inlineStr">
        <is>
          <t>官網</t>
        </is>
      </c>
      <c r="T107" s="2" t="inlineStr">
        <is>
          <t>high</t>
        </is>
      </c>
      <c r="U107" s="2" t="inlineStr"/>
      <c r="V107" s="2" t="inlineStr">
        <is>
          <t>安裝方式與耐重官網未說明</t>
        </is>
      </c>
    </row>
    <row r="108">
      <c r="A108" s="2" t="inlineStr">
        <is>
          <t>NITORI-A069</t>
        </is>
      </c>
      <c r="B108" s="2" t="inlineStr">
        <is>
          <t>NITORI</t>
        </is>
      </c>
      <c r="C108" s="2" t="inlineStr">
        <is>
          <t>掛勾</t>
        </is>
      </c>
      <c r="D108" s="2" t="inlineStr">
        <is>
          <t>Npolder專用配件 掛鉤4P NP1</t>
        </is>
      </c>
      <c r="E108" s="2" t="inlineStr">
        <is>
          <t>8791591/8791597</t>
        </is>
      </c>
      <c r="F108" s="2" t="n"/>
      <c r="G108" s="2" t="n"/>
      <c r="H108" s="2" t="n">
        <v>1.5</v>
      </c>
      <c r="I108" s="2" t="n">
        <v>4</v>
      </c>
      <c r="J108" s="2" t="n">
        <v>6</v>
      </c>
      <c r="K108" s="2" t="n"/>
      <c r="L108" s="2" t="n">
        <v>1</v>
      </c>
      <c r="M108" s="2" t="inlineStr">
        <is>
          <t>掛勾</t>
        </is>
      </c>
      <c r="N108" s="2" t="inlineStr">
        <is>
          <t>鋼</t>
        </is>
      </c>
      <c r="O108" s="2" t="inlineStr">
        <is>
          <t>黑色/白色(木色)</t>
        </is>
      </c>
      <c r="P108" s="2" t="n"/>
      <c r="Q108" s="2" t="inlineStr">
        <is>
          <t>2026-10-26</t>
        </is>
      </c>
      <c r="R108" s="3" t="inlineStr">
        <is>
          <t>https://www.nitori-net.tw/product/8791591</t>
        </is>
      </c>
      <c r="S108" s="2" t="inlineStr">
        <is>
          <t>官網</t>
        </is>
      </c>
      <c r="T108" s="2" t="inlineStr">
        <is>
          <t>high</t>
        </is>
      </c>
      <c r="U108" s="2" t="inlineStr">
        <is>
          <t>Npolder專用配件</t>
        </is>
      </c>
      <c r="V108" s="2" t="inlineStr">
        <is>
          <t>SET:8791591|49|4|4;耐重未說明為每件或整組</t>
        </is>
      </c>
    </row>
    <row r="109">
      <c r="A109" s="2" t="inlineStr">
        <is>
          <t>NITORI-A070</t>
        </is>
      </c>
      <c r="B109" s="2" t="inlineStr">
        <is>
          <t>NITORI</t>
        </is>
      </c>
      <c r="C109" s="2" t="inlineStr">
        <is>
          <t>吊掛收納</t>
        </is>
      </c>
      <c r="D109" s="2" t="inlineStr">
        <is>
          <t>收納吊籃 DL1 W39</t>
        </is>
      </c>
      <c r="E109" s="2" t="inlineStr">
        <is>
          <t>8791357/8791358</t>
        </is>
      </c>
      <c r="F109" s="2" t="n"/>
      <c r="G109" s="2" t="n"/>
      <c r="H109" s="2" t="n">
        <v>39</v>
      </c>
      <c r="I109" s="2" t="n">
        <v>28</v>
      </c>
      <c r="J109" s="2" t="n">
        <v>14</v>
      </c>
      <c r="K109" s="2" t="n"/>
      <c r="L109" s="2" t="n">
        <v>2</v>
      </c>
      <c r="M109" s="2" t="inlineStr">
        <is>
          <t>嵌入層板</t>
        </is>
      </c>
      <c r="N109" s="2" t="inlineStr">
        <is>
          <t>鋼</t>
        </is>
      </c>
      <c r="O109" s="2" t="inlineStr">
        <is>
          <t>黑色/白色(木色)</t>
        </is>
      </c>
      <c r="P109" s="2" t="n">
        <v>199</v>
      </c>
      <c r="Q109" s="2" t="inlineStr">
        <is>
          <t>2026-10-26</t>
        </is>
      </c>
      <c r="R109" s="3" t="inlineStr">
        <is>
          <t>https://www.nitori-net.tw/product/8791357</t>
        </is>
      </c>
      <c r="S109" s="2" t="inlineStr">
        <is>
          <t>官網</t>
        </is>
      </c>
      <c r="T109" s="2" t="inlineStr">
        <is>
          <t>high</t>
        </is>
      </c>
      <c r="U109" s="2" t="inlineStr">
        <is>
          <t>鋼架、彩色櫃、層架等層板</t>
        </is>
      </c>
      <c r="V109" s="2" t="inlineStr">
        <is>
          <t>內部尺寸寬36.5×深26×高9.5；黑色頁標示附S型掛勾1個</t>
        </is>
      </c>
    </row>
    <row r="110">
      <c r="A110" s="2" t="inlineStr">
        <is>
          <t>NITORI-A071</t>
        </is>
      </c>
      <c r="B110" s="2" t="inlineStr">
        <is>
          <t>NITORI</t>
        </is>
      </c>
      <c r="C110" s="2" t="inlineStr">
        <is>
          <t>吊掛收納</t>
        </is>
      </c>
      <c r="D110" s="2" t="inlineStr">
        <is>
          <t>【DECO HOME商品】層板吊掛式置物籃 M YI51</t>
        </is>
      </c>
      <c r="E110" s="2" t="inlineStr">
        <is>
          <t>5898481</t>
        </is>
      </c>
      <c r="F110" s="2" t="n"/>
      <c r="G110" s="2" t="n"/>
      <c r="H110" s="2" t="n">
        <v>35.5</v>
      </c>
      <c r="I110" s="2" t="n">
        <v>25.5</v>
      </c>
      <c r="J110" s="2" t="n">
        <v>13</v>
      </c>
      <c r="K110" s="2" t="n"/>
      <c r="L110" s="2" t="n">
        <v>2.5</v>
      </c>
      <c r="M110" s="2" t="inlineStr">
        <is>
          <t>層板吊掛</t>
        </is>
      </c>
      <c r="N110" s="2" t="inlineStr">
        <is>
          <t>鋼</t>
        </is>
      </c>
      <c r="O110" s="2" t="inlineStr">
        <is>
          <t>摩卡色</t>
        </is>
      </c>
      <c r="P110" s="2" t="n">
        <v>199</v>
      </c>
      <c r="Q110" s="2" t="inlineStr">
        <is>
          <t>2026-10-26</t>
        </is>
      </c>
      <c r="R110" s="3" t="inlineStr">
        <is>
          <t>https://www.nitori-net.tw/product/5898481</t>
        </is>
      </c>
      <c r="S110" s="2" t="inlineStr">
        <is>
          <t>官網</t>
        </is>
      </c>
      <c r="T110" s="2" t="inlineStr">
        <is>
          <t>high</t>
        </is>
      </c>
      <c r="U110" s="2" t="inlineStr">
        <is>
          <t>厚度約1.5~3cm的層板</t>
        </is>
      </c>
      <c r="V110" s="2" t="inlineStr">
        <is>
          <t>免施工</t>
        </is>
      </c>
    </row>
    <row r="111">
      <c r="A111" s="2" t="inlineStr">
        <is>
          <t>NITORI-A072</t>
        </is>
      </c>
      <c r="B111" s="2" t="inlineStr">
        <is>
          <t>NITORI</t>
        </is>
      </c>
      <c r="C111" s="2" t="inlineStr">
        <is>
          <t>吊掛收納</t>
        </is>
      </c>
      <c r="D111" s="2" t="inlineStr">
        <is>
          <t>吊掛式收納籃 FLAT</t>
        </is>
      </c>
      <c r="E111" s="2" t="inlineStr">
        <is>
          <t>2111200000207</t>
        </is>
      </c>
      <c r="F111" s="2" t="n"/>
      <c r="G111" s="2" t="n"/>
      <c r="H111" s="2" t="n">
        <v>17.3</v>
      </c>
      <c r="I111" s="2" t="n">
        <v>26</v>
      </c>
      <c r="J111" s="2" t="n">
        <v>13</v>
      </c>
      <c r="K111" s="2" t="n"/>
      <c r="L111" s="2" t="n">
        <v>2</v>
      </c>
      <c r="M111" s="2" t="inlineStr">
        <is>
          <t>層板吊掛</t>
        </is>
      </c>
      <c r="N111" s="2" t="inlineStr">
        <is>
          <t>鋼、聚氯乙烯</t>
        </is>
      </c>
      <c r="O111" s="2" t="inlineStr">
        <is>
          <t>純白色</t>
        </is>
      </c>
      <c r="P111" s="2" t="n">
        <v>149</v>
      </c>
      <c r="Q111" s="2" t="inlineStr">
        <is>
          <t>2026-10-26</t>
        </is>
      </c>
      <c r="R111" s="3" t="inlineStr">
        <is>
          <t>https://www.nitori-net.tw/product/2111200000207</t>
        </is>
      </c>
      <c r="S111" s="2" t="inlineStr">
        <is>
          <t>官網</t>
        </is>
      </c>
      <c r="T111" s="2" t="inlineStr">
        <is>
          <t>high</t>
        </is>
      </c>
      <c r="U111" s="2" t="inlineStr">
        <is>
          <t>開門櫃下方（層板厚15~25mm、櫃門與層板間隙3mm以上）</t>
        </is>
      </c>
      <c r="V111" s="2" t="inlineStr"/>
    </row>
    <row r="112">
      <c r="A112" s="2" t="inlineStr">
        <is>
          <t>NITORI-A073</t>
        </is>
      </c>
      <c r="B112" s="2" t="inlineStr">
        <is>
          <t>NITORI</t>
        </is>
      </c>
      <c r="C112" s="2" t="inlineStr">
        <is>
          <t>吊掛收納</t>
        </is>
      </c>
      <c r="D112" s="2" t="inlineStr">
        <is>
          <t>吊掛式附掛鈎收納籃 FLAT</t>
        </is>
      </c>
      <c r="E112" s="2" t="inlineStr">
        <is>
          <t>2111200000214</t>
        </is>
      </c>
      <c r="F112" s="2" t="n"/>
      <c r="G112" s="2" t="n"/>
      <c r="H112" s="2" t="n">
        <v>34.5</v>
      </c>
      <c r="I112" s="2" t="n">
        <v>26.2</v>
      </c>
      <c r="J112" s="2" t="n">
        <v>19.1</v>
      </c>
      <c r="K112" s="2" t="n"/>
      <c r="L112" s="2" t="n">
        <v>3</v>
      </c>
      <c r="M112" s="2" t="inlineStr">
        <is>
          <t>層板吊掛</t>
        </is>
      </c>
      <c r="N112" s="2" t="inlineStr">
        <is>
          <t>鋼、聚氯乙烯</t>
        </is>
      </c>
      <c r="O112" s="2" t="inlineStr">
        <is>
          <t>純白色</t>
        </is>
      </c>
      <c r="P112" s="2" t="n">
        <v>249</v>
      </c>
      <c r="Q112" s="2" t="inlineStr">
        <is>
          <t>2026-10-26</t>
        </is>
      </c>
      <c r="R112" s="3" t="inlineStr">
        <is>
          <t>https://www.nitori-net.tw/product/2111200000214</t>
        </is>
      </c>
      <c r="S112" s="2" t="inlineStr">
        <is>
          <t>官網</t>
        </is>
      </c>
      <c r="T112" s="2" t="inlineStr">
        <is>
          <t>high</t>
        </is>
      </c>
      <c r="U112" s="2" t="inlineStr">
        <is>
          <t>開門櫃下方（層板厚15~25mm、櫃門與層板間隙3mm以上）</t>
        </is>
      </c>
      <c r="V112" s="2" t="inlineStr">
        <is>
          <t>耐重3kg（每個掛勾1kg）</t>
        </is>
      </c>
    </row>
    <row r="113">
      <c r="A113" s="2" t="inlineStr">
        <is>
          <t>NITORI-A074</t>
        </is>
      </c>
      <c r="B113" s="2" t="inlineStr">
        <is>
          <t>NITORI</t>
        </is>
      </c>
      <c r="C113" s="2" t="inlineStr">
        <is>
          <t>吊掛收納</t>
        </is>
      </c>
      <c r="D113" s="2" t="inlineStr">
        <is>
          <t>吊掛式置物架 FLAT</t>
        </is>
      </c>
      <c r="E113" s="2" t="inlineStr">
        <is>
          <t>8987796</t>
        </is>
      </c>
      <c r="F113" s="2" t="n"/>
      <c r="G113" s="2" t="n"/>
      <c r="H113" s="2" t="n">
        <v>34.5</v>
      </c>
      <c r="I113" s="2" t="n">
        <v>26</v>
      </c>
      <c r="J113" s="2" t="n">
        <v>13</v>
      </c>
      <c r="K113" s="2" t="n"/>
      <c r="L113" s="2" t="n">
        <v>20</v>
      </c>
      <c r="M113" s="2" t="inlineStr">
        <is>
          <t>層板吊掛</t>
        </is>
      </c>
      <c r="N113" s="2" t="inlineStr">
        <is>
          <t>鋼</t>
        </is>
      </c>
      <c r="O113" s="2" t="inlineStr">
        <is>
          <t>白色</t>
        </is>
      </c>
      <c r="P113" s="2" t="n">
        <v>219</v>
      </c>
      <c r="Q113" s="2" t="inlineStr">
        <is>
          <t>2026-10-26</t>
        </is>
      </c>
      <c r="R113" s="3" t="inlineStr">
        <is>
          <t>https://www.nitori-net.tw/product/8987796</t>
        </is>
      </c>
      <c r="S113" s="2" t="inlineStr">
        <is>
          <t>官網</t>
        </is>
      </c>
      <c r="T113" s="2" t="inlineStr">
        <is>
          <t>medium</t>
        </is>
      </c>
      <c r="U113" s="2" t="inlineStr">
        <is>
          <t>層板厚度15~25mm以下</t>
        </is>
      </c>
      <c r="V113" s="2" t="inlineStr">
        <is>
          <t>無需工具；官網原文為「建議承受重量不要大於20kg」，數值偏高請留意；價格：查詢日售價219（原價249）</t>
        </is>
      </c>
    </row>
    <row r="114">
      <c r="A114" s="2" t="inlineStr">
        <is>
          <t>NITORI-A075</t>
        </is>
      </c>
      <c r="B114" s="2" t="inlineStr">
        <is>
          <t>NITORI</t>
        </is>
      </c>
      <c r="C114" s="2" t="inlineStr">
        <is>
          <t>吊掛收納</t>
        </is>
      </c>
      <c r="D114" s="2" t="inlineStr">
        <is>
          <t>Npolder專用配件 網籃250 NP1</t>
        </is>
      </c>
      <c r="E114" s="2" t="inlineStr">
        <is>
          <t>8791592/8791598</t>
        </is>
      </c>
      <c r="F114" s="2" t="n"/>
      <c r="G114" s="2" t="n"/>
      <c r="H114" s="2" t="n">
        <v>25</v>
      </c>
      <c r="I114" s="2" t="n">
        <v>10.5</v>
      </c>
      <c r="J114" s="2" t="n">
        <v>12.7</v>
      </c>
      <c r="K114" s="2" t="n"/>
      <c r="L114" s="2" t="n">
        <v>2</v>
      </c>
      <c r="M114" s="2" t="inlineStr">
        <is>
          <t>掛勾</t>
        </is>
      </c>
      <c r="N114" s="2" t="inlineStr">
        <is>
          <t>鋼</t>
        </is>
      </c>
      <c r="O114" s="2" t="inlineStr">
        <is>
          <t>黑色/白色(木色)</t>
        </is>
      </c>
      <c r="P114" s="2" t="n">
        <v>149</v>
      </c>
      <c r="Q114" s="2" t="inlineStr">
        <is>
          <t>2026-10-26</t>
        </is>
      </c>
      <c r="R114" s="3" t="inlineStr">
        <is>
          <t>https://www.nitori-net.tw/product/8791592</t>
        </is>
      </c>
      <c r="S114" s="2" t="inlineStr">
        <is>
          <t>官網</t>
        </is>
      </c>
      <c r="T114" s="2" t="inlineStr">
        <is>
          <t>high</t>
        </is>
      </c>
      <c r="U114" s="2" t="inlineStr">
        <is>
          <t>Npolder專用配件</t>
        </is>
      </c>
      <c r="V114" s="2" t="inlineStr"/>
    </row>
    <row r="115">
      <c r="A115" s="2" t="inlineStr">
        <is>
          <t>IKEA-A001</t>
        </is>
      </c>
      <c r="B115" s="2" t="inlineStr">
        <is>
          <t>IKEA</t>
        </is>
      </c>
      <c r="C115" s="2" t="inlineStr">
        <is>
          <t>伸縮棒</t>
        </is>
      </c>
      <c r="D115" s="2" t="inlineStr">
        <is>
          <t>HJÄLPA 可調式吊衣桿 60-100 公分</t>
        </is>
      </c>
      <c r="E115" s="2" t="inlineStr">
        <is>
          <t>204.978.29</t>
        </is>
      </c>
      <c r="F115" s="2" t="n">
        <v>60</v>
      </c>
      <c r="G115" s="2" t="n">
        <v>100</v>
      </c>
      <c r="H115" s="2" t="n"/>
      <c r="I115" s="2" t="n"/>
      <c r="J115" s="2" t="n"/>
      <c r="K115" s="2" t="n"/>
      <c r="L115" s="2" t="n"/>
      <c r="M115" s="2" t="inlineStr">
        <is>
          <t>掛於HJÄLPA壁面懸掛軌道</t>
        </is>
      </c>
      <c r="N115" s="2" t="inlineStr">
        <is>
          <t>管:鋼質, 環氧/聚酯粉末塗料；連接條:聚丙烯塑膠；防滑配件:合成橡膠</t>
        </is>
      </c>
      <c r="O115" s="2" t="inlineStr">
        <is>
          <t>白色</t>
        </is>
      </c>
      <c r="P115" s="2" t="n">
        <v>150</v>
      </c>
      <c r="Q115" s="2" t="inlineStr">
        <is>
          <t>2026-10-26</t>
        </is>
      </c>
      <c r="R115" s="3" t="inlineStr">
        <is>
          <t>https://www.ikea.com.tw/zh/products/wardrobes/interior-organisers/hjalpa-art-20497829</t>
        </is>
      </c>
      <c r="S115" s="2" t="inlineStr">
        <is>
          <t>官網</t>
        </is>
      </c>
      <c r="T115" s="2" t="inlineStr">
        <is>
          <t>high</t>
        </is>
      </c>
      <c r="U115" s="2" t="inlineStr"/>
      <c r="V115" s="2" t="inlineStr">
        <is>
          <t>官網：需搭配HJÄLPA壁面懸掛軌道(另外發售)；適用於PLATSA收納系列</t>
        </is>
      </c>
    </row>
    <row r="116">
      <c r="A116" s="2" t="inlineStr">
        <is>
          <t>IKEA-A002</t>
        </is>
      </c>
      <c r="B116" s="2" t="inlineStr">
        <is>
          <t>IKEA</t>
        </is>
      </c>
      <c r="C116" s="2" t="inlineStr">
        <is>
          <t>伸縮棒</t>
        </is>
      </c>
      <c r="D116" s="2" t="inlineStr">
        <is>
          <t>TISKEN 毛巾架附吸盤</t>
        </is>
      </c>
      <c r="E116" s="2" t="inlineStr">
        <is>
          <t>203.812.87</t>
        </is>
      </c>
      <c r="F116" s="2" t="n">
        <v>53</v>
      </c>
      <c r="G116" s="2" t="n">
        <v>83</v>
      </c>
      <c r="H116" s="2" t="n">
        <v>87</v>
      </c>
      <c r="I116" s="2" t="n">
        <v>8</v>
      </c>
      <c r="J116" s="2" t="n">
        <v>10</v>
      </c>
      <c r="K116" s="2" t="n"/>
      <c r="L116" s="2" t="n">
        <v>3</v>
      </c>
      <c r="M116" s="2" t="inlineStr">
        <is>
          <t>吸盤</t>
        </is>
      </c>
      <c r="N116" s="2" t="inlineStr">
        <is>
          <t>框架/ 盤子:聚碳酸酯塑膠；吸盤:熱塑性彈性體；罩蓋/ 主體:ABS塑膠；托架/ 連接條:再生ABS塑膠；條板:鋁質, 聚酯粉末塗料</t>
        </is>
      </c>
      <c r="O116" s="2" t="inlineStr">
        <is>
          <t>白色</t>
        </is>
      </c>
      <c r="P116" s="2" t="n">
        <v>249</v>
      </c>
      <c r="Q116" s="2" t="inlineStr">
        <is>
          <t>2026-10-26</t>
        </is>
      </c>
      <c r="R116" s="3" t="inlineStr">
        <is>
          <t>https://www.ikea.com.tw/zh/products/bathroom-accessories/bathroom-towel-solutions/tisken-art-20381287</t>
        </is>
      </c>
      <c r="S116" s="2" t="inlineStr">
        <is>
          <t>官網</t>
        </is>
      </c>
      <c r="T116" s="2" t="inlineStr">
        <is>
          <t>high</t>
        </is>
      </c>
      <c r="U116" s="2" t="inlineStr"/>
      <c r="V116" s="2" t="inlineStr">
        <is>
          <t>官網尺寸區另列「寬度 87 公分」，與最小/最寬寬度 53/83 並存，未說明差異；僅能固定在玻璃、鏡子和磁磚等平坦表面</t>
        </is>
      </c>
    </row>
    <row r="117">
      <c r="A117" s="2" t="inlineStr">
        <is>
          <t>IKEA-A003</t>
        </is>
      </c>
      <c r="B117" s="2" t="inlineStr">
        <is>
          <t>IKEA</t>
        </is>
      </c>
      <c r="C117" s="2" t="inlineStr">
        <is>
          <t>伸縮棒</t>
        </is>
      </c>
      <c r="D117" s="2" t="inlineStr">
        <is>
          <t>SUNNERSTA 可調式掛鉤架</t>
        </is>
      </c>
      <c r="E117" s="2" t="inlineStr">
        <is>
          <t>604.409.54</t>
        </is>
      </c>
      <c r="F117" s="2" t="n">
        <v>55</v>
      </c>
      <c r="G117" s="2" t="n">
        <v>85</v>
      </c>
      <c r="H117" s="2" t="n">
        <v>45.7</v>
      </c>
      <c r="I117" s="2" t="n"/>
      <c r="J117" s="2" t="n"/>
      <c r="K117" s="2" t="n"/>
      <c r="L117" s="2" t="n">
        <v>4</v>
      </c>
      <c r="M117" s="2" t="inlineStr">
        <is>
          <t>免鑽孔</t>
        </is>
      </c>
      <c r="N117" s="2" t="inlineStr">
        <is>
          <t>架子/ 嵌入螺帽/ 螺帽:鋼質, 粉末塗層；軸襯/ 尾蓋:聚丙烯塑膠</t>
        </is>
      </c>
      <c r="O117" s="2" t="inlineStr"/>
      <c r="P117" s="2" t="n">
        <v>349</v>
      </c>
      <c r="Q117" s="2" t="inlineStr">
        <is>
          <t>2026-10-26</t>
        </is>
      </c>
      <c r="R117" s="3" t="inlineStr">
        <is>
          <t>https://www.ikea.com.tw/zh/products/wall-organisers/boards-and-wall-organisers/sunnersta-art-60440954</t>
        </is>
      </c>
      <c r="S117" s="2" t="inlineStr">
        <is>
          <t>官網</t>
        </is>
      </c>
      <c r="T117" s="2" t="inlineStr">
        <is>
          <t>high</t>
        </is>
      </c>
      <c r="U117" s="2" t="inlineStr">
        <is>
          <t>適用於濕度高的地方</t>
        </is>
      </c>
      <c r="V117" s="2" t="inlineStr">
        <is>
          <t>高度可調 55–85 公分（length_min/max 填高度範圍）；官網寫「安裝簡易，不須鑽孔」，未說明固定方式；每個掛鉤最高可承重4公斤；耐重為每個掛鉤</t>
        </is>
      </c>
    </row>
    <row r="118">
      <c r="A118" s="2" t="inlineStr">
        <is>
          <t>IKEA-A004</t>
        </is>
      </c>
      <c r="B118" s="2" t="inlineStr">
        <is>
          <t>IKEA</t>
        </is>
      </c>
      <c r="C118" s="2" t="inlineStr">
        <is>
          <t>鐵網</t>
        </is>
      </c>
      <c r="D118" s="2" t="inlineStr">
        <is>
          <t>KUNGSFORS 壁掛式格架</t>
        </is>
      </c>
      <c r="E118" s="2" t="inlineStr">
        <is>
          <t>503.349.30</t>
        </is>
      </c>
      <c r="F118" s="2" t="n"/>
      <c r="G118" s="2" t="n"/>
      <c r="H118" s="2" t="n">
        <v>56</v>
      </c>
      <c r="I118" s="2" t="n"/>
      <c r="J118" s="2" t="n">
        <v>26.5</v>
      </c>
      <c r="K118" s="2" t="n"/>
      <c r="L118" s="2" t="n"/>
      <c r="M118" s="2" t="inlineStr">
        <is>
          <t>螺絲</t>
        </is>
      </c>
      <c r="N118" s="2" t="inlineStr">
        <is>
          <t>不鏽鋼</t>
        </is>
      </c>
      <c r="O118" s="2" t="inlineStr">
        <is>
          <t>不鏽鋼</t>
        </is>
      </c>
      <c r="P118" s="2" t="n">
        <v>599</v>
      </c>
      <c r="Q118" s="2" t="inlineStr">
        <is>
          <t>2026-10-26</t>
        </is>
      </c>
      <c r="R118" s="3" t="inlineStr">
        <is>
          <t>https://www.ikea.com.tw/zh/products/wall-organisers/boards-and-wall-organisers/kungsfors-art-50334930</t>
        </is>
      </c>
      <c r="S118" s="2" t="inlineStr">
        <is>
          <t>官網</t>
        </is>
      </c>
      <c r="T118" s="2" t="inlineStr">
        <is>
          <t>high</t>
        </is>
      </c>
      <c r="U118" s="2" t="inlineStr"/>
      <c r="V118" s="2" t="inlineStr">
        <is>
          <t>可直接固定在牆上或搭配KUNGSFORS懸掛桿；不鏽鋼格架</t>
        </is>
      </c>
    </row>
    <row r="119">
      <c r="A119" s="2" t="inlineStr">
        <is>
          <t>IKEA-A005</t>
        </is>
      </c>
      <c r="B119" s="2" t="inlineStr">
        <is>
          <t>IKEA</t>
        </is>
      </c>
      <c r="C119" s="2" t="inlineStr">
        <is>
          <t>鐵網</t>
        </is>
      </c>
      <c r="D119" s="2" t="inlineStr">
        <is>
          <t>SKÅDIS 收納壁板 36x56 公分</t>
        </is>
      </c>
      <c r="E119" s="2" t="inlineStr">
        <is>
          <t>803.208.04</t>
        </is>
      </c>
      <c r="F119" s="2" t="n"/>
      <c r="G119" s="2" t="n"/>
      <c r="H119" s="2" t="n">
        <v>36</v>
      </c>
      <c r="I119" s="2" t="n"/>
      <c r="J119" s="2" t="n">
        <v>56</v>
      </c>
      <c r="K119" s="2" t="n"/>
      <c r="L119" s="2" t="n"/>
      <c r="M119" s="2" t="inlineStr">
        <is>
          <t>螺絲</t>
        </is>
      </c>
      <c r="N119" s="2" t="inlineStr">
        <is>
          <t>纖維板, 壓克力漆</t>
        </is>
      </c>
      <c r="O119" s="2" t="inlineStr">
        <is>
          <t>白色/黑色</t>
        </is>
      </c>
      <c r="P119" s="2" t="n">
        <v>399</v>
      </c>
      <c r="Q119" s="2" t="inlineStr">
        <is>
          <t>2026-10-26</t>
        </is>
      </c>
      <c r="R119" s="3" t="inlineStr">
        <is>
          <t>https://www.ikea.com.tw/zh/products/wall-organisers/boards-and-wall-organisers/skadis-art-80320804</t>
        </is>
      </c>
      <c r="S119" s="2" t="inlineStr">
        <is>
          <t>官網</t>
        </is>
      </c>
      <c r="T119" s="2" t="inlineStr">
        <is>
          <t>high</t>
        </is>
      </c>
      <c r="U119" s="2" t="inlineStr">
        <is>
          <t>亦適合浴室使用</t>
        </is>
      </c>
      <c r="V119" s="2" t="inlineStr">
        <is>
          <t>SKÅDIS 洞洞板（非金屬網片，歸入最接近類別）；附牆面安裝桿，上牆螺絲另售；各色商品編號：白色=803.208.04、黑色=605.343.73</t>
        </is>
      </c>
    </row>
    <row r="120">
      <c r="A120" s="2" t="inlineStr">
        <is>
          <t>IKEA-A006</t>
        </is>
      </c>
      <c r="B120" s="2" t="inlineStr">
        <is>
          <t>IKEA</t>
        </is>
      </c>
      <c r="C120" s="2" t="inlineStr">
        <is>
          <t>鐵網</t>
        </is>
      </c>
      <c r="D120" s="2" t="inlineStr">
        <is>
          <t>SKÅDIS 收納壁板 36x56 公分</t>
        </is>
      </c>
      <c r="E120" s="2" t="inlineStr">
        <is>
          <t>003.471.76</t>
        </is>
      </c>
      <c r="F120" s="2" t="n"/>
      <c r="G120" s="2" t="n"/>
      <c r="H120" s="2" t="n">
        <v>36</v>
      </c>
      <c r="I120" s="2" t="n"/>
      <c r="J120" s="2" t="n">
        <v>56</v>
      </c>
      <c r="K120" s="2" t="n"/>
      <c r="L120" s="2" t="n"/>
      <c r="M120" s="2" t="inlineStr">
        <is>
          <t>螺絲</t>
        </is>
      </c>
      <c r="N120" s="2" t="inlineStr">
        <is>
          <t>基本材質:纖維板, 壓克力亮光漆；金屬配件:鋼質, 粉末塗層</t>
        </is>
      </c>
      <c r="O120" s="2" t="inlineStr">
        <is>
          <t>木質</t>
        </is>
      </c>
      <c r="P120" s="2" t="n">
        <v>399</v>
      </c>
      <c r="Q120" s="2" t="inlineStr">
        <is>
          <t>2026-10-26</t>
        </is>
      </c>
      <c r="R120" s="3" t="inlineStr">
        <is>
          <t>https://www.ikea.com.tw/zh/products/wall-organisers/boards-and-wall-organisers/skadis-art-00347176</t>
        </is>
      </c>
      <c r="S120" s="2" t="inlineStr">
        <is>
          <t>官網</t>
        </is>
      </c>
      <c r="T120" s="2" t="inlineStr">
        <is>
          <t>high</t>
        </is>
      </c>
      <c r="U120" s="2" t="inlineStr">
        <is>
          <t>可單獨或拼合多塊使用，將細小和零散的物件整齊放置；亦適合浴室使用</t>
        </is>
      </c>
      <c r="V120" s="2" t="inlineStr">
        <is>
          <t>SKÅDIS 洞洞板（非金屬網片，歸入最接近類別）；附牆面安裝桿，上牆螺絲另售</t>
        </is>
      </c>
    </row>
    <row r="121">
      <c r="A121" s="2" t="inlineStr">
        <is>
          <t>IKEA-A007</t>
        </is>
      </c>
      <c r="B121" s="2" t="inlineStr">
        <is>
          <t>IKEA</t>
        </is>
      </c>
      <c r="C121" s="2" t="inlineStr">
        <is>
          <t>鐵網</t>
        </is>
      </c>
      <c r="D121" s="2" t="inlineStr">
        <is>
          <t>SKÅDIS 收納壁板 56x56 公分</t>
        </is>
      </c>
      <c r="E121" s="2" t="inlineStr">
        <is>
          <t>303.208.06</t>
        </is>
      </c>
      <c r="F121" s="2" t="n"/>
      <c r="G121" s="2" t="n"/>
      <c r="H121" s="2" t="n">
        <v>56</v>
      </c>
      <c r="I121" s="2" t="n"/>
      <c r="J121" s="2" t="n">
        <v>56</v>
      </c>
      <c r="K121" s="2" t="n"/>
      <c r="L121" s="2" t="n"/>
      <c r="M121" s="2" t="inlineStr">
        <is>
          <t>螺絲</t>
        </is>
      </c>
      <c r="N121" s="2" t="inlineStr">
        <is>
          <t>纖維板, 壓克力漆</t>
        </is>
      </c>
      <c r="O121" s="2" t="inlineStr">
        <is>
          <t>白色/黑色</t>
        </is>
      </c>
      <c r="P121" s="2" t="n">
        <v>499</v>
      </c>
      <c r="Q121" s="2" t="inlineStr">
        <is>
          <t>2026-10-26</t>
        </is>
      </c>
      <c r="R121" s="3" t="inlineStr">
        <is>
          <t>https://www.ikea.com.tw/zh/products/wall-organisers/boards-and-wall-organisers/skadis-art-30320806</t>
        </is>
      </c>
      <c r="S121" s="2" t="inlineStr">
        <is>
          <t>官網</t>
        </is>
      </c>
      <c r="T121" s="2" t="inlineStr">
        <is>
          <t>high</t>
        </is>
      </c>
      <c r="U121" s="2" t="inlineStr">
        <is>
          <t>可單獨或拼合多塊使用，將細小和零散的物件整齊放置；亦適合浴室使用</t>
        </is>
      </c>
      <c r="V121" s="2" t="inlineStr">
        <is>
          <t>SKÅDIS 洞洞板（非金屬網片，歸入最接近類別）；附牆面安裝桿，上牆螺絲另售；各色商品編號：白色=303.208.06、黑色=905.343.76</t>
        </is>
      </c>
    </row>
    <row r="122">
      <c r="A122" s="2" t="inlineStr">
        <is>
          <t>IKEA-A008</t>
        </is>
      </c>
      <c r="B122" s="2" t="inlineStr">
        <is>
          <t>IKEA</t>
        </is>
      </c>
      <c r="C122" s="2" t="inlineStr">
        <is>
          <t>鐵網</t>
        </is>
      </c>
      <c r="D122" s="2" t="inlineStr">
        <is>
          <t>SKÅDIS 收納壁板 56x56 公分</t>
        </is>
      </c>
      <c r="E122" s="2" t="inlineStr">
        <is>
          <t>803.471.77</t>
        </is>
      </c>
      <c r="F122" s="2" t="n"/>
      <c r="G122" s="2" t="n"/>
      <c r="H122" s="2" t="n">
        <v>56</v>
      </c>
      <c r="I122" s="2" t="n"/>
      <c r="J122" s="2" t="n">
        <v>56</v>
      </c>
      <c r="K122" s="2" t="n"/>
      <c r="L122" s="2" t="n"/>
      <c r="M122" s="2" t="inlineStr">
        <is>
          <t>螺絲</t>
        </is>
      </c>
      <c r="N122" s="2" t="inlineStr">
        <is>
          <t>基本材質:纖維板, 壓克力亮光漆；金屬配件:鋼質, 粉末塗層</t>
        </is>
      </c>
      <c r="O122" s="2" t="inlineStr">
        <is>
          <t>木質</t>
        </is>
      </c>
      <c r="P122" s="2" t="n">
        <v>499</v>
      </c>
      <c r="Q122" s="2" t="inlineStr">
        <is>
          <t>2026-10-26</t>
        </is>
      </c>
      <c r="R122" s="3" t="inlineStr">
        <is>
          <t>https://www.ikea.com.tw/zh/products/wall-organisers/boards-and-wall-organisers/skadis-art-80347177</t>
        </is>
      </c>
      <c r="S122" s="2" t="inlineStr">
        <is>
          <t>官網</t>
        </is>
      </c>
      <c r="T122" s="2" t="inlineStr">
        <is>
          <t>high</t>
        </is>
      </c>
      <c r="U122" s="2" t="inlineStr">
        <is>
          <t>可單獨或拼合多塊使用，將細小和零散的物件整齊放置；亦適合浴室使用</t>
        </is>
      </c>
      <c r="V122" s="2" t="inlineStr">
        <is>
          <t>SKÅDIS 洞洞板（非金屬網片，歸入最接近類別）；附牆面安裝桿，上牆螺絲另售</t>
        </is>
      </c>
    </row>
    <row r="123">
      <c r="A123" s="2" t="inlineStr">
        <is>
          <t>IKEA-A009</t>
        </is>
      </c>
      <c r="B123" s="2" t="inlineStr">
        <is>
          <t>IKEA</t>
        </is>
      </c>
      <c r="C123" s="2" t="inlineStr">
        <is>
          <t>鐵網</t>
        </is>
      </c>
      <c r="D123" s="2" t="inlineStr">
        <is>
          <t>SKÅDIS 收納壁板 76x56 公分</t>
        </is>
      </c>
      <c r="E123" s="2" t="inlineStr">
        <is>
          <t>903.216.19</t>
        </is>
      </c>
      <c r="F123" s="2" t="n"/>
      <c r="G123" s="2" t="n"/>
      <c r="H123" s="2" t="n">
        <v>76</v>
      </c>
      <c r="I123" s="2" t="n"/>
      <c r="J123" s="2" t="n">
        <v>56</v>
      </c>
      <c r="K123" s="2" t="n"/>
      <c r="L123" s="2" t="n"/>
      <c r="M123" s="2" t="inlineStr">
        <is>
          <t>螺絲</t>
        </is>
      </c>
      <c r="N123" s="2" t="inlineStr">
        <is>
          <t>基本材質:纖維板, 壓克力漆</t>
        </is>
      </c>
      <c r="O123" s="2" t="inlineStr">
        <is>
          <t>白色/黑色</t>
        </is>
      </c>
      <c r="P123" s="2" t="n">
        <v>599</v>
      </c>
      <c r="Q123" s="2" t="inlineStr">
        <is>
          <t>2026-10-26</t>
        </is>
      </c>
      <c r="R123" s="3" t="inlineStr">
        <is>
          <t>https://www.ikea.com.tw/zh/products/wall-organisers/boards-and-wall-organisers/skadis-art-90321619</t>
        </is>
      </c>
      <c r="S123" s="2" t="inlineStr">
        <is>
          <t>官網</t>
        </is>
      </c>
      <c r="T123" s="2" t="inlineStr">
        <is>
          <t>high</t>
        </is>
      </c>
      <c r="U123" s="2" t="inlineStr">
        <is>
          <t>亦適合浴室使用</t>
        </is>
      </c>
      <c r="V123" s="2" t="inlineStr">
        <is>
          <t>SKÅDIS 洞洞板（非金屬網片，歸入最接近類別）；附牆面安裝桿，上牆螺絲另售；各色商品編號：白色=903.216.19、黑色=305.343.79</t>
        </is>
      </c>
    </row>
    <row r="124">
      <c r="A124" s="2" t="inlineStr">
        <is>
          <t>IKEA-A010</t>
        </is>
      </c>
      <c r="B124" s="2" t="inlineStr">
        <is>
          <t>IKEA</t>
        </is>
      </c>
      <c r="C124" s="2" t="inlineStr">
        <is>
          <t>鐵網</t>
        </is>
      </c>
      <c r="D124" s="2" t="inlineStr">
        <is>
          <t>SKÅDIS 收納壁板 76x56 公分</t>
        </is>
      </c>
      <c r="E124" s="2" t="inlineStr">
        <is>
          <t>603.471.78</t>
        </is>
      </c>
      <c r="F124" s="2" t="n"/>
      <c r="G124" s="2" t="n"/>
      <c r="H124" s="2" t="n">
        <v>76</v>
      </c>
      <c r="I124" s="2" t="n"/>
      <c r="J124" s="2" t="n">
        <v>56</v>
      </c>
      <c r="K124" s="2" t="n"/>
      <c r="L124" s="2" t="n"/>
      <c r="M124" s="2" t="inlineStr">
        <is>
          <t>螺絲</t>
        </is>
      </c>
      <c r="N124" s="2" t="inlineStr">
        <is>
          <t>基本材質:纖維板, 壓克力亮光漆；金屬配件:鋼質, 粉末塗層</t>
        </is>
      </c>
      <c r="O124" s="2" t="inlineStr">
        <is>
          <t>木質</t>
        </is>
      </c>
      <c r="P124" s="2" t="n">
        <v>599</v>
      </c>
      <c r="Q124" s="2" t="inlineStr">
        <is>
          <t>2026-10-26</t>
        </is>
      </c>
      <c r="R124" s="3" t="inlineStr">
        <is>
          <t>https://www.ikea.com.tw/zh/products/wall-organisers/boards-and-wall-organisers/skadis-art-60347178</t>
        </is>
      </c>
      <c r="S124" s="2" t="inlineStr">
        <is>
          <t>官網</t>
        </is>
      </c>
      <c r="T124" s="2" t="inlineStr">
        <is>
          <t>high</t>
        </is>
      </c>
      <c r="U124" s="2" t="inlineStr">
        <is>
          <t>可單獨或拼合多塊使用，將細小和零散的物件整齊放置；亦適合浴室使用</t>
        </is>
      </c>
      <c r="V124" s="2" t="inlineStr">
        <is>
          <t>SKÅDIS 洞洞板（非金屬網片，歸入最接近類別）；附牆面安裝桿，上牆螺絲另售</t>
        </is>
      </c>
    </row>
    <row r="125">
      <c r="A125" s="2" t="inlineStr">
        <is>
          <t>IKEA-A011</t>
        </is>
      </c>
      <c r="B125" s="2" t="inlineStr">
        <is>
          <t>IKEA</t>
        </is>
      </c>
      <c r="C125" s="2" t="inlineStr">
        <is>
          <t>鐵網</t>
        </is>
      </c>
      <c r="D125" s="2" t="inlineStr">
        <is>
          <t>SKÅDIS 收納壁板 36x56 公分</t>
        </is>
      </c>
      <c r="E125" s="2" t="inlineStr">
        <is>
          <t>006.244.18</t>
        </is>
      </c>
      <c r="F125" s="2" t="n"/>
      <c r="G125" s="2" t="n"/>
      <c r="H125" s="2" t="n">
        <v>36</v>
      </c>
      <c r="I125" s="2" t="n"/>
      <c r="J125" s="2" t="n">
        <v>56</v>
      </c>
      <c r="K125" s="2" t="n"/>
      <c r="L125" s="2" t="n"/>
      <c r="M125" s="2" t="inlineStr">
        <is>
          <t>螺絲</t>
        </is>
      </c>
      <c r="N125" s="2" t="inlineStr">
        <is>
          <t>纖維板, 壓克力漆</t>
        </is>
      </c>
      <c r="O125" s="2" t="inlineStr">
        <is>
          <t>雙面設計+深灰藍色 深紫紅色</t>
        </is>
      </c>
      <c r="P125" s="2" t="n">
        <v>499</v>
      </c>
      <c r="Q125" s="2" t="inlineStr">
        <is>
          <t>2026-10-26</t>
        </is>
      </c>
      <c r="R125" s="3" t="inlineStr">
        <is>
          <t>https://www.ikea.com.tw/zh/products/wall-organisers/boards-and-wall-organisers/skadis-art-00624418</t>
        </is>
      </c>
      <c r="S125" s="2" t="inlineStr">
        <is>
          <t>官網</t>
        </is>
      </c>
      <c r="T125" s="2" t="inlineStr">
        <is>
          <t>high</t>
        </is>
      </c>
      <c r="U125" s="2" t="inlineStr">
        <is>
          <t>可單獨或拼合多塊使用，將細小和零散的物件整齊放置</t>
        </is>
      </c>
      <c r="V125" s="2" t="inlineStr">
        <is>
          <t>SKÅDIS 雙面洞洞板（非金屬網片，歸入最接近類別）</t>
        </is>
      </c>
    </row>
    <row r="126">
      <c r="A126" s="2" t="inlineStr">
        <is>
          <t>IKEA-A012</t>
        </is>
      </c>
      <c r="B126" s="2" t="inlineStr">
        <is>
          <t>IKEA</t>
        </is>
      </c>
      <c r="C126" s="2" t="inlineStr">
        <is>
          <t>鐵網</t>
        </is>
      </c>
      <c r="D126" s="2" t="inlineStr">
        <is>
          <t>SKÅDIS 收納壁板 76x56 公分</t>
        </is>
      </c>
      <c r="E126" s="2" t="inlineStr">
        <is>
          <t>806.244.24</t>
        </is>
      </c>
      <c r="F126" s="2" t="n"/>
      <c r="G126" s="2" t="n"/>
      <c r="H126" s="2" t="n">
        <v>76</v>
      </c>
      <c r="I126" s="2" t="n"/>
      <c r="J126" s="2" t="n">
        <v>56</v>
      </c>
      <c r="K126" s="2" t="n"/>
      <c r="L126" s="2" t="n"/>
      <c r="M126" s="2" t="inlineStr">
        <is>
          <t>螺絲</t>
        </is>
      </c>
      <c r="N126" s="2" t="inlineStr">
        <is>
          <t>纖維板, 壓克力漆</t>
        </is>
      </c>
      <c r="O126" s="2" t="inlineStr">
        <is>
          <t>雙面設計+深灰藍色 深紫紅色</t>
        </is>
      </c>
      <c r="P126" s="2" t="n">
        <v>699</v>
      </c>
      <c r="Q126" s="2" t="inlineStr">
        <is>
          <t>2026-10-26</t>
        </is>
      </c>
      <c r="R126" s="3" t="inlineStr">
        <is>
          <t>https://www.ikea.com.tw/zh/products/wall-organisers/boards-and-wall-organisers/skadis-art-80624424</t>
        </is>
      </c>
      <c r="S126" s="2" t="inlineStr">
        <is>
          <t>官網</t>
        </is>
      </c>
      <c r="T126" s="2" t="inlineStr">
        <is>
          <t>high</t>
        </is>
      </c>
      <c r="U126" s="2" t="inlineStr">
        <is>
          <t>可單獨或拼合多塊使用，將細小和零散的物件整齊放置</t>
        </is>
      </c>
      <c r="V126" s="2" t="inlineStr">
        <is>
          <t>SKÅDIS 雙面洞洞板（非金屬網片，歸入最接近類別）</t>
        </is>
      </c>
    </row>
    <row r="127">
      <c r="A127" s="2" t="inlineStr">
        <is>
          <t>IKEA-A013</t>
        </is>
      </c>
      <c r="B127" s="2" t="inlineStr">
        <is>
          <t>IKEA</t>
        </is>
      </c>
      <c r="C127" s="2" t="inlineStr">
        <is>
          <t>鐵網</t>
        </is>
      </c>
      <c r="D127" s="2" t="inlineStr">
        <is>
          <t>SKÅDIS 獨立式收納壁板 56x37 公分</t>
        </is>
      </c>
      <c r="E127" s="2" t="inlineStr">
        <is>
          <t>705.415.75</t>
        </is>
      </c>
      <c r="F127" s="2" t="n"/>
      <c r="G127" s="2" t="n"/>
      <c r="H127" s="2" t="n">
        <v>56</v>
      </c>
      <c r="I127" s="2" t="n"/>
      <c r="J127" s="2" t="n">
        <v>37</v>
      </c>
      <c r="K127" s="2" t="n"/>
      <c r="L127" s="2" t="n"/>
      <c r="M127" s="2" t="inlineStr">
        <is>
          <t>免安裝</t>
        </is>
      </c>
      <c r="N127" s="2" t="inlineStr">
        <is>
          <t>基本材質:纖維板, 壓克力漆</t>
        </is>
      </c>
      <c r="O127" s="2" t="inlineStr">
        <is>
          <t>白色</t>
        </is>
      </c>
      <c r="P127" s="2" t="n">
        <v>599</v>
      </c>
      <c r="Q127" s="2" t="inlineStr">
        <is>
          <t>2026-10-26</t>
        </is>
      </c>
      <c r="R127" s="3" t="inlineStr">
        <is>
          <t>https://www.ikea.com.tw/zh/products/wall-organisers/boards-and-wall-organisers/skadis-art-70541575</t>
        </is>
      </c>
      <c r="S127" s="2" t="inlineStr">
        <is>
          <t>官網</t>
        </is>
      </c>
      <c r="T127" s="2" t="inlineStr">
        <is>
          <t>high</t>
        </is>
      </c>
      <c r="U127" s="2" t="inlineStr">
        <is>
          <t>放在餐桌或書桌上，不僅可作隔板使用，兩邊亦可收納物品；這個獨立式的收納壁板，為你增加空間，用來掛起細小物品，方便隨時取用；而且無需在牆上打孔</t>
        </is>
      </c>
      <c r="V127" s="2" t="inlineStr">
        <is>
          <t>SKÅDIS 獨立式洞洞板（非金屬網片，歸入最接近類別）</t>
        </is>
      </c>
    </row>
    <row r="128">
      <c r="A128" s="2" t="inlineStr">
        <is>
          <t>IKEA-A014</t>
        </is>
      </c>
      <c r="B128" s="2" t="inlineStr">
        <is>
          <t>IKEA</t>
        </is>
      </c>
      <c r="C128" s="2" t="inlineStr">
        <is>
          <t>網片配件</t>
        </is>
      </c>
      <c r="D128" s="2" t="inlineStr">
        <is>
          <t>SKÅDIS 掛鉤</t>
        </is>
      </c>
      <c r="E128" s="2" t="inlineStr">
        <is>
          <t>303.216.17</t>
        </is>
      </c>
      <c r="F128" s="2" t="n"/>
      <c r="G128" s="2" t="n"/>
      <c r="H128" s="2" t="n"/>
      <c r="I128" s="2" t="n">
        <v>2.5</v>
      </c>
      <c r="J128" s="2" t="n">
        <v>6</v>
      </c>
      <c r="K128" s="2" t="n"/>
      <c r="L128" s="2" t="n"/>
      <c r="M128" s="2" t="inlineStr">
        <is>
          <t>掛於SKÅDIS洞洞板</t>
        </is>
      </c>
      <c r="N128" s="2" t="inlineStr">
        <is>
          <t>鋼質, 粉末塗層</t>
        </is>
      </c>
      <c r="O128" s="2" t="inlineStr">
        <is>
          <t>白色/黑色</t>
        </is>
      </c>
      <c r="P128" s="2" t="n"/>
      <c r="Q128" s="2" t="inlineStr">
        <is>
          <t>2026-10-26</t>
        </is>
      </c>
      <c r="R128" s="3" t="inlineStr">
        <is>
          <t>https://www.ikea.com.tw/zh/products/wall-organisers/boards-and-wall-organisers/skadis-art-30321617</t>
        </is>
      </c>
      <c r="S128" s="2" t="inlineStr">
        <is>
          <t>官網</t>
        </is>
      </c>
      <c r="T128" s="2" t="inlineStr">
        <is>
          <t>high</t>
        </is>
      </c>
      <c r="U128" s="2" t="inlineStr">
        <is>
          <t>亦適合浴室使用</t>
        </is>
      </c>
      <c r="V128" s="2" t="inlineStr">
        <is>
          <t>SET:303.216.17|50|5|5; 各色商品編號：白色=303.216.17、黑色=405.699.38；SET 標記以第一個顏色商品編號與價格計</t>
        </is>
      </c>
    </row>
    <row r="129">
      <c r="A129" s="2" t="inlineStr">
        <is>
          <t>IKEA-A015</t>
        </is>
      </c>
      <c r="B129" s="2" t="inlineStr">
        <is>
          <t>IKEA</t>
        </is>
      </c>
      <c r="C129" s="2" t="inlineStr">
        <is>
          <t>網片配件</t>
        </is>
      </c>
      <c r="D129" s="2" t="inlineStr">
        <is>
          <t>SKÅDIS 掛鉤</t>
        </is>
      </c>
      <c r="E129" s="2" t="inlineStr">
        <is>
          <t>303.356.19</t>
        </is>
      </c>
      <c r="F129" s="2" t="n"/>
      <c r="G129" s="2" t="n"/>
      <c r="H129" s="2" t="n"/>
      <c r="I129" s="2" t="n">
        <v>9.5</v>
      </c>
      <c r="J129" s="2" t="n">
        <v>6</v>
      </c>
      <c r="K129" s="2" t="n"/>
      <c r="L129" s="2" t="n"/>
      <c r="M129" s="2" t="inlineStr">
        <is>
          <t>掛於SKÅDIS洞洞板</t>
        </is>
      </c>
      <c r="N129" s="2" t="inlineStr">
        <is>
          <t>鋼質, 粉末塗層</t>
        </is>
      </c>
      <c r="O129" s="2" t="inlineStr">
        <is>
          <t>白色/黑色</t>
        </is>
      </c>
      <c r="P129" s="2" t="n"/>
      <c r="Q129" s="2" t="inlineStr">
        <is>
          <t>2026-10-26</t>
        </is>
      </c>
      <c r="R129" s="3" t="inlineStr">
        <is>
          <t>https://www.ikea.com.tw/zh/products/wall-organisers/boards-and-wall-organisers/skadis-art-30335619</t>
        </is>
      </c>
      <c r="S129" s="2" t="inlineStr">
        <is>
          <t>官網</t>
        </is>
      </c>
      <c r="T129" s="2" t="inlineStr">
        <is>
          <t>high</t>
        </is>
      </c>
      <c r="U129" s="2" t="inlineStr">
        <is>
          <t>可單獨使用懸掛耳機或刷子，或使用兩個來收納較長的物品，例如：包裝紙；亦適合浴室使用</t>
        </is>
      </c>
      <c r="V129" s="2" t="inlineStr">
        <is>
          <t>SET:303.356.19|50|2|2; 各色商品編號：白色=303.356.19、黑色=705.699.32；SET 標記以第一個顏色商品編號與價格計</t>
        </is>
      </c>
    </row>
    <row r="130">
      <c r="A130" s="2" t="inlineStr">
        <is>
          <t>IKEA-A016</t>
        </is>
      </c>
      <c r="B130" s="2" t="inlineStr">
        <is>
          <t>IKEA</t>
        </is>
      </c>
      <c r="C130" s="2" t="inlineStr">
        <is>
          <t>網片配件</t>
        </is>
      </c>
      <c r="D130" s="2" t="inlineStr">
        <is>
          <t>SKÅDIS 掛鉤 19 公厘</t>
        </is>
      </c>
      <c r="E130" s="2" t="inlineStr">
        <is>
          <t>105.198.84</t>
        </is>
      </c>
      <c r="F130" s="2" t="n"/>
      <c r="G130" s="2" t="n"/>
      <c r="H130" s="2" t="n"/>
      <c r="I130" s="2" t="n"/>
      <c r="J130" s="2" t="n"/>
      <c r="K130" s="2" t="n">
        <v>1.9</v>
      </c>
      <c r="L130" s="2" t="n"/>
      <c r="M130" s="2" t="inlineStr">
        <is>
          <t>掛於SKÅDIS洞洞板</t>
        </is>
      </c>
      <c r="N130" s="2" t="inlineStr">
        <is>
          <t>聚丙烯塑膠 (至少20%再生材料)</t>
        </is>
      </c>
      <c r="O130" s="2" t="inlineStr">
        <is>
          <t>白色</t>
        </is>
      </c>
      <c r="P130" s="2" t="n"/>
      <c r="Q130" s="2" t="inlineStr">
        <is>
          <t>2026-10-26</t>
        </is>
      </c>
      <c r="R130" s="3" t="inlineStr">
        <is>
          <t>https://www.ikea.com.tw/zh/products/wall-organisers/boards-and-wall-organisers/skadis-art-10519884</t>
        </is>
      </c>
      <c r="S130" s="2" t="inlineStr">
        <is>
          <t>官網</t>
        </is>
      </c>
      <c r="T130" s="2" t="inlineStr">
        <is>
          <t>high</t>
        </is>
      </c>
      <c r="U130" s="2" t="inlineStr">
        <is>
          <t>掛鈎讓SKÅDIS收納壁板變得更實用，可以掛起鑰匙或首飾；亦適合浴室使用</t>
        </is>
      </c>
      <c r="V130" s="2" t="inlineStr">
        <is>
          <t xml:space="preserve">SET:105.198.84|50|5|5; </t>
        </is>
      </c>
    </row>
    <row r="131">
      <c r="A131" s="2" t="inlineStr">
        <is>
          <t>IKEA-A017</t>
        </is>
      </c>
      <c r="B131" s="2" t="inlineStr">
        <is>
          <t>IKEA</t>
        </is>
      </c>
      <c r="C131" s="2" t="inlineStr">
        <is>
          <t>網片配件</t>
        </is>
      </c>
      <c r="D131" s="2" t="inlineStr">
        <is>
          <t>SKÅDIS 掛鉤</t>
        </is>
      </c>
      <c r="E131" s="2" t="inlineStr">
        <is>
          <t>305.699.34</t>
        </is>
      </c>
      <c r="F131" s="2" t="n"/>
      <c r="G131" s="2" t="n"/>
      <c r="H131" s="2" t="n"/>
      <c r="I131" s="2" t="n">
        <v>4.5</v>
      </c>
      <c r="J131" s="2" t="n">
        <v>7</v>
      </c>
      <c r="K131" s="2" t="n"/>
      <c r="L131" s="2" t="n"/>
      <c r="M131" s="2" t="inlineStr">
        <is>
          <t>掛於SKÅDIS洞洞板</t>
        </is>
      </c>
      <c r="N131" s="2" t="inlineStr">
        <is>
          <t>鋼質, 粉末塗層</t>
        </is>
      </c>
      <c r="O131" s="2" t="inlineStr">
        <is>
          <t>黑色</t>
        </is>
      </c>
      <c r="P131" s="2" t="n"/>
      <c r="Q131" s="2" t="inlineStr">
        <is>
          <t>2026-10-26</t>
        </is>
      </c>
      <c r="R131" s="3" t="inlineStr">
        <is>
          <t>https://www.ikea.com.tw/zh/products/wall-organisers/boards-and-wall-organisers/skadis-art-30569934</t>
        </is>
      </c>
      <c r="S131" s="2" t="inlineStr">
        <is>
          <t>官網</t>
        </is>
      </c>
      <c r="T131" s="2" t="inlineStr">
        <is>
          <t>high</t>
        </is>
      </c>
      <c r="U131" s="2" t="inlineStr">
        <is>
          <t>亦適合浴室使用</t>
        </is>
      </c>
      <c r="V131" s="2" t="inlineStr">
        <is>
          <t xml:space="preserve">SET:305.699.34|50|3|3; </t>
        </is>
      </c>
    </row>
    <row r="132">
      <c r="A132" s="2" t="inlineStr">
        <is>
          <t>IKEA-A018</t>
        </is>
      </c>
      <c r="B132" s="2" t="inlineStr">
        <is>
          <t>IKEA</t>
        </is>
      </c>
      <c r="C132" s="2" t="inlineStr">
        <is>
          <t>網片配件</t>
        </is>
      </c>
      <c r="D132" s="2" t="inlineStr">
        <is>
          <t>SKÅDIS 掛鉤架</t>
        </is>
      </c>
      <c r="E132" s="2" t="inlineStr">
        <is>
          <t>605.198.86</t>
        </is>
      </c>
      <c r="F132" s="2" t="n"/>
      <c r="G132" s="2" t="n"/>
      <c r="H132" s="2" t="n">
        <v>28</v>
      </c>
      <c r="I132" s="2" t="n">
        <v>2</v>
      </c>
      <c r="J132" s="2" t="n">
        <v>3</v>
      </c>
      <c r="K132" s="2" t="n"/>
      <c r="L132" s="2" t="n"/>
      <c r="M132" s="2" t="inlineStr">
        <is>
          <t>掛於SKÅDIS洞洞板</t>
        </is>
      </c>
      <c r="N132" s="2" t="inlineStr">
        <is>
          <t>鋼質, 粉末塗層</t>
        </is>
      </c>
      <c r="O132" s="2" t="inlineStr">
        <is>
          <t>白色/黑色</t>
        </is>
      </c>
      <c r="P132" s="2" t="n">
        <v>80</v>
      </c>
      <c r="Q132" s="2" t="inlineStr">
        <is>
          <t>2026-10-26</t>
        </is>
      </c>
      <c r="R132" s="3" t="inlineStr">
        <is>
          <t>https://www.ikea.com.tw/zh/products/wall-organisers/boards-and-wall-organisers/skadis-art-60519886</t>
        </is>
      </c>
      <c r="S132" s="2" t="inlineStr">
        <is>
          <t>官網</t>
        </is>
      </c>
      <c r="T132" s="2" t="inlineStr">
        <is>
          <t>high</t>
        </is>
      </c>
      <c r="U132" s="2" t="inlineStr">
        <is>
          <t>可以掛在收納壁板的任何位置，不需用時，無需工具也可以拆下來；多個掛鉤，用來掛鑰匙、圍巾、首飾和其它細小物件，還有一個可以放筆的小小空間</t>
        </is>
      </c>
      <c r="V132" s="2" t="inlineStr">
        <is>
          <t>各色商品編號：白色=605.198.86、黑色=805.699.36</t>
        </is>
      </c>
    </row>
    <row r="133">
      <c r="A133" s="2" t="inlineStr">
        <is>
          <t>IKEA-A019</t>
        </is>
      </c>
      <c r="B133" s="2" t="inlineStr">
        <is>
          <t>IKEA</t>
        </is>
      </c>
      <c r="C133" s="2" t="inlineStr">
        <is>
          <t>網片配件</t>
        </is>
      </c>
      <c r="D133" s="2" t="inlineStr">
        <is>
          <t>SKÅDIS 層架</t>
        </is>
      </c>
      <c r="E133" s="2" t="inlineStr">
        <is>
          <t>603.208.00</t>
        </is>
      </c>
      <c r="F133" s="2" t="n"/>
      <c r="G133" s="2" t="n"/>
      <c r="H133" s="2" t="n">
        <v>28</v>
      </c>
      <c r="I133" s="2" t="n">
        <v>9</v>
      </c>
      <c r="J133" s="2" t="n">
        <v>3</v>
      </c>
      <c r="K133" s="2" t="n"/>
      <c r="L133" s="2" t="n"/>
      <c r="M133" s="2" t="inlineStr">
        <is>
          <t>掛於SKÅDIS洞洞板</t>
        </is>
      </c>
      <c r="N133" s="2" t="inlineStr">
        <is>
          <t>鋼質, 粉末塗層</t>
        </is>
      </c>
      <c r="O133" s="2" t="inlineStr">
        <is>
          <t>白色/黑色</t>
        </is>
      </c>
      <c r="P133" s="2" t="n">
        <v>150</v>
      </c>
      <c r="Q133" s="2" t="inlineStr">
        <is>
          <t>2026-10-26</t>
        </is>
      </c>
      <c r="R133" s="3" t="inlineStr">
        <is>
          <t>https://www.ikea.com.tw/zh/products/wall-organisers/boards-and-wall-organisers/skadis-art-60320800</t>
        </is>
      </c>
      <c r="S133" s="2" t="inlineStr">
        <is>
          <t>官網</t>
        </is>
      </c>
      <c r="T133" s="2" t="inlineStr">
        <is>
          <t>high</t>
        </is>
      </c>
      <c r="U133" s="2" t="inlineStr">
        <is>
          <t>適合收納電話、錢包、太陽眼鏡或其他常用物品，方便拿取；亦適合浴室使用</t>
        </is>
      </c>
      <c r="V133" s="2" t="inlineStr">
        <is>
          <t>各色商品編號：白色=603.208.00、黑色=605.699.42</t>
        </is>
      </c>
    </row>
    <row r="134">
      <c r="A134" s="2" t="inlineStr">
        <is>
          <t>IKEA-A020</t>
        </is>
      </c>
      <c r="B134" s="2" t="inlineStr">
        <is>
          <t>IKEA</t>
        </is>
      </c>
      <c r="C134" s="2" t="inlineStr">
        <is>
          <t>網片配件</t>
        </is>
      </c>
      <c r="D134" s="2" t="inlineStr">
        <is>
          <t>SKÅDIS 展示架</t>
        </is>
      </c>
      <c r="E134" s="2" t="inlineStr">
        <is>
          <t>005.918.42</t>
        </is>
      </c>
      <c r="F134" s="2" t="n"/>
      <c r="G134" s="2" t="n"/>
      <c r="H134" s="2" t="n">
        <v>32</v>
      </c>
      <c r="I134" s="2" t="n">
        <v>11</v>
      </c>
      <c r="J134" s="2" t="n"/>
      <c r="K134" s="2" t="n"/>
      <c r="L134" s="2" t="n"/>
      <c r="M134" s="2" t="inlineStr">
        <is>
          <t>掛於SKÅDIS洞洞板</t>
        </is>
      </c>
      <c r="N134" s="2" t="inlineStr">
        <is>
          <t>鋼質, 粉末塗層</t>
        </is>
      </c>
      <c r="O134" s="2" t="inlineStr">
        <is>
          <t>白色/黑色</t>
        </is>
      </c>
      <c r="P134" s="2" t="n">
        <v>150</v>
      </c>
      <c r="Q134" s="2" t="inlineStr">
        <is>
          <t>2026-10-26</t>
        </is>
      </c>
      <c r="R134" s="3" t="inlineStr">
        <is>
          <t>https://www.ikea.com.tw/zh/products/wall-organisers/boards-and-wall-organisers/skadis-art-00591842</t>
        </is>
      </c>
      <c r="S134" s="2" t="inlineStr">
        <is>
          <t>官網</t>
        </is>
      </c>
      <c r="T134" s="2" t="inlineStr">
        <is>
          <t>high</t>
        </is>
      </c>
      <c r="U134" s="2" t="inlineStr">
        <is>
          <t>一款理想的展示層架，用來放置你喜歡和珍重的物品。 也可以用來放置手機、皮包、太陽眼鏡或其他需要隨時取用的物品</t>
        </is>
      </c>
      <c r="V134" s="2" t="inlineStr">
        <is>
          <t>各色商品編號：白色=005.918.42、黑色=406.034.28</t>
        </is>
      </c>
    </row>
    <row r="135">
      <c r="A135" s="2" t="inlineStr">
        <is>
          <t>IKEA-A021</t>
        </is>
      </c>
      <c r="B135" s="2" t="inlineStr">
        <is>
          <t>IKEA</t>
        </is>
      </c>
      <c r="C135" s="2" t="inlineStr">
        <is>
          <t>網片配件</t>
        </is>
      </c>
      <c r="D135" s="2" t="inlineStr">
        <is>
          <t>SKÅDIS 收納筒</t>
        </is>
      </c>
      <c r="E135" s="2" t="inlineStr">
        <is>
          <t>403.207.97</t>
        </is>
      </c>
      <c r="F135" s="2" t="n"/>
      <c r="G135" s="2" t="n"/>
      <c r="H135" s="2" t="n">
        <v>7.5</v>
      </c>
      <c r="I135" s="2" t="n">
        <v>9</v>
      </c>
      <c r="J135" s="2" t="n">
        <v>8</v>
      </c>
      <c r="K135" s="2" t="n"/>
      <c r="L135" s="2" t="n"/>
      <c r="M135" s="2" t="inlineStr">
        <is>
          <t>掛於SKÅDIS洞洞板</t>
        </is>
      </c>
      <c r="N135" s="2" t="inlineStr">
        <is>
          <t>鋼質, 粉末塗層</t>
        </is>
      </c>
      <c r="O135" s="2" t="inlineStr">
        <is>
          <t>白色/黑色</t>
        </is>
      </c>
      <c r="P135" s="2" t="n">
        <v>100</v>
      </c>
      <c r="Q135" s="2" t="inlineStr">
        <is>
          <t>2026-10-26</t>
        </is>
      </c>
      <c r="R135" s="3" t="inlineStr">
        <is>
          <t>https://www.ikea.com.tw/zh/products/wall-organisers/boards-and-wall-organisers/skadis-art-40320797</t>
        </is>
      </c>
      <c r="S135" s="2" t="inlineStr">
        <is>
          <t>官網</t>
        </is>
      </c>
      <c r="T135" s="2" t="inlineStr">
        <is>
          <t>high</t>
        </is>
      </c>
      <c r="U135" s="2" t="inlineStr">
        <is>
          <t>適合收納筆、刷子、牙刷或其他需要經常取用的物品；亦適合浴室使用</t>
        </is>
      </c>
      <c r="V135" s="2" t="inlineStr">
        <is>
          <t>各色商品編號：白色=403.207.97、黑色=105.699.25</t>
        </is>
      </c>
    </row>
    <row r="136">
      <c r="A136" s="2" t="inlineStr">
        <is>
          <t>IKEA-A022</t>
        </is>
      </c>
      <c r="B136" s="2" t="inlineStr">
        <is>
          <t>IKEA</t>
        </is>
      </c>
      <c r="C136" s="2" t="inlineStr">
        <is>
          <t>網片配件</t>
        </is>
      </c>
      <c r="D136" s="2" t="inlineStr">
        <is>
          <t>SKÅDIS 置物籃</t>
        </is>
      </c>
      <c r="E136" s="2" t="inlineStr">
        <is>
          <t>605.995.19</t>
        </is>
      </c>
      <c r="F136" s="2" t="n"/>
      <c r="G136" s="2" t="n"/>
      <c r="H136" s="2" t="n">
        <v>11.6</v>
      </c>
      <c r="I136" s="2" t="n">
        <v>34.5</v>
      </c>
      <c r="J136" s="2" t="n">
        <v>17</v>
      </c>
      <c r="K136" s="2" t="n"/>
      <c r="L136" s="2" t="n"/>
      <c r="M136" s="2" t="inlineStr">
        <is>
          <t>掛於SKÅDIS洞洞板</t>
        </is>
      </c>
      <c r="N136" s="2" t="inlineStr">
        <is>
          <t>100%聚酯纖維</t>
        </is>
      </c>
      <c r="O136" s="2" t="inlineStr">
        <is>
          <t>灰色</t>
        </is>
      </c>
      <c r="P136" s="2" t="n">
        <v>250</v>
      </c>
      <c r="Q136" s="2" t="inlineStr">
        <is>
          <t>2026-10-26</t>
        </is>
      </c>
      <c r="R136" s="3" t="inlineStr">
        <is>
          <t>https://www.ikea.com.tw/zh/products/wall-organisers/boards-and-wall-organisers/skadis-art-60599519</t>
        </is>
      </c>
      <c r="S136" s="2" t="inlineStr">
        <is>
          <t>官網</t>
        </is>
      </c>
      <c r="T136" s="2" t="inlineStr">
        <is>
          <t>high</t>
        </is>
      </c>
      <c r="U136" s="2" t="inlineStr">
        <is>
          <t>適合家庭使用，濕度較高處除外</t>
        </is>
      </c>
      <c r="V136" s="2" t="inlineStr">
        <is>
          <t>官網標示「長度 34.5 公分」，填入 depth</t>
        </is>
      </c>
    </row>
    <row r="137">
      <c r="A137" s="2" t="inlineStr">
        <is>
          <t>IKEA-A023</t>
        </is>
      </c>
      <c r="B137" s="2" t="inlineStr">
        <is>
          <t>IKEA</t>
        </is>
      </c>
      <c r="C137" s="2" t="inlineStr">
        <is>
          <t>網片配件</t>
        </is>
      </c>
      <c r="D137" s="2" t="inlineStr">
        <is>
          <t>SKÅDIS 附蓋收納盒</t>
        </is>
      </c>
      <c r="E137" s="2" t="inlineStr">
        <is>
          <t>403.359.11</t>
        </is>
      </c>
      <c r="F137" s="2" t="n"/>
      <c r="G137" s="2" t="n"/>
      <c r="H137" s="2" t="n">
        <v>7</v>
      </c>
      <c r="I137" s="2" t="n">
        <v>8.5</v>
      </c>
      <c r="J137" s="2" t="n">
        <v>8</v>
      </c>
      <c r="K137" s="2" t="n"/>
      <c r="L137" s="2" t="n"/>
      <c r="M137" s="2" t="inlineStr">
        <is>
          <t>掛於SKÅDIS洞洞板</t>
        </is>
      </c>
      <c r="N137" s="2" t="inlineStr">
        <is>
          <t>頂端部位:鋼質, 環氧/聚酯粉末塗料；容器:PET塑膠；上牆配件:乙縮醛塑料</t>
        </is>
      </c>
      <c r="O137" s="2" t="inlineStr">
        <is>
          <t>白色/透明+黑色</t>
        </is>
      </c>
      <c r="P137" s="2" t="n"/>
      <c r="Q137" s="2" t="inlineStr">
        <is>
          <t>2026-10-26</t>
        </is>
      </c>
      <c r="R137" s="3" t="inlineStr">
        <is>
          <t>https://www.ikea.com.tw/zh/products/wall-organisers/boards-and-wall-organisers/skadis-art-40335911</t>
        </is>
      </c>
      <c r="S137" s="2" t="inlineStr">
        <is>
          <t>官網</t>
        </is>
      </c>
      <c r="T137" s="2" t="inlineStr">
        <is>
          <t>high</t>
        </is>
      </c>
      <c r="U137" s="2" t="inlineStr">
        <is>
          <t>可整齊收納調味料、螺絲或美術用品；亦適合浴室使用</t>
        </is>
      </c>
      <c r="V137" s="2" t="inlineStr">
        <is>
          <t>SET:403.359.11|350|3|3; 各色商品編號：白色=403.359.11、透明+黑色=705.699.27；SET 標記以第一個顏色商品編號與價格計</t>
        </is>
      </c>
    </row>
    <row r="138">
      <c r="A138" s="2" t="inlineStr">
        <is>
          <t>IKEA-A024</t>
        </is>
      </c>
      <c r="B138" s="2" t="inlineStr">
        <is>
          <t>IKEA</t>
        </is>
      </c>
      <c r="C138" s="2" t="inlineStr">
        <is>
          <t>網片配件</t>
        </is>
      </c>
      <c r="D138" s="2" t="inlineStr">
        <is>
          <t>SKÅDIS 夾子</t>
        </is>
      </c>
      <c r="E138" s="2" t="inlineStr">
        <is>
          <t>703.216.15</t>
        </is>
      </c>
      <c r="F138" s="2" t="n"/>
      <c r="G138" s="2" t="n"/>
      <c r="H138" s="2" t="n">
        <v>2</v>
      </c>
      <c r="I138" s="2" t="n"/>
      <c r="J138" s="2" t="n">
        <v>8</v>
      </c>
      <c r="K138" s="2" t="n"/>
      <c r="L138" s="2" t="n"/>
      <c r="M138" s="2" t="inlineStr">
        <is>
          <t>掛於SKÅDIS洞洞板</t>
        </is>
      </c>
      <c r="N138" s="2" t="inlineStr">
        <is>
          <t>基本材質:鋼質, 粉末塗層；彈簧:鋼質, 鍍鋅</t>
        </is>
      </c>
      <c r="O138" s="2" t="inlineStr">
        <is>
          <t>白色</t>
        </is>
      </c>
      <c r="P138" s="2" t="n"/>
      <c r="Q138" s="2" t="inlineStr">
        <is>
          <t>2026-10-26</t>
        </is>
      </c>
      <c r="R138" s="3" t="inlineStr">
        <is>
          <t>https://www.ikea.com.tw/zh/products/wall-organisers/boards-and-wall-organisers/skadis-art-70321615</t>
        </is>
      </c>
      <c r="S138" s="2" t="inlineStr">
        <is>
          <t>官網</t>
        </is>
      </c>
      <c r="T138" s="2" t="inlineStr">
        <is>
          <t>high</t>
        </is>
      </c>
      <c r="U138" s="2" t="inlineStr">
        <is>
          <t>適合用來掛起食譜、相片、繪畫或待辦事項清單，方便取用；夾起信件放在玄關、書桌上的重要筆記紙張或用於廚房夾起心愛的食譜都很合適</t>
        </is>
      </c>
      <c r="V138" s="2" t="inlineStr">
        <is>
          <t xml:space="preserve">SET:703.216.15|50|2|2; </t>
        </is>
      </c>
    </row>
    <row r="139">
      <c r="A139" s="2" t="inlineStr">
        <is>
          <t>IKEA-A025</t>
        </is>
      </c>
      <c r="B139" s="2" t="inlineStr">
        <is>
          <t>IKEA</t>
        </is>
      </c>
      <c r="C139" s="2" t="inlineStr">
        <is>
          <t>網片配件</t>
        </is>
      </c>
      <c r="D139" s="2" t="inlineStr">
        <is>
          <t>SKÅDIS 彈力固定繩</t>
        </is>
      </c>
      <c r="E139" s="2" t="inlineStr">
        <is>
          <t>203.216.32</t>
        </is>
      </c>
      <c r="F139" s="2" t="n"/>
      <c r="G139" s="2" t="n"/>
      <c r="H139" s="2" t="n">
        <v>27</v>
      </c>
      <c r="I139" s="2" t="n"/>
      <c r="J139" s="2" t="n"/>
      <c r="K139" s="2" t="n"/>
      <c r="L139" s="2" t="n"/>
      <c r="M139" s="2" t="inlineStr">
        <is>
          <t>掛於SKÅDIS洞洞板</t>
        </is>
      </c>
      <c r="N139" s="2" t="inlineStr">
        <is>
          <t>細繩:合成橡膠；掛鉤:乙縮醛塑料</t>
        </is>
      </c>
      <c r="O139" s="2" t="inlineStr">
        <is>
          <t>灰色/黑色</t>
        </is>
      </c>
      <c r="P139" s="2" t="n"/>
      <c r="Q139" s="2" t="inlineStr">
        <is>
          <t>2026-10-26</t>
        </is>
      </c>
      <c r="R139" s="3" t="inlineStr">
        <is>
          <t>https://www.ikea.com.tw/zh/products/wall-organisers/boards-and-wall-organisers/skadis-art-20321632</t>
        </is>
      </c>
      <c r="S139" s="2" t="inlineStr">
        <is>
          <t>官網</t>
        </is>
      </c>
      <c r="T139" s="2" t="inlineStr">
        <is>
          <t>high</t>
        </is>
      </c>
      <c r="U139" s="2" t="inlineStr"/>
      <c r="V139" s="2" t="inlineStr">
        <is>
          <t>SET:203.216.32|100|3|3; 官網標示「長度 27 公分」，填入 width；各色商品編號：灰色=203.216.32、黑色=305.699.29；SET 標記以第一個顏色商品編號與價格計</t>
        </is>
      </c>
    </row>
    <row r="140">
      <c r="A140" s="2" t="inlineStr">
        <is>
          <t>IKEA-A026</t>
        </is>
      </c>
      <c r="B140" s="2" t="inlineStr">
        <is>
          <t>IKEA</t>
        </is>
      </c>
      <c r="C140" s="2" t="inlineStr">
        <is>
          <t>網片配件</t>
        </is>
      </c>
      <c r="D140" s="2" t="inlineStr">
        <is>
          <t>SKÅDIS 連接配件</t>
        </is>
      </c>
      <c r="E140" s="2" t="inlineStr">
        <is>
          <t>103.207.94</t>
        </is>
      </c>
      <c r="F140" s="2" t="n"/>
      <c r="G140" s="2" t="n"/>
      <c r="H140" s="2" t="n">
        <v>2</v>
      </c>
      <c r="I140" s="2" t="n">
        <v>5</v>
      </c>
      <c r="J140" s="2" t="n">
        <v>18</v>
      </c>
      <c r="K140" s="2" t="n"/>
      <c r="L140" s="2" t="n"/>
      <c r="M140" s="2" t="inlineStr">
        <is>
          <t>夾式</t>
        </is>
      </c>
      <c r="N140" s="2" t="inlineStr">
        <is>
          <t>基本材質:鋼質, 環氧/聚酯粉末塗料；螺絲釘:鋼質, 鍍鋅；翼形螺帽:聚丙烯塑膠；填料:100%聚酯纖維</t>
        </is>
      </c>
      <c r="O140" s="2" t="inlineStr">
        <is>
          <t>白色</t>
        </is>
      </c>
      <c r="P140" s="2" t="n"/>
      <c r="Q140" s="2" t="inlineStr">
        <is>
          <t>2026-10-26</t>
        </is>
      </c>
      <c r="R140" s="3" t="inlineStr">
        <is>
          <t>https://www.ikea.com.tw/zh/products/wall-organisers/boards-and-wall-organisers/skadis-art-10320794</t>
        </is>
      </c>
      <c r="S140" s="2" t="inlineStr">
        <is>
          <t>官網</t>
        </is>
      </c>
      <c r="T140" s="2" t="inlineStr">
        <is>
          <t>high</t>
        </is>
      </c>
      <c r="U140" s="2" t="inlineStr">
        <is>
          <t>適用於厚度5公分以下的書桌或層架組</t>
        </is>
      </c>
      <c r="V140" s="2" t="inlineStr">
        <is>
          <t>SET:103.207.94|150|2|2; 用於將 SKÅDIS 收納壁板安裝到書桌或層架上，無需鑽牆</t>
        </is>
      </c>
    </row>
    <row r="141">
      <c r="A141" s="2" t="inlineStr">
        <is>
          <t>IKEA-A027</t>
        </is>
      </c>
      <c r="B141" s="2" t="inlineStr">
        <is>
          <t>IKEA</t>
        </is>
      </c>
      <c r="C141" s="2" t="inlineStr">
        <is>
          <t>網片配件</t>
        </is>
      </c>
      <c r="D141" s="2" t="inlineStr">
        <is>
          <t>SKÅDIS 衣櫃用連接配件</t>
        </is>
      </c>
      <c r="E141" s="2" t="inlineStr">
        <is>
          <t>004.776.48</t>
        </is>
      </c>
      <c r="F141" s="2" t="n"/>
      <c r="G141" s="2" t="n"/>
      <c r="H141" s="2" t="n">
        <v>5</v>
      </c>
      <c r="I141" s="2" t="n">
        <v>6</v>
      </c>
      <c r="J141" s="2" t="n">
        <v>19</v>
      </c>
      <c r="K141" s="2" t="n"/>
      <c r="L141" s="2" t="n"/>
      <c r="M141" s="2" t="inlineStr"/>
      <c r="N141" s="2" t="inlineStr">
        <is>
          <t>鋼質, 環氧/聚酯粉末塗料</t>
        </is>
      </c>
      <c r="O141" s="2" t="inlineStr">
        <is>
          <t>白色</t>
        </is>
      </c>
      <c r="P141" s="2" t="n"/>
      <c r="Q141" s="2" t="inlineStr">
        <is>
          <t>2026-10-26</t>
        </is>
      </c>
      <c r="R141" s="3" t="inlineStr">
        <is>
          <t>https://www.ikea.com.tw/zh/products/wall-organisers/boards-and-wall-organisers/skadis-art-00477648</t>
        </is>
      </c>
      <c r="S141" s="2" t="inlineStr">
        <is>
          <t>官網</t>
        </is>
      </c>
      <c r="T141" s="2" t="inlineStr">
        <is>
          <t>high</t>
        </is>
      </c>
      <c r="U141" s="2" t="inlineStr"/>
      <c r="V141" s="2" t="inlineStr">
        <is>
          <t>SET:004.776.48|100|2|2; SKÅDIS 衣櫃用連接配件；官網未說明安裝方式</t>
        </is>
      </c>
    </row>
    <row r="142">
      <c r="A142" s="2" t="inlineStr">
        <is>
          <t>IKEA-A028</t>
        </is>
      </c>
      <c r="B142" s="2" t="inlineStr">
        <is>
          <t>IKEA</t>
        </is>
      </c>
      <c r="C142" s="2" t="inlineStr">
        <is>
          <t>抽屜隔板</t>
        </is>
      </c>
      <c r="D142" s="2" t="inlineStr">
        <is>
          <t>VARIERA 抽屜隔板</t>
        </is>
      </c>
      <c r="E142" s="2" t="inlineStr">
        <is>
          <t>206.196.23</t>
        </is>
      </c>
      <c r="F142" s="2" t="n">
        <v>47.4</v>
      </c>
      <c r="G142" s="2" t="n">
        <v>53.5</v>
      </c>
      <c r="H142" s="2" t="n">
        <v>1.8</v>
      </c>
      <c r="I142" s="2" t="n"/>
      <c r="J142" s="2" t="n">
        <v>11.8</v>
      </c>
      <c r="K142" s="2" t="n"/>
      <c r="L142" s="2" t="n"/>
      <c r="M142" s="2" t="inlineStr">
        <is>
          <t>按壓固定</t>
        </is>
      </c>
      <c r="N142" s="2" t="inlineStr">
        <is>
          <t>主體:竹,染色,透明漆</t>
        </is>
      </c>
      <c r="O142" s="2" t="inlineStr"/>
      <c r="P142" s="2" t="n">
        <v>299</v>
      </c>
      <c r="Q142" s="2" t="inlineStr">
        <is>
          <t>2026-10-26</t>
        </is>
      </c>
      <c r="R142" s="3" t="inlineStr">
        <is>
          <t>https://www.ikea.com.tw/zh/products/kitchen-accessories/kitchen-interior-organisers/variera-art-20619623</t>
        </is>
      </c>
      <c r="S142" s="2" t="inlineStr">
        <is>
          <t>官網</t>
        </is>
      </c>
      <c r="T142" s="2" t="inlineStr">
        <is>
          <t>high</t>
        </is>
      </c>
      <c r="U142" s="2" t="inlineStr">
        <is>
          <t>適用於大多數廚房抽屜；請沿抽屜前端至後端，縱向放置</t>
        </is>
      </c>
      <c r="V142" s="2" t="inlineStr">
        <is>
          <t>深度可調 47.4–53.5 公分（length_min/max 填深度範圍）；官網：附按壓裝置，請沿抽屜前端至後端縱向放置</t>
        </is>
      </c>
    </row>
    <row r="143">
      <c r="A143" s="2" t="inlineStr">
        <is>
          <t>IKEA-A029</t>
        </is>
      </c>
      <c r="B143" s="2" t="inlineStr">
        <is>
          <t>IKEA</t>
        </is>
      </c>
      <c r="C143" s="2" t="inlineStr">
        <is>
          <t>抽屜隔板</t>
        </is>
      </c>
      <c r="D143" s="2" t="inlineStr">
        <is>
          <t>UPPDATERA 置盤架 15-23 公分</t>
        </is>
      </c>
      <c r="E143" s="2" t="inlineStr">
        <is>
          <t>904.864.22</t>
        </is>
      </c>
      <c r="F143" s="2" t="n">
        <v>22.4</v>
      </c>
      <c r="G143" s="2" t="n">
        <v>29.9</v>
      </c>
      <c r="H143" s="2" t="n"/>
      <c r="I143" s="2" t="n"/>
      <c r="J143" s="2" t="n">
        <v>14.5</v>
      </c>
      <c r="K143" s="2" t="n"/>
      <c r="L143" s="2" t="n">
        <v>5</v>
      </c>
      <c r="M143" s="2" t="inlineStr">
        <is>
          <t>免安裝</t>
        </is>
      </c>
      <c r="N143" s="2" t="inlineStr">
        <is>
          <t>手把:鋼質, 粉末塗層；蓋板/ 背面表布:ABS塑膠；強化處理:鍍鋅鋼</t>
        </is>
      </c>
      <c r="O143" s="2" t="inlineStr">
        <is>
          <t>碳黑色</t>
        </is>
      </c>
      <c r="P143" s="2" t="n">
        <v>299</v>
      </c>
      <c r="Q143" s="2" t="inlineStr">
        <is>
          <t>2026-10-26</t>
        </is>
      </c>
      <c r="R143" s="3" t="inlineStr">
        <is>
          <t>https://www.ikea.com.tw/zh/products/kitchen-accessories/kitchen-interior-organisers/uppdatera-art-90486422</t>
        </is>
      </c>
      <c r="S143" s="2" t="inlineStr">
        <is>
          <t>官網</t>
        </is>
      </c>
      <c r="T143" s="2" t="inlineStr">
        <is>
          <t>high</t>
        </is>
      </c>
      <c r="U143" s="2" t="inlineStr">
        <is>
          <t>可放在抽屜裡或層架上</t>
        </is>
      </c>
      <c r="V143" s="2" t="inlineStr">
        <is>
          <t>抽屜用置盤架；寬度可調 22.4–29.9 公分；適用盤子直徑 15.1–23 公分</t>
        </is>
      </c>
    </row>
    <row r="144">
      <c r="A144" s="2" t="inlineStr">
        <is>
          <t>IKEA-A030</t>
        </is>
      </c>
      <c r="B144" s="2" t="inlineStr">
        <is>
          <t>IKEA</t>
        </is>
      </c>
      <c r="C144" s="2" t="inlineStr">
        <is>
          <t>抽屜隔板</t>
        </is>
      </c>
      <c r="D144" s="2" t="inlineStr">
        <is>
          <t>UPPDATERA 置盤架 19-31 公分</t>
        </is>
      </c>
      <c r="E144" s="2" t="inlineStr">
        <is>
          <t>704.864.23</t>
        </is>
      </c>
      <c r="F144" s="2" t="n">
        <v>26.4</v>
      </c>
      <c r="G144" s="2" t="n">
        <v>36.9</v>
      </c>
      <c r="H144" s="2" t="n"/>
      <c r="I144" s="2" t="n"/>
      <c r="J144" s="2" t="n">
        <v>14.6</v>
      </c>
      <c r="K144" s="2" t="n"/>
      <c r="L144" s="2" t="n">
        <v>10</v>
      </c>
      <c r="M144" s="2" t="inlineStr">
        <is>
          <t>免安裝</t>
        </is>
      </c>
      <c r="N144" s="2" t="inlineStr">
        <is>
          <t>手把:鋼質, 粉末塗層；蓋板/ 背面表布:ABS塑膠；強化處理:鍍鋅鋼</t>
        </is>
      </c>
      <c r="O144" s="2" t="inlineStr">
        <is>
          <t>碳黑色</t>
        </is>
      </c>
      <c r="P144" s="2" t="n">
        <v>349</v>
      </c>
      <c r="Q144" s="2" t="inlineStr">
        <is>
          <t>2026-10-26</t>
        </is>
      </c>
      <c r="R144" s="3" t="inlineStr">
        <is>
          <t>https://www.ikea.com.tw/zh/products/kitchen-accessories/kitchen-interior-organisers/uppdatera-art-70486423</t>
        </is>
      </c>
      <c r="S144" s="2" t="inlineStr">
        <is>
          <t>官網</t>
        </is>
      </c>
      <c r="T144" s="2" t="inlineStr">
        <is>
          <t>high</t>
        </is>
      </c>
      <c r="U144" s="2" t="inlineStr">
        <is>
          <t>可放在抽屜裡或層架上</t>
        </is>
      </c>
      <c r="V144" s="2" t="inlineStr">
        <is>
          <t>抽屜用置盤架；寬度可調 26.4–36.9 公分；適用盤子直徑 18.7–31 公分</t>
        </is>
      </c>
    </row>
    <row r="145">
      <c r="A145" s="2" t="inlineStr">
        <is>
          <t>IKEA-A031</t>
        </is>
      </c>
      <c r="B145" s="2" t="inlineStr">
        <is>
          <t>IKEA</t>
        </is>
      </c>
      <c r="C145" s="2" t="inlineStr">
        <is>
          <t>抽屜隔板</t>
        </is>
      </c>
      <c r="D145" s="2" t="inlineStr">
        <is>
          <t>VARIERA 鍋蓋架</t>
        </is>
      </c>
      <c r="E145" s="2" t="inlineStr">
        <is>
          <t>401.640.75</t>
        </is>
      </c>
      <c r="F145" s="2" t="n">
        <v>8.5</v>
      </c>
      <c r="G145" s="2" t="n">
        <v>50</v>
      </c>
      <c r="H145" s="2" t="n">
        <v>14.5</v>
      </c>
      <c r="I145" s="2" t="n"/>
      <c r="J145" s="2" t="n">
        <v>10</v>
      </c>
      <c r="K145" s="2" t="n"/>
      <c r="L145" s="2" t="n"/>
      <c r="M145" s="2" t="inlineStr">
        <is>
          <t>免安裝</t>
        </is>
      </c>
      <c r="N145" s="2" t="inlineStr">
        <is>
          <t>帶/ 墊圈/ 鉚釘/ 螺絲/ 扣針/ 嵌入螺帽:不鏽鋼；腳架:合成橡膠</t>
        </is>
      </c>
      <c r="O145" s="2" t="inlineStr">
        <is>
          <t>不鏽鋼</t>
        </is>
      </c>
      <c r="P145" s="2" t="n">
        <v>249</v>
      </c>
      <c r="Q145" s="2" t="inlineStr">
        <is>
          <t>2026-10-26</t>
        </is>
      </c>
      <c r="R145" s="3" t="inlineStr">
        <is>
          <t>https://www.ikea.com.tw/zh/products/kitchen-accessories/kitchen-interior-organisers/variera-art-40164075</t>
        </is>
      </c>
      <c r="S145" s="2" t="inlineStr">
        <is>
          <t>官網</t>
        </is>
      </c>
      <c r="T145" s="2" t="inlineStr">
        <is>
          <t>high</t>
        </is>
      </c>
      <c r="U145" s="2" t="inlineStr">
        <is>
          <t>散放在抽屜裡、層架上的鍋蓋經常浪費空間，而且很難找到你需要的蓋子；此鍋蓋架可整齊收納鍋蓋，方便尋找；可整齊收納鍋蓋，方便尋找</t>
        </is>
      </c>
      <c r="V145" s="2" t="inlineStr">
        <is>
          <t>鍋蓋架，長度可調 8.5–50 公分</t>
        </is>
      </c>
    </row>
    <row r="146">
      <c r="A146" s="2" t="inlineStr">
        <is>
          <t>IKEA-A032</t>
        </is>
      </c>
      <c r="B146" s="2" t="inlineStr">
        <is>
          <t>IKEA</t>
        </is>
      </c>
      <c r="C146" s="2" t="inlineStr">
        <is>
          <t>小型置物架</t>
        </is>
      </c>
      <c r="D146" s="2" t="inlineStr">
        <is>
          <t>VARIERA 隔板 32x13x16 公分</t>
        </is>
      </c>
      <c r="E146" s="2" t="inlineStr">
        <is>
          <t>701.777.26</t>
        </is>
      </c>
      <c r="F146" s="2" t="n"/>
      <c r="G146" s="2" t="n"/>
      <c r="H146" s="2" t="n">
        <v>32</v>
      </c>
      <c r="I146" s="2" t="n">
        <v>13</v>
      </c>
      <c r="J146" s="2" t="n">
        <v>16</v>
      </c>
      <c r="K146" s="2" t="n"/>
      <c r="L146" s="2" t="n"/>
      <c r="M146" s="2" t="inlineStr">
        <is>
          <t>免安裝</t>
        </is>
      </c>
      <c r="N146" s="2" t="inlineStr">
        <is>
          <t>鋼質, 環氧/聚酯粉末塗料</t>
        </is>
      </c>
      <c r="O146" s="2" t="inlineStr">
        <is>
          <t>白色</t>
        </is>
      </c>
      <c r="P146" s="2" t="n">
        <v>199</v>
      </c>
      <c r="Q146" s="2" t="inlineStr">
        <is>
          <t>2026-10-26</t>
        </is>
      </c>
      <c r="R146" s="3" t="inlineStr">
        <is>
          <t>https://www.ikea.com.tw/zh/products/boxes-and-organisers/organisers/variera-art-70177726</t>
        </is>
      </c>
      <c r="S146" s="2" t="inlineStr">
        <is>
          <t>官網</t>
        </is>
      </c>
      <c r="T146" s="2" t="inlineStr">
        <is>
          <t>high</t>
        </is>
      </c>
      <c r="U146" s="2" t="inlineStr">
        <is>
          <t>可放在層板上，增加儲物空間，收納杯子、碗和調味罐；適用於任何廚房，不論新舊，都能創造更多儲物空間</t>
        </is>
      </c>
      <c r="V146" s="2" t="inlineStr">
        <is>
          <t>櫥櫃內層板加高架；附螺絲，可連接2片或多片VARIERA嵌入式層板</t>
        </is>
      </c>
    </row>
    <row r="147">
      <c r="A147" s="2" t="inlineStr">
        <is>
          <t>IKEA-A033</t>
        </is>
      </c>
      <c r="B147" s="2" t="inlineStr">
        <is>
          <t>IKEA</t>
        </is>
      </c>
      <c r="C147" s="2" t="inlineStr">
        <is>
          <t>小型置物架</t>
        </is>
      </c>
      <c r="D147" s="2" t="inlineStr">
        <is>
          <t>VARIERA 隔板 32x28x16 公分</t>
        </is>
      </c>
      <c r="E147" s="2" t="inlineStr">
        <is>
          <t>501.777.27</t>
        </is>
      </c>
      <c r="F147" s="2" t="n"/>
      <c r="G147" s="2" t="n"/>
      <c r="H147" s="2" t="n">
        <v>32</v>
      </c>
      <c r="I147" s="2" t="n">
        <v>28</v>
      </c>
      <c r="J147" s="2" t="n">
        <v>16</v>
      </c>
      <c r="K147" s="2" t="n"/>
      <c r="L147" s="2" t="n"/>
      <c r="M147" s="2" t="inlineStr">
        <is>
          <t>免安裝</t>
        </is>
      </c>
      <c r="N147" s="2" t="inlineStr">
        <is>
          <t>鋼質, 環氧/聚酯粉末塗料</t>
        </is>
      </c>
      <c r="O147" s="2" t="inlineStr">
        <is>
          <t>白色</t>
        </is>
      </c>
      <c r="P147" s="2" t="n">
        <v>249</v>
      </c>
      <c r="Q147" s="2" t="inlineStr">
        <is>
          <t>2026-10-26</t>
        </is>
      </c>
      <c r="R147" s="3" t="inlineStr">
        <is>
          <t>https://www.ikea.com.tw/zh/products/boxes-and-organisers/organisers/variera-art-50177727</t>
        </is>
      </c>
      <c r="S147" s="2" t="inlineStr">
        <is>
          <t>官網</t>
        </is>
      </c>
      <c r="T147" s="2" t="inlineStr">
        <is>
          <t>high</t>
        </is>
      </c>
      <c r="U147" s="2" t="inlineStr">
        <is>
          <t>可放在層板上，增加儲物空間，收納杯子、碗和調味罐；適用於任何廚房，不論新舊，都能創造更多儲物空間</t>
        </is>
      </c>
      <c r="V147" s="2" t="inlineStr">
        <is>
          <t>櫥櫃內層板加高架；附螺絲，可連接2片或多片VARIERA嵌入式層板</t>
        </is>
      </c>
    </row>
    <row r="148">
      <c r="A148" s="2" t="inlineStr">
        <is>
          <t>IKEA-A034</t>
        </is>
      </c>
      <c r="B148" s="2" t="inlineStr">
        <is>
          <t>IKEA</t>
        </is>
      </c>
      <c r="C148" s="2" t="inlineStr">
        <is>
          <t>小型置物架</t>
        </is>
      </c>
      <c r="D148" s="2" t="inlineStr">
        <is>
          <t>VARIERA 隔板 45.5x14x16 公分</t>
        </is>
      </c>
      <c r="E148" s="2" t="inlineStr">
        <is>
          <t>105.361.62</t>
        </is>
      </c>
      <c r="F148" s="2" t="n"/>
      <c r="G148" s="2" t="n"/>
      <c r="H148" s="2" t="n">
        <v>45.5</v>
      </c>
      <c r="I148" s="2" t="n">
        <v>14</v>
      </c>
      <c r="J148" s="2" t="n">
        <v>16</v>
      </c>
      <c r="K148" s="2" t="n"/>
      <c r="L148" s="2" t="n"/>
      <c r="M148" s="2" t="inlineStr">
        <is>
          <t>免安裝</t>
        </is>
      </c>
      <c r="N148" s="2" t="inlineStr">
        <is>
          <t>鋼質, 環氧/聚酯粉末塗料</t>
        </is>
      </c>
      <c r="O148" s="2" t="inlineStr">
        <is>
          <t>白色</t>
        </is>
      </c>
      <c r="P148" s="2" t="n">
        <v>249</v>
      </c>
      <c r="Q148" s="2" t="inlineStr">
        <is>
          <t>2026-10-26</t>
        </is>
      </c>
      <c r="R148" s="3" t="inlineStr">
        <is>
          <t>https://www.ikea.com.tw/zh/products/boxes-and-organisers/organisers/variera-art-10536162</t>
        </is>
      </c>
      <c r="S148" s="2" t="inlineStr">
        <is>
          <t>官網</t>
        </is>
      </c>
      <c r="T148" s="2" t="inlineStr">
        <is>
          <t>high</t>
        </is>
      </c>
      <c r="U148" s="2" t="inlineStr">
        <is>
          <t>適用於任何廚房，不論新舊，都能創造更多儲物空間；把淺層層架插板放在較深的插板上面，你可以清楚看到廚櫃放置的物品</t>
        </is>
      </c>
      <c r="V148" s="2" t="inlineStr">
        <is>
          <t>櫥櫃內層板加高架</t>
        </is>
      </c>
    </row>
    <row r="149">
      <c r="A149" s="2" t="inlineStr">
        <is>
          <t>IKEA-A035</t>
        </is>
      </c>
      <c r="B149" s="2" t="inlineStr">
        <is>
          <t>IKEA</t>
        </is>
      </c>
      <c r="C149" s="2" t="inlineStr">
        <is>
          <t>小型置物架</t>
        </is>
      </c>
      <c r="D149" s="2" t="inlineStr">
        <is>
          <t>VARIERA 隔板 45.5x29x16 公分</t>
        </is>
      </c>
      <c r="E149" s="2" t="inlineStr">
        <is>
          <t>505.361.60</t>
        </is>
      </c>
      <c r="F149" s="2" t="n"/>
      <c r="G149" s="2" t="n"/>
      <c r="H149" s="2" t="n">
        <v>45.5</v>
      </c>
      <c r="I149" s="2" t="n">
        <v>29</v>
      </c>
      <c r="J149" s="2" t="n">
        <v>16</v>
      </c>
      <c r="K149" s="2" t="n"/>
      <c r="L149" s="2" t="n"/>
      <c r="M149" s="2" t="inlineStr">
        <is>
          <t>免安裝</t>
        </is>
      </c>
      <c r="N149" s="2" t="inlineStr">
        <is>
          <t>鋼質, 環氧/聚酯粉末塗料</t>
        </is>
      </c>
      <c r="O149" s="2" t="inlineStr">
        <is>
          <t>白色</t>
        </is>
      </c>
      <c r="P149" s="2" t="n">
        <v>329</v>
      </c>
      <c r="Q149" s="2" t="inlineStr">
        <is>
          <t>2026-10-26</t>
        </is>
      </c>
      <c r="R149" s="3" t="inlineStr">
        <is>
          <t>https://www.ikea.com.tw/zh/products/boxes-and-organisers/organisers/variera-art-50536160</t>
        </is>
      </c>
      <c r="S149" s="2" t="inlineStr">
        <is>
          <t>官網</t>
        </is>
      </c>
      <c r="T149" s="2" t="inlineStr">
        <is>
          <t>high</t>
        </is>
      </c>
      <c r="U149" s="2" t="inlineStr">
        <is>
          <t>適用於任何廚房，不論新舊，都能創造更多儲物空間；把淺層層架插板放在較深的插板上面，你可以清楚看到廚櫃放置的物品</t>
        </is>
      </c>
      <c r="V149" s="2" t="inlineStr">
        <is>
          <t>櫥櫃內層板加高架</t>
        </is>
      </c>
    </row>
    <row r="150">
      <c r="A150" s="2" t="inlineStr">
        <is>
          <t>IKEA-A036</t>
        </is>
      </c>
      <c r="B150" s="2" t="inlineStr">
        <is>
          <t>IKEA</t>
        </is>
      </c>
      <c r="C150" s="2" t="inlineStr">
        <is>
          <t>小型置物架</t>
        </is>
      </c>
      <c r="D150" s="2" t="inlineStr">
        <is>
          <t>PÅLYCKE 夾式多用途置物架</t>
        </is>
      </c>
      <c r="E150" s="2" t="inlineStr">
        <is>
          <t>305.344.16</t>
        </is>
      </c>
      <c r="F150" s="2" t="n"/>
      <c r="G150" s="2" t="n"/>
      <c r="H150" s="2" t="n"/>
      <c r="I150" s="2" t="n">
        <v>32</v>
      </c>
      <c r="J150" s="2" t="n"/>
      <c r="K150" s="2" t="n"/>
      <c r="L150" s="2" t="n">
        <v>0.7</v>
      </c>
      <c r="M150" s="2" t="inlineStr">
        <is>
          <t>夾式</t>
        </is>
      </c>
      <c r="N150" s="2" t="inlineStr">
        <is>
          <t>基本材質:鋼質, 粉末塗層；防護裝置:EVA塑膠</t>
        </is>
      </c>
      <c r="O150" s="2" t="inlineStr">
        <is>
          <t>碳黑色</t>
        </is>
      </c>
      <c r="P150" s="2" t="n">
        <v>99</v>
      </c>
      <c r="Q150" s="2" t="inlineStr">
        <is>
          <t>2026-10-26</t>
        </is>
      </c>
      <c r="R150" s="3" t="inlineStr">
        <is>
          <t>https://www.ikea.com.tw/zh/products/boxes-and-organisers/organisers/palycke-art-30534416</t>
        </is>
      </c>
      <c r="S150" s="2" t="inlineStr">
        <is>
          <t>官網</t>
        </is>
      </c>
      <c r="T150" s="2" t="inlineStr">
        <is>
          <t>high</t>
        </is>
      </c>
      <c r="U150" s="2" t="inlineStr">
        <is>
          <t>讓你盡量善用櫃內和櫃底層架的空間進行收納</t>
        </is>
      </c>
      <c r="V150" s="2" t="inlineStr">
        <is>
          <t>夾在厚度16-20公釐的層板上，無需鑽孔；空間足夠放3個酒杯或1卷廚房紙；各色商品編號：品名未標顏色=305.344.16、碳黑色=306.051.35</t>
        </is>
      </c>
    </row>
    <row r="151">
      <c r="A151" s="2" t="inlineStr">
        <is>
          <t>IKEA-A037</t>
        </is>
      </c>
      <c r="B151" s="2" t="inlineStr">
        <is>
          <t>IKEA</t>
        </is>
      </c>
      <c r="C151" s="2" t="inlineStr">
        <is>
          <t>掛勾</t>
        </is>
      </c>
      <c r="D151" s="2" t="inlineStr">
        <is>
          <t>KUNGSFORS S形掛鉤</t>
        </is>
      </c>
      <c r="E151" s="2" t="inlineStr">
        <is>
          <t>703.349.29</t>
        </is>
      </c>
      <c r="F151" s="2" t="n"/>
      <c r="G151" s="2" t="n"/>
      <c r="H151" s="2" t="n"/>
      <c r="I151" s="2" t="n"/>
      <c r="J151" s="2" t="n">
        <v>6</v>
      </c>
      <c r="K151" s="2" t="n"/>
      <c r="L151" s="2" t="n">
        <v>4</v>
      </c>
      <c r="M151" s="2" t="inlineStr">
        <is>
          <t>掛於壁掛桿</t>
        </is>
      </c>
      <c r="N151" s="2" t="inlineStr">
        <is>
          <t>不鏽鋼</t>
        </is>
      </c>
      <c r="O151" s="2" t="inlineStr">
        <is>
          <t>不鏽鋼</t>
        </is>
      </c>
      <c r="P151" s="2" t="n"/>
      <c r="Q151" s="2" t="inlineStr">
        <is>
          <t>2026-10-26</t>
        </is>
      </c>
      <c r="R151" s="3" t="inlineStr">
        <is>
          <t>https://www.ikea.com.tw/zh/products/wall-organisers/boards-and-wall-organisers/kungsfors-art-70334929</t>
        </is>
      </c>
      <c r="S151" s="2" t="inlineStr">
        <is>
          <t>官網</t>
        </is>
      </c>
      <c r="T151" s="2" t="inlineStr">
        <is>
          <t>high</t>
        </is>
      </c>
      <c r="U151" s="2" t="inlineStr">
        <is>
          <t>適用於濕度高的地方</t>
        </is>
      </c>
      <c r="V151" s="2" t="inlineStr">
        <is>
          <t>SET:703.349.29|59|5|5; S 鉤；可掛在KUNGSFORS壁掛桿上；耐重欄位為「掛鉤最大承重量」</t>
        </is>
      </c>
    </row>
    <row r="152">
      <c r="A152" s="2" t="inlineStr">
        <is>
          <t>IKEA-A038</t>
        </is>
      </c>
      <c r="B152" s="2" t="inlineStr">
        <is>
          <t>IKEA</t>
        </is>
      </c>
      <c r="C152" s="2" t="inlineStr">
        <is>
          <t>掛勾</t>
        </is>
      </c>
      <c r="D152" s="2" t="inlineStr">
        <is>
          <t>NEREBY S形掛鉤</t>
        </is>
      </c>
      <c r="E152" s="2" t="inlineStr">
        <is>
          <t>004.763.52</t>
        </is>
      </c>
      <c r="F152" s="2" t="n"/>
      <c r="G152" s="2" t="n"/>
      <c r="H152" s="2" t="n"/>
      <c r="I152" s="2" t="n"/>
      <c r="J152" s="2" t="n"/>
      <c r="K152" s="2" t="n"/>
      <c r="L152" s="2" t="n">
        <v>4</v>
      </c>
      <c r="M152" s="2" t="inlineStr">
        <is>
          <t>掛於壁掛桿</t>
        </is>
      </c>
      <c r="N152" s="2" t="inlineStr">
        <is>
          <t>鋼質, 鍍鋅, 粉末塗層</t>
        </is>
      </c>
      <c r="O152" s="2" t="inlineStr">
        <is>
          <t>白色</t>
        </is>
      </c>
      <c r="P152" s="2" t="n"/>
      <c r="Q152" s="2" t="inlineStr">
        <is>
          <t>2026-10-26</t>
        </is>
      </c>
      <c r="R152" s="3" t="inlineStr">
        <is>
          <t>https://www.ikea.com.tw/zh/products/wall-organisers/boards-and-wall-organisers/nereby-art-00476352</t>
        </is>
      </c>
      <c r="S152" s="2" t="inlineStr">
        <is>
          <t>官網</t>
        </is>
      </c>
      <c r="T152" s="2" t="inlineStr">
        <is>
          <t>high</t>
        </is>
      </c>
      <c r="U152" s="2" t="inlineStr"/>
      <c r="V152" s="2" t="inlineStr">
        <is>
          <t>SET:004.763.52|79|5|5; S 鉤；兩端高度 8 / 11 公分；與NEREBY掛桿配合使用；耐重欄位為「掛鉤最大承重量」</t>
        </is>
      </c>
    </row>
    <row r="153">
      <c r="A153" s="2" t="inlineStr">
        <is>
          <t>IKEA-A039</t>
        </is>
      </c>
      <c r="B153" s="2" t="inlineStr">
        <is>
          <t>IKEA</t>
        </is>
      </c>
      <c r="C153" s="2" t="inlineStr">
        <is>
          <t>掛勾</t>
        </is>
      </c>
      <c r="D153" s="2" t="inlineStr">
        <is>
          <t>KUNGSFORS 掛鉤</t>
        </is>
      </c>
      <c r="E153" s="2" t="inlineStr">
        <is>
          <t>503.796.93</t>
        </is>
      </c>
      <c r="F153" s="2" t="n"/>
      <c r="G153" s="2" t="n"/>
      <c r="H153" s="2" t="n"/>
      <c r="I153" s="2" t="n">
        <v>10</v>
      </c>
      <c r="J153" s="2" t="n">
        <v>8</v>
      </c>
      <c r="K153" s="2" t="n"/>
      <c r="L153" s="2" t="n">
        <v>4</v>
      </c>
      <c r="M153" s="2" t="inlineStr">
        <is>
          <t>掛於壁掛桿</t>
        </is>
      </c>
      <c r="N153" s="2" t="inlineStr">
        <is>
          <t>不鏽鋼</t>
        </is>
      </c>
      <c r="O153" s="2" t="inlineStr">
        <is>
          <t>不鏽鋼</t>
        </is>
      </c>
      <c r="P153" s="2" t="n"/>
      <c r="Q153" s="2" t="inlineStr">
        <is>
          <t>2026-10-26</t>
        </is>
      </c>
      <c r="R153" s="3" t="inlineStr">
        <is>
          <t>https://www.ikea.com.tw/zh/products/wall-organisers/boards-and-wall-organisers/kungsfors-art-50379693</t>
        </is>
      </c>
      <c r="S153" s="2" t="inlineStr">
        <is>
          <t>官網</t>
        </is>
      </c>
      <c r="T153" s="2" t="inlineStr">
        <is>
          <t>high</t>
        </is>
      </c>
      <c r="U153" s="2" t="inlineStr">
        <is>
          <t>適用於濕度高的地方；簡約造型，同一個掛鉤可懸掛多個廚具，讓你更有效地收納，騰出更多檯面空間</t>
        </is>
      </c>
      <c r="V153" s="2" t="inlineStr">
        <is>
          <t>SET:503.796.93|79|3|3; 可掛在KUNGSFORS壁掛桿上；耐重欄位為「掛鉤最大承重量」</t>
        </is>
      </c>
    </row>
    <row r="154">
      <c r="A154" s="2" t="inlineStr">
        <is>
          <t>IKEA-A040</t>
        </is>
      </c>
      <c r="B154" s="2" t="inlineStr">
        <is>
          <t>IKEA</t>
        </is>
      </c>
      <c r="C154" s="2" t="inlineStr">
        <is>
          <t>掛勾</t>
        </is>
      </c>
      <c r="D154" s="2" t="inlineStr">
        <is>
          <t>HULTARP 掛鉤 7 公分</t>
        </is>
      </c>
      <c r="E154" s="2" t="inlineStr">
        <is>
          <t>304.488.38</t>
        </is>
      </c>
      <c r="F154" s="2" t="n"/>
      <c r="G154" s="2" t="n"/>
      <c r="H154" s="2" t="n">
        <v>1.8</v>
      </c>
      <c r="I154" s="2" t="n">
        <v>4.9</v>
      </c>
      <c r="J154" s="2" t="n">
        <v>7</v>
      </c>
      <c r="K154" s="2" t="n"/>
      <c r="L154" s="2" t="n">
        <v>4</v>
      </c>
      <c r="M154" s="2" t="inlineStr">
        <is>
          <t>掛於壁掛桿</t>
        </is>
      </c>
      <c r="N154" s="2" t="inlineStr">
        <is>
          <t>鋼質, 鍍鎳, 透明漆</t>
        </is>
      </c>
      <c r="O154" s="2" t="inlineStr">
        <is>
          <t>鍍鎳/黑色/光澤+黃銅色</t>
        </is>
      </c>
      <c r="P154" s="2" t="n"/>
      <c r="Q154" s="2" t="inlineStr">
        <is>
          <t>2026-10-26</t>
        </is>
      </c>
      <c r="R154" s="3" t="inlineStr">
        <is>
          <t>https://www.ikea.com.tw/zh/products/wall-organisers/boards-and-wall-organisers/hultarp-art-30448838</t>
        </is>
      </c>
      <c r="S154" s="2" t="inlineStr">
        <is>
          <t>官網</t>
        </is>
      </c>
      <c r="T154" s="2" t="inlineStr">
        <is>
          <t>high</t>
        </is>
      </c>
      <c r="U154" s="2" t="inlineStr"/>
      <c r="V154" s="2" t="inlineStr">
        <is>
          <t>SET:304.488.38|79|5|5; 可掛在HULTARP掛桿上；耐重欄位為「掛鉤最大承重量」；各色商品編號：鍍鎳=304.488.38、黑色=904.444.46、光澤+黃銅色=904.487.79；售價依顏色不同：鍍鎳 79、黑色 79、光澤+黃銅色 129；SET 標記以第一個顏色商品編號與價格計</t>
        </is>
      </c>
    </row>
    <row r="155">
      <c r="A155" s="2" t="inlineStr">
        <is>
          <t>IKEA-A041</t>
        </is>
      </c>
      <c r="B155" s="2" t="inlineStr">
        <is>
          <t>IKEA</t>
        </is>
      </c>
      <c r="C155" s="2" t="inlineStr">
        <is>
          <t>掛勾</t>
        </is>
      </c>
      <c r="D155" s="2" t="inlineStr">
        <is>
          <t>SUNNERSTA 掛鉤</t>
        </is>
      </c>
      <c r="E155" s="2" t="inlineStr">
        <is>
          <t>203.037.27</t>
        </is>
      </c>
      <c r="F155" s="2" t="n"/>
      <c r="G155" s="2" t="n"/>
      <c r="H155" s="2" t="n"/>
      <c r="I155" s="2" t="n"/>
      <c r="J155" s="2" t="n"/>
      <c r="K155" s="2" t="n"/>
      <c r="L155" s="2" t="n"/>
      <c r="M155" s="2" t="inlineStr">
        <is>
          <t>掛於壁掛桿</t>
        </is>
      </c>
      <c r="N155" s="2" t="inlineStr">
        <is>
          <t>ABS塑膠</t>
        </is>
      </c>
      <c r="O155" s="2" t="inlineStr"/>
      <c r="P155" s="2" t="n"/>
      <c r="Q155" s="2" t="inlineStr">
        <is>
          <t>2026-10-26</t>
        </is>
      </c>
      <c r="R155" s="3" t="inlineStr">
        <is>
          <t>https://www.ikea.com.tw/zh/products/wall-organisers/boards-and-wall-organisers/sunnersta-art-20303727</t>
        </is>
      </c>
      <c r="S155" s="2" t="inlineStr">
        <is>
          <t>官網</t>
        </is>
      </c>
      <c r="T155" s="2" t="inlineStr">
        <is>
          <t>high</t>
        </is>
      </c>
      <c r="U155" s="2" t="inlineStr">
        <is>
          <t>適用於濕度高的地方；適用於SUNNERSTA壁掛桿、推車和簡易廚房</t>
        </is>
      </c>
      <c r="V155" s="2" t="inlineStr">
        <is>
          <t>SET:203.037.27|19|5|5; 適用於SUNNERSTA壁掛桿、推車和簡易廚房</t>
        </is>
      </c>
    </row>
    <row r="156">
      <c r="A156" s="2" t="inlineStr">
        <is>
          <t>IKEA-A042</t>
        </is>
      </c>
      <c r="B156" s="2" t="inlineStr">
        <is>
          <t>IKEA</t>
        </is>
      </c>
      <c r="C156" s="2" t="inlineStr">
        <is>
          <t>掛勾</t>
        </is>
      </c>
      <c r="D156" s="2" t="inlineStr">
        <is>
          <t>ENHET 掛鉤 6x24 公厘</t>
        </is>
      </c>
      <c r="E156" s="2" t="inlineStr">
        <is>
          <t>804.817.74</t>
        </is>
      </c>
      <c r="F156" s="2" t="n"/>
      <c r="G156" s="2" t="n"/>
      <c r="H156" s="2" t="n">
        <v>0.6</v>
      </c>
      <c r="I156" s="2" t="n">
        <v>2.4</v>
      </c>
      <c r="J156" s="2" t="n"/>
      <c r="K156" s="2" t="n"/>
      <c r="L156" s="2" t="n">
        <v>3.2</v>
      </c>
      <c r="M156" s="2" t="inlineStr">
        <is>
          <t>掛於ENHET框架或掛桿</t>
        </is>
      </c>
      <c r="N156" s="2" t="inlineStr">
        <is>
          <t>不鏽鋼, 粉末塗層</t>
        </is>
      </c>
      <c r="O156" s="2" t="inlineStr">
        <is>
          <t>白色/碳黑色</t>
        </is>
      </c>
      <c r="P156" s="2" t="n"/>
      <c r="Q156" s="2" t="inlineStr">
        <is>
          <t>2026-10-26</t>
        </is>
      </c>
      <c r="R156" s="3" t="inlineStr">
        <is>
          <t>https://www.ikea.com.tw/zh/products/bathroom-accessories/bathroom-towel-solutions/enhet-art-80481774</t>
        </is>
      </c>
      <c r="S156" s="2" t="inlineStr">
        <is>
          <t>官網</t>
        </is>
      </c>
      <c r="T156" s="2" t="inlineStr">
        <is>
          <t>high</t>
        </is>
      </c>
      <c r="U156" s="2" t="inlineStr">
        <is>
          <t>可收納從廚房用具和廚用擦巾到飾物和浴袍等任何物品</t>
        </is>
      </c>
      <c r="V156" s="2" t="inlineStr">
        <is>
          <t>SET:804.817.74|50|2|2; 搭配掛上ENHET框架的溝槽或ENHET掛桿(需另購)；官網另標示長度 5 公分；耐重欄位為「掛鉤最大承重量」；各色商品編號：白色=804.817.74、碳黑色=004.817.73；SET 標記以第一個顏色商品編號與價格計</t>
        </is>
      </c>
    </row>
    <row r="157">
      <c r="A157" s="2" t="inlineStr">
        <is>
          <t>IKEA-A043</t>
        </is>
      </c>
      <c r="B157" s="2" t="inlineStr">
        <is>
          <t>IKEA</t>
        </is>
      </c>
      <c r="C157" s="2" t="inlineStr">
        <is>
          <t>掛勾</t>
        </is>
      </c>
      <c r="D157" s="2" t="inlineStr">
        <is>
          <t>BROGRUND 門後掛勾</t>
        </is>
      </c>
      <c r="E157" s="2" t="inlineStr">
        <is>
          <t>903.285.45</t>
        </is>
      </c>
      <c r="F157" s="2" t="n"/>
      <c r="G157" s="2" t="n"/>
      <c r="H157" s="2" t="n">
        <v>29</v>
      </c>
      <c r="I157" s="2" t="n"/>
      <c r="J157" s="2" t="n">
        <v>14</v>
      </c>
      <c r="K157" s="2" t="n"/>
      <c r="L157" s="2" t="n"/>
      <c r="M157" s="2" t="inlineStr">
        <is>
          <t>掛門＋螺絲</t>
        </is>
      </c>
      <c r="N157" s="2" t="inlineStr">
        <is>
          <t>掛鉤/ 掛勾/ 鉚釘:不鏽鋼；保護墊:EVA塑膠</t>
        </is>
      </c>
      <c r="O157" s="2" t="inlineStr">
        <is>
          <t>不鏽鋼</t>
        </is>
      </c>
      <c r="P157" s="2" t="n">
        <v>229</v>
      </c>
      <c r="Q157" s="2" t="inlineStr">
        <is>
          <t>2026-10-26</t>
        </is>
      </c>
      <c r="R157" s="3" t="inlineStr">
        <is>
          <t>https://www.ikea.com.tw/zh/products/bathroom-accessories/bathroom-towel-solutions/brogrund-art-90328545</t>
        </is>
      </c>
      <c r="S157" s="2" t="inlineStr">
        <is>
          <t>官網</t>
        </is>
      </c>
      <c r="T157" s="2" t="inlineStr">
        <is>
          <t>high</t>
        </is>
      </c>
      <c r="U157" s="2" t="inlineStr"/>
      <c r="V157" s="2" t="inlineStr">
        <is>
          <t>門後掛勾；官網：可掛在門上，需用螺絲固定；門板厚度 4 公分</t>
        </is>
      </c>
    </row>
    <row r="158">
      <c r="A158" s="2" t="inlineStr">
        <is>
          <t>IKEA-A044</t>
        </is>
      </c>
      <c r="B158" s="2" t="inlineStr">
        <is>
          <t>IKEA</t>
        </is>
      </c>
      <c r="C158" s="2" t="inlineStr">
        <is>
          <t>掛勾</t>
        </is>
      </c>
      <c r="D158" s="2" t="inlineStr">
        <is>
          <t>ENUDDEN 門後掛勾</t>
        </is>
      </c>
      <c r="E158" s="2" t="inlineStr">
        <is>
          <t>402.516.66</t>
        </is>
      </c>
      <c r="F158" s="2" t="n"/>
      <c r="G158" s="2" t="n"/>
      <c r="H158" s="2" t="n">
        <v>35</v>
      </c>
      <c r="I158" s="2" t="n"/>
      <c r="J158" s="2" t="n">
        <v>13</v>
      </c>
      <c r="K158" s="2" t="n"/>
      <c r="L158" s="2" t="n"/>
      <c r="M158" s="2" t="inlineStr">
        <is>
          <t>掛門＋螺絲</t>
        </is>
      </c>
      <c r="N158" s="2" t="inlineStr">
        <is>
          <t>金屬配件/ 把手:鋼質, 粉末塗層；保護裝置:EVA塑膠</t>
        </is>
      </c>
      <c r="O158" s="2" t="inlineStr">
        <is>
          <t>白色</t>
        </is>
      </c>
      <c r="P158" s="2" t="n">
        <v>99</v>
      </c>
      <c r="Q158" s="2" t="inlineStr">
        <is>
          <t>2026-10-26</t>
        </is>
      </c>
      <c r="R158" s="3" t="inlineStr">
        <is>
          <t>https://www.ikea.com.tw/zh/products/bathroom-accessories/bathroom-towel-solutions/enudden-art-40251666</t>
        </is>
      </c>
      <c r="S158" s="2" t="inlineStr">
        <is>
          <t>官網</t>
        </is>
      </c>
      <c r="T158" s="2" t="inlineStr">
        <is>
          <t>high</t>
        </is>
      </c>
      <c r="U158" s="2" t="inlineStr"/>
      <c r="V158" s="2" t="inlineStr">
        <is>
          <t>門後掛勾；官網：可掛在門上，需用螺絲固定；門板厚度 4 公分</t>
        </is>
      </c>
    </row>
    <row r="159">
      <c r="A159" s="2" t="inlineStr">
        <is>
          <t>IKEA-A045</t>
        </is>
      </c>
      <c r="B159" s="2" t="inlineStr">
        <is>
          <t>IKEA</t>
        </is>
      </c>
      <c r="C159" s="2" t="inlineStr">
        <is>
          <t>掛勾</t>
        </is>
      </c>
      <c r="D159" s="2" t="inlineStr">
        <is>
          <t>VALASJÖN 門後掛勾</t>
        </is>
      </c>
      <c r="E159" s="2" t="inlineStr">
        <is>
          <t>506.199.47</t>
        </is>
      </c>
      <c r="F159" s="2" t="n"/>
      <c r="G159" s="2" t="n"/>
      <c r="H159" s="2" t="n">
        <v>34</v>
      </c>
      <c r="I159" s="2" t="n"/>
      <c r="J159" s="2" t="n">
        <v>13</v>
      </c>
      <c r="K159" s="2" t="n"/>
      <c r="L159" s="2" t="n"/>
      <c r="M159" s="2" t="inlineStr">
        <is>
          <t>掛門</t>
        </is>
      </c>
      <c r="N159" s="2" t="inlineStr">
        <is>
          <t>鋼質, 粉末塗層</t>
        </is>
      </c>
      <c r="O159" s="2" t="inlineStr"/>
      <c r="P159" s="2" t="n">
        <v>179</v>
      </c>
      <c r="Q159" s="2" t="inlineStr">
        <is>
          <t>2026-10-26</t>
        </is>
      </c>
      <c r="R159" s="3" t="inlineStr">
        <is>
          <t>https://www.ikea.com.tw/zh/products/bathroom-accessories/bathroom-towel-solutions/valasjon-art-50619947</t>
        </is>
      </c>
      <c r="S159" s="2" t="inlineStr">
        <is>
          <t>官網</t>
        </is>
      </c>
      <c r="T159" s="2" t="inlineStr">
        <is>
          <t>high</t>
        </is>
      </c>
      <c r="U159" s="2" t="inlineStr">
        <is>
          <t>將它掛在門頂邊緣，善用空間，變成收納袋子、毛巾或浴袍的好地方；適用於厚度不超過4公分的門板</t>
        </is>
      </c>
      <c r="V159" s="2" t="inlineStr">
        <is>
          <t>門後掛勾；適用於厚度不超過4公分的門板</t>
        </is>
      </c>
    </row>
    <row r="160">
      <c r="A160" s="2" t="inlineStr">
        <is>
          <t>IKEA-A046</t>
        </is>
      </c>
      <c r="B160" s="2" t="inlineStr">
        <is>
          <t>IKEA</t>
        </is>
      </c>
      <c r="C160" s="2" t="inlineStr">
        <is>
          <t>掛勾</t>
        </is>
      </c>
      <c r="D160" s="2" t="inlineStr">
        <is>
          <t>LILLÅNGEN 門後掛勾</t>
        </is>
      </c>
      <c r="E160" s="2" t="inlineStr">
        <is>
          <t>901.976.72</t>
        </is>
      </c>
      <c r="F160" s="2" t="n"/>
      <c r="G160" s="2" t="n"/>
      <c r="H160" s="2" t="n">
        <v>1.5</v>
      </c>
      <c r="I160" s="2" t="n">
        <v>4.5</v>
      </c>
      <c r="J160" s="2" t="n">
        <v>8.300000000000001</v>
      </c>
      <c r="K160" s="2" t="n"/>
      <c r="L160" s="2" t="n"/>
      <c r="M160" s="2" t="inlineStr">
        <is>
          <t>掛門</t>
        </is>
      </c>
      <c r="N160" s="2" t="inlineStr">
        <is>
          <t>基本材質:不鏽鋼；保護墊:EVA塑膠</t>
        </is>
      </c>
      <c r="O160" s="2" t="inlineStr">
        <is>
          <t>不鏽鋼</t>
        </is>
      </c>
      <c r="P160" s="2" t="n"/>
      <c r="Q160" s="2" t="inlineStr">
        <is>
          <t>2026-10-26</t>
        </is>
      </c>
      <c r="R160" s="3" t="inlineStr">
        <is>
          <t>https://www.ikea.com.tw/zh/products/bathroom-accessories/bathroom-towel-solutions/lillangen-art-90197672</t>
        </is>
      </c>
      <c r="S160" s="2" t="inlineStr">
        <is>
          <t>官網</t>
        </is>
      </c>
      <c r="T160" s="2" t="inlineStr">
        <is>
          <t>high</t>
        </is>
      </c>
      <c r="U160" s="2" t="inlineStr">
        <is>
          <t>適合小空間使用</t>
        </is>
      </c>
      <c r="V160" s="2" t="inlineStr">
        <is>
          <t>SET:901.976.72|49|2|2; 門後掛勾；適用厚度2公分門板</t>
        </is>
      </c>
    </row>
    <row r="161">
      <c r="A161" s="2" t="inlineStr">
        <is>
          <t>IKEA-A047</t>
        </is>
      </c>
      <c r="B161" s="2" t="inlineStr">
        <is>
          <t>IKEA</t>
        </is>
      </c>
      <c r="C161" s="2" t="inlineStr">
        <is>
          <t>掛勾</t>
        </is>
      </c>
      <c r="D161" s="2" t="inlineStr">
        <is>
          <t>SEKINER 門掛式掛鉤</t>
        </is>
      </c>
      <c r="E161" s="2" t="inlineStr">
        <is>
          <t>004.981.13</t>
        </is>
      </c>
      <c r="F161" s="2" t="n"/>
      <c r="G161" s="2" t="n"/>
      <c r="H161" s="2" t="n">
        <v>2.5</v>
      </c>
      <c r="I161" s="2" t="n">
        <v>6.5</v>
      </c>
      <c r="J161" s="2" t="n">
        <v>9</v>
      </c>
      <c r="K161" s="2" t="n"/>
      <c r="L161" s="2" t="n"/>
      <c r="M161" s="2" t="inlineStr">
        <is>
          <t>掛門</t>
        </is>
      </c>
      <c r="N161" s="2" t="inlineStr">
        <is>
          <t>鋼質, 粉末塗層</t>
        </is>
      </c>
      <c r="O161" s="2" t="inlineStr">
        <is>
          <t>白色</t>
        </is>
      </c>
      <c r="P161" s="2" t="n">
        <v>29</v>
      </c>
      <c r="Q161" s="2" t="inlineStr">
        <is>
          <t>2026-10-26</t>
        </is>
      </c>
      <c r="R161" s="3" t="inlineStr">
        <is>
          <t>https://www.ikea.com.tw/zh/products/wall-organisers/hooks/sekiner-art-00498113</t>
        </is>
      </c>
      <c r="S161" s="2" t="inlineStr">
        <is>
          <t>官網</t>
        </is>
      </c>
      <c r="T161" s="2" t="inlineStr">
        <is>
          <t>high</t>
        </is>
      </c>
      <c r="U161" s="2" t="inlineStr">
        <is>
          <t>適用於浴室和室內其他潮濕地方；可掛在門上，善用門後空間，掛起手提包、毛巾或浴袍</t>
        </is>
      </c>
      <c r="V161" s="2" t="inlineStr">
        <is>
          <t>門掛式掛鉤；最大門片厚度 4 公分</t>
        </is>
      </c>
    </row>
    <row r="162">
      <c r="A162" s="2" t="inlineStr">
        <is>
          <t>IKEA-A048</t>
        </is>
      </c>
      <c r="B162" s="2" t="inlineStr">
        <is>
          <t>IKEA</t>
        </is>
      </c>
      <c r="C162" s="2" t="inlineStr">
        <is>
          <t>掛勾</t>
        </is>
      </c>
      <c r="D162" s="2" t="inlineStr">
        <is>
          <t>SKOGSVIKEN 門掛式掛鉤</t>
        </is>
      </c>
      <c r="E162" s="2" t="inlineStr">
        <is>
          <t>304.287.03</t>
        </is>
      </c>
      <c r="F162" s="2" t="n"/>
      <c r="G162" s="2" t="n"/>
      <c r="H162" s="2" t="n">
        <v>2</v>
      </c>
      <c r="I162" s="2" t="n"/>
      <c r="J162" s="2" t="n">
        <v>6</v>
      </c>
      <c r="K162" s="2" t="n"/>
      <c r="L162" s="2" t="n"/>
      <c r="M162" s="2" t="inlineStr">
        <is>
          <t>掛門</t>
        </is>
      </c>
      <c r="N162" s="2" t="inlineStr">
        <is>
          <t>鋼質, 粉末塗層</t>
        </is>
      </c>
      <c r="O162" s="2" t="inlineStr">
        <is>
          <t>黑色</t>
        </is>
      </c>
      <c r="P162" s="2" t="n"/>
      <c r="Q162" s="2" t="inlineStr">
        <is>
          <t>2026-10-26</t>
        </is>
      </c>
      <c r="R162" s="3" t="inlineStr">
        <is>
          <t>https://www.ikea.com.tw/zh/products/bathroom-accessories/bathroom-towel-solutions/skogsviken-art-30428703</t>
        </is>
      </c>
      <c r="S162" s="2" t="inlineStr">
        <is>
          <t>官網</t>
        </is>
      </c>
      <c r="T162" s="2" t="inlineStr">
        <is>
          <t>high</t>
        </is>
      </c>
      <c r="U162" s="2" t="inlineStr"/>
      <c r="V162" s="2" t="inlineStr">
        <is>
          <t>SET:304.287.03|39|2|2; 門掛式掛鉤；門片厚度 2–4 公分</t>
        </is>
      </c>
    </row>
    <row r="163">
      <c r="A163" s="2" t="inlineStr">
        <is>
          <t>IKEA-A049</t>
        </is>
      </c>
      <c r="B163" s="2" t="inlineStr">
        <is>
          <t>IKEA</t>
        </is>
      </c>
      <c r="C163" s="2" t="inlineStr">
        <is>
          <t>掛勾</t>
        </is>
      </c>
      <c r="D163" s="2" t="inlineStr">
        <is>
          <t>BÄRFIS 門後掛勾</t>
        </is>
      </c>
      <c r="E163" s="2" t="inlineStr">
        <is>
          <t>205.501.76</t>
        </is>
      </c>
      <c r="F163" s="2" t="n">
        <v>75</v>
      </c>
      <c r="G163" s="2" t="n">
        <v>100</v>
      </c>
      <c r="H163" s="2" t="n">
        <v>27.9</v>
      </c>
      <c r="I163" s="2" t="n"/>
      <c r="J163" s="2" t="n">
        <v>99.40000000000001</v>
      </c>
      <c r="K163" s="2" t="n"/>
      <c r="L163" s="2" t="n">
        <v>4</v>
      </c>
      <c r="M163" s="2" t="inlineStr">
        <is>
          <t>掛門</t>
        </is>
      </c>
      <c r="N163" s="2" t="inlineStr">
        <is>
          <t>上方導軌/ 金屬管:鋼質, 粉末塗層；圓鈕:竹, 壓克力亮光漆；套筒/ 管罩蓋:聚丙烯塑膠</t>
        </is>
      </c>
      <c r="O163" s="2" t="inlineStr"/>
      <c r="P163" s="2" t="n">
        <v>749</v>
      </c>
      <c r="Q163" s="2" t="inlineStr">
        <is>
          <t>2026-10-26</t>
        </is>
      </c>
      <c r="R163" s="3" t="inlineStr">
        <is>
          <t>https://www.ikea.com.tw/zh/products/kids-storage-and-study/kids-storage-solutions/barfis-art-20550176</t>
        </is>
      </c>
      <c r="S163" s="2" t="inlineStr">
        <is>
          <t>官網</t>
        </is>
      </c>
      <c r="T163" s="2" t="inlineStr">
        <is>
          <t>high</t>
        </is>
      </c>
      <c r="U163" s="2" t="inlineStr">
        <is>
          <t>有了這個可調式的門後掛鉤，你可以輕鬆將兒童房的房門變成聰明的收納位置，掛起那些未需要洗濯的浴袍、袋和衣物；讓小孩子輕鬆又快捷地將地面和床上堆積的衣物掛起來</t>
        </is>
      </c>
      <c r="V163" s="2" t="inlineStr">
        <is>
          <t>門後掛勾；長度可設定在75至100公分之間（length_min/max）；只可以從門頂垂直懸掛；門板厚度 4 公分；建議8歲以上孩童使用；耐重欄位為「掛鉤最大承重量」</t>
        </is>
      </c>
    </row>
    <row r="164">
      <c r="A164" s="2" t="inlineStr">
        <is>
          <t>IKEA-A050</t>
        </is>
      </c>
      <c r="B164" s="2" t="inlineStr">
        <is>
          <t>IKEA</t>
        </is>
      </c>
      <c r="C164" s="2" t="inlineStr">
        <is>
          <t>掛勾</t>
        </is>
      </c>
      <c r="D164" s="2" t="inlineStr">
        <is>
          <t>TJUSIG 門板/牆壁掛勾架 60 公分</t>
        </is>
      </c>
      <c r="E164" s="2" t="inlineStr">
        <is>
          <t>602.426.66</t>
        </is>
      </c>
      <c r="F164" s="2" t="n"/>
      <c r="G164" s="2" t="n"/>
      <c r="H164" s="2" t="n">
        <v>60</v>
      </c>
      <c r="I164" s="2" t="n">
        <v>4</v>
      </c>
      <c r="J164" s="2" t="n">
        <v>8</v>
      </c>
      <c r="K164" s="2" t="n"/>
      <c r="L164" s="2" t="n"/>
      <c r="M164" s="2" t="inlineStr">
        <is>
          <t>掛門或螺絲</t>
        </is>
      </c>
      <c r="N164" s="2" t="inlineStr">
        <is>
          <t>基本材質:實心硬木, 壓克力漆；掛鉤/ 支撐架:不鏽鋼；防刮痕保護:EVA塑膠</t>
        </is>
      </c>
      <c r="O164" s="2" t="inlineStr">
        <is>
          <t>黑色</t>
        </is>
      </c>
      <c r="P164" s="2" t="n">
        <v>299</v>
      </c>
      <c r="Q164" s="2" t="inlineStr">
        <is>
          <t>2026-10-26</t>
        </is>
      </c>
      <c r="R164" s="3" t="inlineStr">
        <is>
          <t>https://www.ikea.com.tw/zh/products/wall-organisers/hooks/tjusig-art-60242666</t>
        </is>
      </c>
      <c r="S164" s="2" t="inlineStr">
        <is>
          <t>官網</t>
        </is>
      </c>
      <c r="T164" s="2" t="inlineStr">
        <is>
          <t>high</t>
        </is>
      </c>
      <c r="U164" s="2" t="inlineStr"/>
      <c r="V164" s="2" t="inlineStr">
        <is>
          <t>門板/牆壁兩用掛勾架；附2個固定配件可安裝在門板上緣；適用厚度4.3公分門板；官網標示「長度 60 公分」，填入 width</t>
        </is>
      </c>
    </row>
    <row r="165">
      <c r="A165" s="2" t="inlineStr">
        <is>
          <t>IKEA-A051</t>
        </is>
      </c>
      <c r="B165" s="2" t="inlineStr">
        <is>
          <t>IKEA</t>
        </is>
      </c>
      <c r="C165" s="2" t="inlineStr">
        <is>
          <t>掛勾</t>
        </is>
      </c>
      <c r="D165" s="2" t="inlineStr">
        <is>
          <t>ÅRSJÖN 門板/牆壁掛勾架</t>
        </is>
      </c>
      <c r="E165" s="2" t="inlineStr">
        <is>
          <t>806.286.91</t>
        </is>
      </c>
      <c r="F165" s="2" t="n"/>
      <c r="G165" s="2" t="n"/>
      <c r="H165" s="2" t="n">
        <v>48</v>
      </c>
      <c r="I165" s="2" t="n"/>
      <c r="J165" s="2" t="n"/>
      <c r="K165" s="2" t="n"/>
      <c r="L165" s="2" t="n"/>
      <c r="M165" s="2" t="inlineStr">
        <is>
          <t>掛門或螺絲</t>
        </is>
      </c>
      <c r="N165" s="2" t="inlineStr">
        <is>
          <t>基本材質/ 掛勾:鋼質, 環氧/聚酯粉末塗料；掛鉤:鋁質, 環氧/聚酯粉末塗料；螺紋栓:不鏽鋼；按鈕:不鏽鋼, 環氧/聚酯粉末塗料；保護墊:EVA塑膠</t>
        </is>
      </c>
      <c r="O165" s="2" t="inlineStr">
        <is>
          <t>黑色</t>
        </is>
      </c>
      <c r="P165" s="2" t="n">
        <v>349</v>
      </c>
      <c r="Q165" s="2" t="inlineStr">
        <is>
          <t>2026-10-26</t>
        </is>
      </c>
      <c r="R165" s="3" t="inlineStr">
        <is>
          <t>https://www.ikea.com.tw/zh/products/wall-organisers/hooks/arsjon-art-80628691</t>
        </is>
      </c>
      <c r="S165" s="2" t="inlineStr">
        <is>
          <t>官網</t>
        </is>
      </c>
      <c r="T165" s="2" t="inlineStr">
        <is>
          <t>high</t>
        </is>
      </c>
      <c r="U165" s="2" t="inlineStr"/>
      <c r="V165" s="2" t="inlineStr">
        <is>
          <t>門板/牆壁兩用掛勾架；門板掛勾高度 17 公分、壁面掛勾高度 9 公分；最大門片厚度 4 公分；上牆螺絲另售</t>
        </is>
      </c>
    </row>
    <row r="166">
      <c r="A166" s="2" t="inlineStr">
        <is>
          <t>IKEA-A052</t>
        </is>
      </c>
      <c r="B166" s="2" t="inlineStr">
        <is>
          <t>IKEA</t>
        </is>
      </c>
      <c r="C166" s="2" t="inlineStr">
        <is>
          <t>掛勾</t>
        </is>
      </c>
      <c r="D166" s="2" t="inlineStr">
        <is>
          <t>SKOGHALL 黏貼式掛鉤</t>
        </is>
      </c>
      <c r="E166" s="2" t="inlineStr">
        <is>
          <t>305.678.31</t>
        </is>
      </c>
      <c r="F166" s="2" t="n"/>
      <c r="G166" s="2" t="n"/>
      <c r="H166" s="2" t="n"/>
      <c r="I166" s="2" t="n"/>
      <c r="J166" s="2" t="n"/>
      <c r="K166" s="2" t="n">
        <v>4.6</v>
      </c>
      <c r="L166" s="2" t="n">
        <v>2</v>
      </c>
      <c r="M166" s="2" t="inlineStr">
        <is>
          <t>黏貼</t>
        </is>
      </c>
      <c r="N166" s="2" t="inlineStr">
        <is>
          <t>鋁質, 鍍鉻</t>
        </is>
      </c>
      <c r="O166" s="2" t="inlineStr">
        <is>
          <t>鍍鉻/黑色</t>
        </is>
      </c>
      <c r="P166" s="2" t="n"/>
      <c r="Q166" s="2" t="inlineStr">
        <is>
          <t>2026-10-26</t>
        </is>
      </c>
      <c r="R166" s="3" t="inlineStr">
        <is>
          <t>https://www.ikea.com.tw/zh/products/bathroom-accessories/bathroom-towel-solutions/skoghall-art-30567831</t>
        </is>
      </c>
      <c r="S166" s="2" t="inlineStr">
        <is>
          <t>官網</t>
        </is>
      </c>
      <c r="T166" s="2" t="inlineStr">
        <is>
          <t>high</t>
        </is>
      </c>
      <c r="U166" s="2" t="inlineStr"/>
      <c r="V166" s="2" t="inlineStr">
        <is>
          <t>SET:305.678.31|129|3|3; 不可安裝在壁紙或其他塑膠表面；各色商品編號：鍍鉻=305.678.31、黑色=405.792.30；SET 標記以第一個顏色商品編號與價格計</t>
        </is>
      </c>
    </row>
    <row r="167">
      <c r="A167" s="2" t="inlineStr">
        <is>
          <t>IKEA-A053</t>
        </is>
      </c>
      <c r="B167" s="2" t="inlineStr">
        <is>
          <t>IKEA</t>
        </is>
      </c>
      <c r="C167" s="2" t="inlineStr">
        <is>
          <t>掛勾</t>
        </is>
      </c>
      <c r="D167" s="2" t="inlineStr">
        <is>
          <t>VALASJÖN 黏貼式掛鉤</t>
        </is>
      </c>
      <c r="E167" s="2" t="inlineStr">
        <is>
          <t>906.199.50</t>
        </is>
      </c>
      <c r="F167" s="2" t="n"/>
      <c r="G167" s="2" t="n"/>
      <c r="H167" s="2" t="n"/>
      <c r="I167" s="2" t="n"/>
      <c r="J167" s="2" t="n"/>
      <c r="K167" s="2" t="n">
        <v>5</v>
      </c>
      <c r="L167" s="2" t="n">
        <v>1.5</v>
      </c>
      <c r="M167" s="2" t="inlineStr">
        <is>
          <t>黏貼</t>
        </is>
      </c>
      <c r="N167" s="2" t="inlineStr">
        <is>
          <t>鋼質, 粉末塗層</t>
        </is>
      </c>
      <c r="O167" s="2" t="inlineStr"/>
      <c r="P167" s="2" t="n"/>
      <c r="Q167" s="2" t="inlineStr">
        <is>
          <t>2026-10-26</t>
        </is>
      </c>
      <c r="R167" s="3" t="inlineStr">
        <is>
          <t>https://www.ikea.com.tw/zh/products/bathroom-accessories/bathroom-towel-solutions/valasjon-art-90619950</t>
        </is>
      </c>
      <c r="S167" s="2" t="inlineStr">
        <is>
          <t>官網</t>
        </is>
      </c>
      <c r="T167" s="2" t="inlineStr">
        <is>
          <t>high</t>
        </is>
      </c>
      <c r="U167" s="2" t="inlineStr"/>
      <c r="V167" s="2" t="inlineStr">
        <is>
          <t>SET:906.199.50|149|3|3; 耐重欄位為「附帶膠帶的最大承重量」</t>
        </is>
      </c>
    </row>
    <row r="168">
      <c r="A168" s="2" t="inlineStr">
        <is>
          <t>IKEA-A054</t>
        </is>
      </c>
      <c r="B168" s="2" t="inlineStr">
        <is>
          <t>IKEA</t>
        </is>
      </c>
      <c r="C168" s="2" t="inlineStr">
        <is>
          <t>掛勾</t>
        </is>
      </c>
      <c r="D168" s="2" t="inlineStr">
        <is>
          <t>JORDBORR 黏貼式掛鉤</t>
        </is>
      </c>
      <c r="E168" s="2" t="inlineStr">
        <is>
          <t>605.637.18</t>
        </is>
      </c>
      <c r="F168" s="2" t="n"/>
      <c r="G168" s="2" t="n"/>
      <c r="H168" s="2" t="n"/>
      <c r="I168" s="2" t="n"/>
      <c r="J168" s="2" t="n"/>
      <c r="K168" s="2" t="n">
        <v>5</v>
      </c>
      <c r="L168" s="2" t="n">
        <v>2</v>
      </c>
      <c r="M168" s="2" t="inlineStr">
        <is>
          <t>黏貼</t>
        </is>
      </c>
      <c r="N168" s="2" t="inlineStr">
        <is>
          <t>ABS塑膠</t>
        </is>
      </c>
      <c r="O168" s="2" t="inlineStr">
        <is>
          <t>雪花+彩色</t>
        </is>
      </c>
      <c r="P168" s="2" t="n"/>
      <c r="Q168" s="2" t="inlineStr">
        <is>
          <t>2026-10-26</t>
        </is>
      </c>
      <c r="R168" s="3" t="inlineStr">
        <is>
          <t>https://www.ikea.com.tw/zh/products/wall-organisers/hooks/jordborr-art-60563718</t>
        </is>
      </c>
      <c r="S168" s="2" t="inlineStr">
        <is>
          <t>官網</t>
        </is>
      </c>
      <c r="T168" s="2" t="inlineStr">
        <is>
          <t>high</t>
        </is>
      </c>
      <c r="U168" s="2" t="inlineStr"/>
      <c r="V168" s="2" t="inlineStr">
        <is>
          <t xml:space="preserve">SET:605.637.18|99|3|3; </t>
        </is>
      </c>
    </row>
    <row r="169">
      <c r="A169" s="2" t="inlineStr">
        <is>
          <t>IKEA-A055</t>
        </is>
      </c>
      <c r="B169" s="2" t="inlineStr">
        <is>
          <t>IKEA</t>
        </is>
      </c>
      <c r="C169" s="2" t="inlineStr">
        <is>
          <t>掛勾</t>
        </is>
      </c>
      <c r="D169" s="2" t="inlineStr">
        <is>
          <t>TIPPVAGN 黏貼式掛鉤</t>
        </is>
      </c>
      <c r="E169" s="2" t="inlineStr">
        <is>
          <t>305.637.05</t>
        </is>
      </c>
      <c r="F169" s="2" t="n"/>
      <c r="G169" s="2" t="n"/>
      <c r="H169" s="2" t="n"/>
      <c r="I169" s="2" t="n"/>
      <c r="J169" s="2" t="n"/>
      <c r="K169" s="2" t="n"/>
      <c r="L169" s="2" t="n">
        <v>1</v>
      </c>
      <c r="M169" s="2" t="inlineStr">
        <is>
          <t>黏貼</t>
        </is>
      </c>
      <c r="N169" s="2" t="inlineStr">
        <is>
          <t>基本材質:鋼質, 粉末塗層；膠帶:聚乙烯泡棉</t>
        </is>
      </c>
      <c r="O169" s="2" t="inlineStr">
        <is>
          <t>房子+白色</t>
        </is>
      </c>
      <c r="P169" s="2" t="n"/>
      <c r="Q169" s="2" t="inlineStr">
        <is>
          <t>2026-10-26</t>
        </is>
      </c>
      <c r="R169" s="3" t="inlineStr">
        <is>
          <t>https://www.ikea.com.tw/zh/products/wall-organisers/hooks/tippvagn-art-30563705</t>
        </is>
      </c>
      <c r="S169" s="2" t="inlineStr">
        <is>
          <t>官網</t>
        </is>
      </c>
      <c r="T169" s="2" t="inlineStr">
        <is>
          <t>high</t>
        </is>
      </c>
      <c r="U169" s="2" t="inlineStr">
        <is>
          <t>善用牆壁好好收納。 在這款線條簡潔的房屋造形黏貼式掛鉤上，你可懸掛織品、廚房配件和其他輕巧物品，瞬間讓家裡變得井井有條</t>
        </is>
      </c>
      <c r="V169" s="2" t="inlineStr">
        <is>
          <t xml:space="preserve">SET:305.637.05|29|2|2; </t>
        </is>
      </c>
    </row>
    <row r="170">
      <c r="A170" s="2" t="inlineStr">
        <is>
          <t>IKEA-A056</t>
        </is>
      </c>
      <c r="B170" s="2" t="inlineStr">
        <is>
          <t>IKEA</t>
        </is>
      </c>
      <c r="C170" s="2" t="inlineStr">
        <is>
          <t>掛勾</t>
        </is>
      </c>
      <c r="D170" s="2" t="inlineStr">
        <is>
          <t>GALTBOX 3鉤式掛鉤架</t>
        </is>
      </c>
      <c r="E170" s="2" t="inlineStr">
        <is>
          <t>905.637.12</t>
        </is>
      </c>
      <c r="F170" s="2" t="n"/>
      <c r="G170" s="2" t="n"/>
      <c r="H170" s="2" t="n">
        <v>16</v>
      </c>
      <c r="I170" s="2" t="n">
        <v>2</v>
      </c>
      <c r="J170" s="2" t="n">
        <v>5</v>
      </c>
      <c r="K170" s="2" t="n"/>
      <c r="L170" s="2" t="n">
        <v>1.3</v>
      </c>
      <c r="M170" s="2" t="inlineStr">
        <is>
          <t>黏貼</t>
        </is>
      </c>
      <c r="N170" s="2" t="inlineStr">
        <is>
          <t>基本材質:鋼質, 粉末塗層；膠帶:聚乙烯泡棉</t>
        </is>
      </c>
      <c r="O170" s="2" t="inlineStr">
        <is>
          <t>自黏式+白色</t>
        </is>
      </c>
      <c r="P170" s="2" t="n">
        <v>49</v>
      </c>
      <c r="Q170" s="2" t="inlineStr">
        <is>
          <t>2026-10-26</t>
        </is>
      </c>
      <c r="R170" s="3" t="inlineStr">
        <is>
          <t>https://www.ikea.com.tw/zh/products/wall-organisers/hooks/galtbox-art-90563712</t>
        </is>
      </c>
      <c r="S170" s="2" t="inlineStr">
        <is>
          <t>官網</t>
        </is>
      </c>
      <c r="T170" s="2" t="inlineStr">
        <is>
          <t>high</t>
        </is>
      </c>
      <c r="U170" s="2" t="inlineStr">
        <is>
          <t>家裡的房間還有可用的牆壁嗎？ 這款3鉤式掛鉤架線條簡潔，採用黏貼式設計，可整齊收納小物品，方便拿取</t>
        </is>
      </c>
      <c r="V170" s="2" t="inlineStr">
        <is>
          <t>3鉤式；耐重欄位為「掛鉤最大承重量」</t>
        </is>
      </c>
    </row>
    <row r="171">
      <c r="A171" s="2" t="inlineStr">
        <is>
          <t>IKEA-A057</t>
        </is>
      </c>
      <c r="B171" s="2" t="inlineStr">
        <is>
          <t>IKEA</t>
        </is>
      </c>
      <c r="C171" s="2" t="inlineStr">
        <is>
          <t>掛勾</t>
        </is>
      </c>
      <c r="D171" s="2" t="inlineStr">
        <is>
          <t>TISKEN 吸盤式掛鉤</t>
        </is>
      </c>
      <c r="E171" s="2" t="inlineStr">
        <is>
          <t>503.812.76</t>
        </is>
      </c>
      <c r="F171" s="2" t="n"/>
      <c r="G171" s="2" t="n"/>
      <c r="H171" s="2" t="n">
        <v>6</v>
      </c>
      <c r="I171" s="2" t="n">
        <v>10</v>
      </c>
      <c r="J171" s="2" t="n">
        <v>4</v>
      </c>
      <c r="K171" s="2" t="n"/>
      <c r="L171" s="2" t="n">
        <v>3</v>
      </c>
      <c r="M171" s="2" t="inlineStr">
        <is>
          <t>吸盤</t>
        </is>
      </c>
      <c r="N171" s="2" t="inlineStr">
        <is>
          <t>框架/ 盤子:聚碳酸酯塑膠；吸盤:熱塑性彈性體；罩蓋/ 主體:ABS塑膠；掛鉤:再生ABS塑膠</t>
        </is>
      </c>
      <c r="O171" s="2" t="inlineStr">
        <is>
          <t>白色</t>
        </is>
      </c>
      <c r="P171" s="2" t="n"/>
      <c r="Q171" s="2" t="inlineStr">
        <is>
          <t>2026-10-26</t>
        </is>
      </c>
      <c r="R171" s="3" t="inlineStr">
        <is>
          <t>https://www.ikea.com.tw/zh/products/bathroom-accessories/bathroom-towel-solutions/tisken-art-50381276</t>
        </is>
      </c>
      <c r="S171" s="2" t="inlineStr">
        <is>
          <t>官網</t>
        </is>
      </c>
      <c r="T171" s="2" t="inlineStr">
        <is>
          <t>high</t>
        </is>
      </c>
      <c r="U171" s="2" t="inlineStr">
        <is>
          <t>適合用於淋浴間</t>
        </is>
      </c>
      <c r="V171" s="2" t="inlineStr">
        <is>
          <t>SET:503.812.76|79|2|2; 僅能固定在玻璃、鏡子和磁磚等平坦表面；官網標示「長度 10 公分」，填入 depth；耐重欄位為「掛鉤最大承重量」</t>
        </is>
      </c>
    </row>
    <row r="172">
      <c r="A172" s="2" t="inlineStr">
        <is>
          <t>IKEA-A058</t>
        </is>
      </c>
      <c r="B172" s="2" t="inlineStr">
        <is>
          <t>IKEA</t>
        </is>
      </c>
      <c r="C172" s="2" t="inlineStr">
        <is>
          <t>掛勾</t>
        </is>
      </c>
      <c r="D172" s="2" t="inlineStr">
        <is>
          <t>KROKFJORDEN 吸盤式掛鉤</t>
        </is>
      </c>
      <c r="E172" s="2" t="inlineStr">
        <is>
          <t>504.539.99</t>
        </is>
      </c>
      <c r="F172" s="2" t="n"/>
      <c r="G172" s="2" t="n"/>
      <c r="H172" s="2" t="n">
        <v>6</v>
      </c>
      <c r="I172" s="2" t="n">
        <v>4</v>
      </c>
      <c r="J172" s="2" t="n">
        <v>10</v>
      </c>
      <c r="K172" s="2" t="n"/>
      <c r="L172" s="2" t="n">
        <v>2</v>
      </c>
      <c r="M172" s="2" t="inlineStr">
        <is>
          <t>吸盤</t>
        </is>
      </c>
      <c r="N172" s="2" t="inlineStr">
        <is>
          <t>金屬配件:鋼質, 鍍鋅, 聚酯粉末塗料；框架/ 盤子:聚碳酸酯塑膠；吸盤:合成橡膠；罩蓋/ 把手:不鏽鋼；連接條/ 嵌件:ABS塑膠 (至少20%再生材料)</t>
        </is>
      </c>
      <c r="O172" s="2" t="inlineStr">
        <is>
          <t>鍍鋅</t>
        </is>
      </c>
      <c r="P172" s="2" t="n"/>
      <c r="Q172" s="2" t="inlineStr">
        <is>
          <t>2026-10-26</t>
        </is>
      </c>
      <c r="R172" s="3" t="inlineStr">
        <is>
          <t>https://www.ikea.com.tw/zh/products/bathroom-accessories/bathroom-towel-solutions/krokfjorden-art-50453999</t>
        </is>
      </c>
      <c r="S172" s="2" t="inlineStr">
        <is>
          <t>官網</t>
        </is>
      </c>
      <c r="T172" s="2" t="inlineStr">
        <is>
          <t>high</t>
        </is>
      </c>
      <c r="U172" s="2" t="inlineStr">
        <is>
          <t>適合用於淋浴間</t>
        </is>
      </c>
      <c r="V172" s="2" t="inlineStr">
        <is>
          <t>SET:504.539.99|199|2|2; 僅能固定在玻璃、鏡子和磁磚等平坦表面；耐重欄位為「掛鉤最大承重量」</t>
        </is>
      </c>
    </row>
    <row r="173">
      <c r="A173" s="2" t="inlineStr">
        <is>
          <t>IKEA-A059</t>
        </is>
      </c>
      <c r="B173" s="2" t="inlineStr">
        <is>
          <t>IKEA</t>
        </is>
      </c>
      <c r="C173" s="2" t="inlineStr">
        <is>
          <t>掛勾</t>
        </is>
      </c>
      <c r="D173" s="2" t="inlineStr">
        <is>
          <t>HUMLESJÖN 附吸盤掛鉤 12x8 公分</t>
        </is>
      </c>
      <c r="E173" s="2" t="inlineStr">
        <is>
          <t>306.009.63</t>
        </is>
      </c>
      <c r="F173" s="2" t="n"/>
      <c r="G173" s="2" t="n"/>
      <c r="H173" s="2" t="n">
        <v>7</v>
      </c>
      <c r="I173" s="2" t="n">
        <v>8</v>
      </c>
      <c r="J173" s="2" t="n">
        <v>12</v>
      </c>
      <c r="K173" s="2" t="n"/>
      <c r="L173" s="2" t="n">
        <v>3</v>
      </c>
      <c r="M173" s="2" t="inlineStr">
        <is>
          <t>吸盤</t>
        </is>
      </c>
      <c r="N173" s="2" t="inlineStr">
        <is>
          <t>掛鉤:聚丙烯 (至少50%再生材料)；帽蓋:熱塑性彈性體</t>
        </is>
      </c>
      <c r="O173" s="2" t="inlineStr">
        <is>
          <t>橘色+土耳其藍</t>
        </is>
      </c>
      <c r="P173" s="2" t="n"/>
      <c r="Q173" s="2" t="inlineStr">
        <is>
          <t>2026-10-26</t>
        </is>
      </c>
      <c r="R173" s="3" t="inlineStr">
        <is>
          <t>https://www.ikea.com.tw/zh/products/bathroom-accessories/bathroom-towel-solutions/humlesjon-art-30600963</t>
        </is>
      </c>
      <c r="S173" s="2" t="inlineStr">
        <is>
          <t>官網</t>
        </is>
      </c>
      <c r="T173" s="2" t="inlineStr">
        <is>
          <t>high</t>
        </is>
      </c>
      <c r="U173" s="2" t="inlineStr"/>
      <c r="V173" s="2" t="inlineStr">
        <is>
          <t>SET:306.009.63|99|2|2; 僅能固定在玻璃、鏡子和磁磚等平坦表面；官網標示「長度 8 公分」，填入 depth；耐重欄位為「掛鉤最大承重量」</t>
        </is>
      </c>
    </row>
    <row r="174">
      <c r="A174" s="2" t="inlineStr">
        <is>
          <t>IKEA-A060</t>
        </is>
      </c>
      <c r="B174" s="2" t="inlineStr">
        <is>
          <t>IKEA</t>
        </is>
      </c>
      <c r="C174" s="2" t="inlineStr">
        <is>
          <t>掛勾</t>
        </is>
      </c>
      <c r="D174" s="2" t="inlineStr">
        <is>
          <t>ÖBONÄS 3掛鉤附吸盤 7x11 公分</t>
        </is>
      </c>
      <c r="E174" s="2" t="inlineStr">
        <is>
          <t>606.060.96</t>
        </is>
      </c>
      <c r="F174" s="2" t="n"/>
      <c r="G174" s="2" t="n"/>
      <c r="H174" s="2" t="n">
        <v>7</v>
      </c>
      <c r="I174" s="2" t="n"/>
      <c r="J174" s="2" t="n">
        <v>10.8</v>
      </c>
      <c r="K174" s="2" t="n"/>
      <c r="L174" s="2" t="n">
        <v>1</v>
      </c>
      <c r="M174" s="2" t="inlineStr">
        <is>
          <t>吸盤</t>
        </is>
      </c>
      <c r="N174" s="2" t="inlineStr">
        <is>
          <t>掛鉤/ 罩蓋/ 連接條:ABS塑膠 (至少20%再生材料)；框架/ 盤子:聚碳酸酯塑膠；吸盤:合成橡膠</t>
        </is>
      </c>
      <c r="O174" s="2" t="inlineStr">
        <is>
          <t>灰米色</t>
        </is>
      </c>
      <c r="P174" s="2" t="n">
        <v>79</v>
      </c>
      <c r="Q174" s="2" t="inlineStr">
        <is>
          <t>2026-10-26</t>
        </is>
      </c>
      <c r="R174" s="3" t="inlineStr">
        <is>
          <t>https://www.ikea.com.tw/zh/products/wall-organisers/boards-and-wall-organisers/obonas-art-60606096</t>
        </is>
      </c>
      <c r="S174" s="2" t="inlineStr">
        <is>
          <t>官網</t>
        </is>
      </c>
      <c r="T174" s="2" t="inlineStr">
        <is>
          <t>high</t>
        </is>
      </c>
      <c r="U174" s="2" t="inlineStr">
        <is>
          <t>亦適用於極為潮濕的環境；可放置於淋浴間或洗手盆旁，方便收納肥皂、洗髮精及其他日常用品</t>
        </is>
      </c>
      <c r="V174" s="2" t="inlineStr">
        <is>
          <t>3掛鉤；僅能固定在玻璃、鏡子和磁磚等平坦表面</t>
        </is>
      </c>
    </row>
    <row r="175">
      <c r="A175" s="2" t="inlineStr">
        <is>
          <t>IKEA-A061</t>
        </is>
      </c>
      <c r="B175" s="2" t="inlineStr">
        <is>
          <t>IKEA</t>
        </is>
      </c>
      <c r="C175" s="2" t="inlineStr">
        <is>
          <t>掛勾</t>
        </is>
      </c>
      <c r="D175" s="2" t="inlineStr">
        <is>
          <t>GRESLA 磁鐵掛鉤</t>
        </is>
      </c>
      <c r="E175" s="2" t="inlineStr">
        <is>
          <t>506.345.18</t>
        </is>
      </c>
      <c r="F175" s="2" t="n"/>
      <c r="G175" s="2" t="n"/>
      <c r="H175" s="2" t="n"/>
      <c r="I175" s="2" t="n"/>
      <c r="J175" s="2" t="n"/>
      <c r="K175" s="2" t="n"/>
      <c r="L175" s="2" t="n"/>
      <c r="M175" s="2" t="inlineStr">
        <is>
          <t>磁吸</t>
        </is>
      </c>
      <c r="N175" s="2" t="inlineStr">
        <is>
          <t>磁鐵:鍶鐵氧體, 合成橡膠；面板:鋼質, 粉末塗層</t>
        </is>
      </c>
      <c r="O175" s="2" t="inlineStr">
        <is>
          <t>彩色</t>
        </is>
      </c>
      <c r="P175" s="2" t="n"/>
      <c r="Q175" s="2" t="inlineStr">
        <is>
          <t>2026-10-26</t>
        </is>
      </c>
      <c r="R175" s="3" t="inlineStr">
        <is>
          <t>https://www.ikea.com.tw/zh/products/wall-organisers/boards-and-wall-organisers/gresla-art-50634518</t>
        </is>
      </c>
      <c r="S175" s="2" t="inlineStr">
        <is>
          <t>官網</t>
        </is>
      </c>
      <c r="T175" s="2" t="inlineStr">
        <is>
          <t>high</t>
        </is>
      </c>
      <c r="U175" s="2" t="inlineStr"/>
      <c r="V175" s="2" t="inlineStr">
        <is>
          <t>SET:506.345.18|79|4|4; 內含：1個雙鉤磁鐵掛鉤(7x5公分)、3個單鉤磁鐵掛鉤(4x4.5公分)</t>
        </is>
      </c>
    </row>
    <row r="176">
      <c r="A176" s="2" t="inlineStr">
        <is>
          <t>IKEA-A062</t>
        </is>
      </c>
      <c r="B176" s="2" t="inlineStr">
        <is>
          <t>IKEA</t>
        </is>
      </c>
      <c r="C176" s="2" t="inlineStr">
        <is>
          <t>掛勾</t>
        </is>
      </c>
      <c r="D176" s="2" t="inlineStr">
        <is>
          <t>BESTÅENDE 磁性4鉤式掛鉤架</t>
        </is>
      </c>
      <c r="E176" s="2" t="inlineStr">
        <is>
          <t>804.111.54</t>
        </is>
      </c>
      <c r="F176" s="2" t="n"/>
      <c r="G176" s="2" t="n"/>
      <c r="H176" s="2" t="n">
        <v>4</v>
      </c>
      <c r="I176" s="2" t="n"/>
      <c r="J176" s="2" t="n">
        <v>24</v>
      </c>
      <c r="K176" s="2" t="n"/>
      <c r="L176" s="2" t="n"/>
      <c r="M176" s="2" t="inlineStr">
        <is>
          <t>磁吸</t>
        </is>
      </c>
      <c r="N176" s="2" t="inlineStr">
        <is>
          <t>鋼質, 粉末塗層</t>
        </is>
      </c>
      <c r="O176" s="2" t="inlineStr"/>
      <c r="P176" s="2" t="n">
        <v>249</v>
      </c>
      <c r="Q176" s="2" t="inlineStr">
        <is>
          <t>2026-10-26</t>
        </is>
      </c>
      <c r="R176" s="3" t="inlineStr">
        <is>
          <t>https://www.ikea.com.tw/zh/products/wall-organisers/boards-and-wall-organisers/bestaende-art-80411154</t>
        </is>
      </c>
      <c r="S176" s="2" t="inlineStr">
        <is>
          <t>官網</t>
        </is>
      </c>
      <c r="T176" s="2" t="inlineStr">
        <is>
          <t>high</t>
        </is>
      </c>
      <c r="U176" s="2" t="inlineStr">
        <is>
          <t>適合懸掛廚用擦巾和其他輕質物品，方便拿取使用</t>
        </is>
      </c>
      <c r="V176" s="2" t="inlineStr">
        <is>
          <t>4鉤式；不需鑽孔，固定在平滑的金屬表面上</t>
        </is>
      </c>
    </row>
    <row r="177">
      <c r="A177" s="2" t="inlineStr">
        <is>
          <t>IKEA-A063</t>
        </is>
      </c>
      <c r="B177" s="2" t="inlineStr">
        <is>
          <t>IKEA</t>
        </is>
      </c>
      <c r="C177" s="2" t="inlineStr">
        <is>
          <t>掛勾</t>
        </is>
      </c>
      <c r="D177" s="2" t="inlineStr">
        <is>
          <t>PÅLYCKE 夾式掛鉤架</t>
        </is>
      </c>
      <c r="E177" s="2" t="inlineStr">
        <is>
          <t>905.344.23</t>
        </is>
      </c>
      <c r="F177" s="2" t="n"/>
      <c r="G177" s="2" t="n"/>
      <c r="H177" s="2" t="n">
        <v>1</v>
      </c>
      <c r="I177" s="2" t="n">
        <v>12</v>
      </c>
      <c r="J177" s="2" t="n">
        <v>7</v>
      </c>
      <c r="K177" s="2" t="n"/>
      <c r="L177" s="2" t="n">
        <v>1.5</v>
      </c>
      <c r="M177" s="2" t="inlineStr">
        <is>
          <t>夾式</t>
        </is>
      </c>
      <c r="N177" s="2" t="inlineStr">
        <is>
          <t>基本材質:鋼質, 粉末塗層；防護裝置:EVA塑膠</t>
        </is>
      </c>
      <c r="O177" s="2" t="inlineStr">
        <is>
          <t>碳黑色</t>
        </is>
      </c>
      <c r="P177" s="2" t="n">
        <v>59</v>
      </c>
      <c r="Q177" s="2" t="inlineStr">
        <is>
          <t>2026-10-26</t>
        </is>
      </c>
      <c r="R177" s="3" t="inlineStr">
        <is>
          <t>https://www.ikea.com.tw/zh/products/boxes-and-organisers/organisers/palycke-art-90534423</t>
        </is>
      </c>
      <c r="S177" s="2" t="inlineStr">
        <is>
          <t>官網</t>
        </is>
      </c>
      <c r="T177" s="2" t="inlineStr">
        <is>
          <t>high</t>
        </is>
      </c>
      <c r="U177" s="2" t="inlineStr">
        <is>
          <t>讓你盡量善用櫃內和櫃底層架的空間進行收納；這款掛鉤架適合用來晾廚用抹巾或其他廚房用具，方便隨時取用</t>
        </is>
      </c>
      <c r="V177" s="2" t="inlineStr">
        <is>
          <t>夾在厚度16-20公釐的層板上（櫃內/層板下掛鉤）；官網標示「長度 12 公分」，填入 depth；各色商品編號：品名未標顏色=905.344.23、碳黑色=006.051.32</t>
        </is>
      </c>
    </row>
    <row r="178">
      <c r="A178" s="2" t="inlineStr">
        <is>
          <t>IKEA-A064</t>
        </is>
      </c>
      <c r="B178" s="2" t="inlineStr">
        <is>
          <t>IKEA</t>
        </is>
      </c>
      <c r="C178" s="2" t="inlineStr">
        <is>
          <t>吊掛收納</t>
        </is>
      </c>
      <c r="D178" s="2" t="inlineStr">
        <is>
          <t>PÅLYCKE 夾式網籃 22x26x19 公分</t>
        </is>
      </c>
      <c r="E178" s="2" t="inlineStr">
        <is>
          <t>505.344.15</t>
        </is>
      </c>
      <c r="F178" s="2" t="n"/>
      <c r="G178" s="2" t="n"/>
      <c r="H178" s="2" t="n">
        <v>26</v>
      </c>
      <c r="I178" s="2" t="n">
        <v>22</v>
      </c>
      <c r="J178" s="2" t="n">
        <v>19</v>
      </c>
      <c r="K178" s="2" t="n"/>
      <c r="L178" s="2" t="n">
        <v>1.5</v>
      </c>
      <c r="M178" s="2" t="inlineStr">
        <is>
          <t>夾式</t>
        </is>
      </c>
      <c r="N178" s="2" t="inlineStr">
        <is>
          <t>基本材質:鋼質, 粉末塗層；防護裝置:EVA塑膠</t>
        </is>
      </c>
      <c r="O178" s="2" t="inlineStr"/>
      <c r="P178" s="2" t="n">
        <v>139</v>
      </c>
      <c r="Q178" s="2" t="inlineStr">
        <is>
          <t>2026-10-26</t>
        </is>
      </c>
      <c r="R178" s="3" t="inlineStr">
        <is>
          <t>https://www.ikea.com.tw/zh/products/boxes-and-organisers/organisers/palycke-art-50534415</t>
        </is>
      </c>
      <c r="S178" s="2" t="inlineStr">
        <is>
          <t>官網</t>
        </is>
      </c>
      <c r="T178" s="2" t="inlineStr">
        <is>
          <t>high</t>
        </is>
      </c>
      <c r="U178" s="2" t="inlineStr">
        <is>
          <t>將這款夾式網籃放入廚櫃或層架底下，即可為你提供額外的收納物空間，用來放廚房布織品、瓶或罐等用具。 讓你盡量使用空間整齊儲物；讓你盡量善用櫃內和櫃底層架的空間進行收納</t>
        </is>
      </c>
      <c r="V178" s="2" t="inlineStr">
        <is>
          <t>層板下吊籃；夾在厚16-20公釐的層架上，無需鑽孔；官網標示「長度 22 公分」，填入 depth</t>
        </is>
      </c>
    </row>
    <row r="179">
      <c r="A179" s="2" t="inlineStr">
        <is>
          <t>IKEA-A065</t>
        </is>
      </c>
      <c r="B179" s="2" t="inlineStr">
        <is>
          <t>IKEA</t>
        </is>
      </c>
      <c r="C179" s="2" t="inlineStr">
        <is>
          <t>吊掛收納</t>
        </is>
      </c>
      <c r="D179" s="2" t="inlineStr">
        <is>
          <t>PÅLYCKE 夾式網籃 36x26x14 公分</t>
        </is>
      </c>
      <c r="E179" s="2" t="inlineStr">
        <is>
          <t>505.344.01</t>
        </is>
      </c>
      <c r="F179" s="2" t="n"/>
      <c r="G179" s="2" t="n"/>
      <c r="H179" s="2" t="n">
        <v>26</v>
      </c>
      <c r="I179" s="2" t="n">
        <v>36</v>
      </c>
      <c r="J179" s="2" t="n">
        <v>14</v>
      </c>
      <c r="K179" s="2" t="n"/>
      <c r="L179" s="2" t="n">
        <v>2</v>
      </c>
      <c r="M179" s="2" t="inlineStr">
        <is>
          <t>夾式</t>
        </is>
      </c>
      <c r="N179" s="2" t="inlineStr">
        <is>
          <t>基本材質:鋼質, 粉末塗層；防護裝置:EVA塑膠</t>
        </is>
      </c>
      <c r="O179" s="2" t="inlineStr">
        <is>
          <t>碳黑色</t>
        </is>
      </c>
      <c r="P179" s="2" t="n">
        <v>179</v>
      </c>
      <c r="Q179" s="2" t="inlineStr">
        <is>
          <t>2026-10-26</t>
        </is>
      </c>
      <c r="R179" s="3" t="inlineStr">
        <is>
          <t>https://www.ikea.com.tw/zh/products/boxes-and-organisers/organisers/palycke-art-50534401</t>
        </is>
      </c>
      <c r="S179" s="2" t="inlineStr">
        <is>
          <t>官網</t>
        </is>
      </c>
      <c r="T179" s="2" t="inlineStr">
        <is>
          <t>high</t>
        </is>
      </c>
      <c r="U179" s="2" t="inlineStr">
        <is>
          <t>將這款夾式網籃放入廚櫃或層架底下，即可為你提供額外的收納物空間，用來放廚房布織品、瓶或罐等用具。 讓你盡量使用空間整齊儲物；深度剛好，讓你一眼看清放置的東西，就算是放在最後面的物件</t>
        </is>
      </c>
      <c r="V179" s="2" t="inlineStr">
        <is>
          <t>層板下吊籃；夾在厚16-20公釐的層架上，無需鑽孔；官網標示「長度 36 公分」，填入 depth；各色商品編號：品名未標顏色=505.344.01、碳黑色=406.051.30</t>
        </is>
      </c>
    </row>
    <row r="180">
      <c r="A180" s="2" t="inlineStr">
        <is>
          <t>IKEA-A066</t>
        </is>
      </c>
      <c r="B180" s="2" t="inlineStr">
        <is>
          <t>IKEA</t>
        </is>
      </c>
      <c r="C180" s="2" t="inlineStr">
        <is>
          <t>吊掛收納</t>
        </is>
      </c>
      <c r="D180" s="2" t="inlineStr">
        <is>
          <t>HULTARP 收納筒/盒 14x16 公分</t>
        </is>
      </c>
      <c r="E180" s="2" t="inlineStr">
        <is>
          <t>504.628.28</t>
        </is>
      </c>
      <c r="F180" s="2" t="n"/>
      <c r="G180" s="2" t="n"/>
      <c r="H180" s="2" t="n">
        <v>14</v>
      </c>
      <c r="I180" s="2" t="n">
        <v>16</v>
      </c>
      <c r="J180" s="2" t="n">
        <v>12</v>
      </c>
      <c r="K180" s="2" t="n">
        <v>14</v>
      </c>
      <c r="L180" s="2" t="n"/>
      <c r="M180" s="2" t="inlineStr">
        <is>
          <t>掛於壁掛桿</t>
        </is>
      </c>
      <c r="N180" s="2" t="inlineStr">
        <is>
          <t>容器:鍍鋅鋼, 粉末塗層；掛鉤:鋼質, 粉末塗層；托盤:聚丙烯塑膠</t>
        </is>
      </c>
      <c r="O180" s="2" t="inlineStr">
        <is>
          <t>黑色+網狀/黑色</t>
        </is>
      </c>
      <c r="P180" s="2" t="n">
        <v>199</v>
      </c>
      <c r="Q180" s="2" t="inlineStr">
        <is>
          <t>2026-10-26</t>
        </is>
      </c>
      <c r="R180" s="3" t="inlineStr">
        <is>
          <t>https://www.ikea.com.tw/zh/products/wall-organisers/boards-and-wall-organisers/hultarp-art-50462828</t>
        </is>
      </c>
      <c r="S180" s="2" t="inlineStr">
        <is>
          <t>官網</t>
        </is>
      </c>
      <c r="T180" s="2" t="inlineStr">
        <is>
          <t>high</t>
        </is>
      </c>
      <c r="U180" s="2" t="inlineStr">
        <is>
          <t>可收納廚房用具，方便拿取，騰出檯面空間</t>
        </is>
      </c>
      <c r="V180" s="2" t="inlineStr">
        <is>
          <t>可用HULTARP掛鉤掛在HULTARP導軌上，或獨立放置；各色商品編號：黑色+網狀=504.628.28、黑色=004.444.55；售價依顏色不同：黑色+網狀 229、黑色 199；price_twd 填最低價</t>
        </is>
      </c>
    </row>
    <row r="181">
      <c r="A181" s="2" t="inlineStr">
        <is>
          <t>IKEA-A067</t>
        </is>
      </c>
      <c r="B181" s="2" t="inlineStr">
        <is>
          <t>IKEA</t>
        </is>
      </c>
      <c r="C181" s="2" t="inlineStr">
        <is>
          <t>吊掛收納</t>
        </is>
      </c>
      <c r="D181" s="2" t="inlineStr">
        <is>
          <t>HULTARP 收納筒/盒 31x16 公分</t>
        </is>
      </c>
      <c r="E181" s="2" t="inlineStr">
        <is>
          <t>904.488.35</t>
        </is>
      </c>
      <c r="F181" s="2" t="n"/>
      <c r="G181" s="2" t="n"/>
      <c r="H181" s="2" t="n">
        <v>31</v>
      </c>
      <c r="I181" s="2" t="n">
        <v>16</v>
      </c>
      <c r="J181" s="2" t="n">
        <v>12</v>
      </c>
      <c r="K181" s="2" t="n"/>
      <c r="L181" s="2" t="n"/>
      <c r="M181" s="2" t="inlineStr">
        <is>
          <t>掛於壁掛桿</t>
        </is>
      </c>
      <c r="N181" s="2" t="inlineStr">
        <is>
          <t>容器:鍍鋅鋼, 粉末塗層；掛鉤:鋼質, 粉末塗層；托盤:聚丙烯塑膠</t>
        </is>
      </c>
      <c r="O181" s="2" t="inlineStr">
        <is>
          <t>黑色+網狀</t>
        </is>
      </c>
      <c r="P181" s="2" t="n">
        <v>329</v>
      </c>
      <c r="Q181" s="2" t="inlineStr">
        <is>
          <t>2026-10-26</t>
        </is>
      </c>
      <c r="R181" s="3" t="inlineStr">
        <is>
          <t>https://www.ikea.com.tw/zh/products/wall-organisers/boards-and-wall-organisers/hultarp-art-90448835</t>
        </is>
      </c>
      <c r="S181" s="2" t="inlineStr">
        <is>
          <t>官網</t>
        </is>
      </c>
      <c r="T181" s="2" t="inlineStr">
        <is>
          <t>high</t>
        </is>
      </c>
      <c r="U181" s="2" t="inlineStr">
        <is>
          <t>可收納廚房用具，方便拿取，騰出檯面空間</t>
        </is>
      </c>
      <c r="V181" s="2" t="inlineStr">
        <is>
          <t>可用HULTARP掛鉤掛在HULTARP導軌上，或獨立放置</t>
        </is>
      </c>
    </row>
    <row r="182">
      <c r="A182" s="2" t="inlineStr">
        <is>
          <t>IKEA-A068</t>
        </is>
      </c>
      <c r="B182" s="2" t="inlineStr">
        <is>
          <t>IKEA</t>
        </is>
      </c>
      <c r="C182" s="2" t="inlineStr">
        <is>
          <t>吊掛收納</t>
        </is>
      </c>
      <c r="D182" s="2" t="inlineStr">
        <is>
          <t>KUNGSFORS 收納筒/盒 24x12x26.5 公分</t>
        </is>
      </c>
      <c r="E182" s="2" t="inlineStr">
        <is>
          <t>303.349.31</t>
        </is>
      </c>
      <c r="F182" s="2" t="n"/>
      <c r="G182" s="2" t="n"/>
      <c r="H182" s="2" t="n">
        <v>24</v>
      </c>
      <c r="I182" s="2" t="n">
        <v>12</v>
      </c>
      <c r="J182" s="2" t="n">
        <v>26.5</v>
      </c>
      <c r="K182" s="2" t="n"/>
      <c r="L182" s="2" t="n"/>
      <c r="M182" s="2" t="inlineStr">
        <is>
          <t>掛於壁掛桿</t>
        </is>
      </c>
      <c r="N182" s="2" t="inlineStr">
        <is>
          <t>不鏽鋼</t>
        </is>
      </c>
      <c r="O182" s="2" t="inlineStr">
        <is>
          <t>不鏽鋼</t>
        </is>
      </c>
      <c r="P182" s="2" t="n">
        <v>599</v>
      </c>
      <c r="Q182" s="2" t="inlineStr">
        <is>
          <t>2026-10-26</t>
        </is>
      </c>
      <c r="R182" s="3" t="inlineStr">
        <is>
          <t>https://www.ikea.com.tw/zh/products/wall-organisers/boards-and-wall-organisers/kungsfors-art-30334931</t>
        </is>
      </c>
      <c r="S182" s="2" t="inlineStr">
        <is>
          <t>官網</t>
        </is>
      </c>
      <c r="T182" s="2" t="inlineStr">
        <is>
          <t>high</t>
        </is>
      </c>
      <c r="U182" s="2" t="inlineStr">
        <is>
          <t>適用於濕度高的地方；可收納廚房用具，方便拿取，騰出檯面空間</t>
        </is>
      </c>
      <c r="V182" s="2" t="inlineStr">
        <is>
          <t>可掛在KUNGSFORS壁掛桿上</t>
        </is>
      </c>
    </row>
    <row r="183">
      <c r="A183" s="2" t="inlineStr">
        <is>
          <t>IKEA-A069</t>
        </is>
      </c>
      <c r="B183" s="2" t="inlineStr">
        <is>
          <t>IKEA</t>
        </is>
      </c>
      <c r="C183" s="2" t="inlineStr">
        <is>
          <t>吊掛收納</t>
        </is>
      </c>
      <c r="D183" s="2" t="inlineStr">
        <is>
          <t>SUNNERSTA 收納筒/盒 12x11 公分</t>
        </is>
      </c>
      <c r="E183" s="2" t="inlineStr">
        <is>
          <t>303.037.36</t>
        </is>
      </c>
      <c r="F183" s="2" t="n"/>
      <c r="G183" s="2" t="n"/>
      <c r="H183" s="2" t="n">
        <v>12</v>
      </c>
      <c r="I183" s="2" t="n">
        <v>11</v>
      </c>
      <c r="J183" s="2" t="n">
        <v>13</v>
      </c>
      <c r="K183" s="2" t="n"/>
      <c r="L183" s="2" t="n"/>
      <c r="M183" s="2" t="inlineStr">
        <is>
          <t>掛於壁掛桿</t>
        </is>
      </c>
      <c r="N183" s="2" t="inlineStr">
        <is>
          <t>聚丙烯塑膠, 聚丙烯塑膠</t>
        </is>
      </c>
      <c r="O183" s="2" t="inlineStr">
        <is>
          <t>白色/亮橙色/米色/藍灰色</t>
        </is>
      </c>
      <c r="P183" s="2" t="n">
        <v>19</v>
      </c>
      <c r="Q183" s="2" t="inlineStr">
        <is>
          <t>2026-10-26</t>
        </is>
      </c>
      <c r="R183" s="3" t="inlineStr">
        <is>
          <t>https://www.ikea.com.tw/zh/products/wall-organisers/boards-and-wall-organisers/sunnersta-art-30303736</t>
        </is>
      </c>
      <c r="S183" s="2" t="inlineStr">
        <is>
          <t>官網</t>
        </is>
      </c>
      <c r="T183" s="2" t="inlineStr">
        <is>
          <t>high</t>
        </is>
      </c>
      <c r="U183" s="2" t="inlineStr">
        <is>
          <t>適用於濕度高的地方；可收納廚房用具，方便拿取，騰出檯面空間</t>
        </is>
      </c>
      <c r="V183" s="2" t="inlineStr">
        <is>
          <t>適用於SUNNERSTA壁掛桿、推車和簡易廚房；各色商品編號：白色=303.037.36、亮橙色=506.060.49、米色=506.060.68、藍灰色=806.060.62</t>
        </is>
      </c>
    </row>
    <row r="184">
      <c r="A184" s="2" t="inlineStr">
        <is>
          <t>IKEA-A070</t>
        </is>
      </c>
      <c r="B184" s="2" t="inlineStr">
        <is>
          <t>IKEA</t>
        </is>
      </c>
      <c r="C184" s="2" t="inlineStr">
        <is>
          <t>吊掛收納</t>
        </is>
      </c>
      <c r="D184" s="2" t="inlineStr">
        <is>
          <t>KROKFJORDEN 掛勾式收納架/2層 24x53 公分</t>
        </is>
      </c>
      <c r="E184" s="2" t="inlineStr">
        <is>
          <t>204.540.09</t>
        </is>
      </c>
      <c r="F184" s="2" t="n"/>
      <c r="G184" s="2" t="n"/>
      <c r="H184" s="2" t="n">
        <v>24</v>
      </c>
      <c r="I184" s="2" t="n">
        <v>11</v>
      </c>
      <c r="J184" s="2" t="n">
        <v>53</v>
      </c>
      <c r="K184" s="2" t="n"/>
      <c r="L184" s="2" t="n"/>
      <c r="M184" s="2" t="inlineStr">
        <is>
          <t>掛勾</t>
        </is>
      </c>
      <c r="N184" s="2" t="inlineStr">
        <is>
          <t>鋼質, 鍍鋅, 聚酯粉末塗料</t>
        </is>
      </c>
      <c r="O184" s="2" t="inlineStr">
        <is>
          <t>鍍鋅</t>
        </is>
      </c>
      <c r="P184" s="2" t="n">
        <v>379</v>
      </c>
      <c r="Q184" s="2" t="inlineStr">
        <is>
          <t>2026-10-26</t>
        </is>
      </c>
      <c r="R184" s="3" t="inlineStr">
        <is>
          <t>https://www.ikea.com.tw/zh/products/bathroom-accessories/bathroom-shower-and-toilet-solutions/krokfjorden-art-20454009</t>
        </is>
      </c>
      <c r="S184" s="2" t="inlineStr">
        <is>
          <t>官網</t>
        </is>
      </c>
      <c r="T184" s="2" t="inlineStr">
        <is>
          <t>high</t>
        </is>
      </c>
      <c r="U184" s="2" t="inlineStr"/>
      <c r="V184" s="2" t="inlineStr">
        <is>
          <t>掛勾式收納架/2層；官網未說明掛在何處</t>
        </is>
      </c>
    </row>
    <row r="185">
      <c r="A185" s="2" t="inlineStr">
        <is>
          <t>IKEA-A071</t>
        </is>
      </c>
      <c r="B185" s="2" t="inlineStr">
        <is>
          <t>IKEA</t>
        </is>
      </c>
      <c r="C185" s="2" t="inlineStr">
        <is>
          <t>吊掛收納</t>
        </is>
      </c>
      <c r="D185" s="2" t="inlineStr">
        <is>
          <t>BLECKSJÖN 掛勾式收納架/2層 31x56 公分</t>
        </is>
      </c>
      <c r="E185" s="2" t="inlineStr">
        <is>
          <t>805.525.06</t>
        </is>
      </c>
      <c r="F185" s="2" t="n"/>
      <c r="G185" s="2" t="n"/>
      <c r="H185" s="2" t="n">
        <v>31</v>
      </c>
      <c r="I185" s="2" t="n">
        <v>14</v>
      </c>
      <c r="J185" s="2" t="n">
        <v>56</v>
      </c>
      <c r="K185" s="2" t="n"/>
      <c r="L185" s="2" t="n"/>
      <c r="M185" s="2" t="inlineStr">
        <is>
          <t>掛勾</t>
        </is>
      </c>
      <c r="N185" s="2" t="inlineStr">
        <is>
          <t>鋼質, 聚乙烯粉末塗層</t>
        </is>
      </c>
      <c r="O185" s="2" t="inlineStr">
        <is>
          <t>黑色</t>
        </is>
      </c>
      <c r="P185" s="2" t="n">
        <v>299</v>
      </c>
      <c r="Q185" s="2" t="inlineStr">
        <is>
          <t>2026-10-26</t>
        </is>
      </c>
      <c r="R185" s="3" t="inlineStr">
        <is>
          <t>https://www.ikea.com.tw/zh/products/bathroom-accessories/bathroom-shower-and-toilet-solutions/blecksjon-art-80552506</t>
        </is>
      </c>
      <c r="S185" s="2" t="inlineStr">
        <is>
          <t>官網</t>
        </is>
      </c>
      <c r="T185" s="2" t="inlineStr">
        <is>
          <t>high</t>
        </is>
      </c>
      <c r="U185" s="2" t="inlineStr">
        <is>
          <t>兩個收納籃和掛鉤，方便掛起小型物件。你可以兩層一組使用或分開3件作為收納配件使用</t>
        </is>
      </c>
      <c r="V185" s="2" t="inlineStr">
        <is>
          <t>掛勾式收納架/2層；無需鑽牆；可兩層一組使用或分開3件使用</t>
        </is>
      </c>
    </row>
    <row r="186">
      <c r="A186" s="2" t="inlineStr">
        <is>
          <t>IKEA-A072</t>
        </is>
      </c>
      <c r="B186" s="2" t="inlineStr">
        <is>
          <t>IKEA</t>
        </is>
      </c>
      <c r="C186" s="2" t="inlineStr">
        <is>
          <t>吊掛收納</t>
        </is>
      </c>
      <c r="D186" s="2" t="inlineStr">
        <is>
          <t>TISKEN 附吸盤置物籃</t>
        </is>
      </c>
      <c r="E186" s="2" t="inlineStr">
        <is>
          <t>203.812.54</t>
        </is>
      </c>
      <c r="F186" s="2" t="n"/>
      <c r="G186" s="2" t="n"/>
      <c r="H186" s="2" t="n">
        <v>28</v>
      </c>
      <c r="I186" s="2" t="n">
        <v>17</v>
      </c>
      <c r="J186" s="2" t="n">
        <v>17</v>
      </c>
      <c r="K186" s="2" t="n"/>
      <c r="L186" s="2" t="n">
        <v>3</v>
      </c>
      <c r="M186" s="2" t="inlineStr">
        <is>
          <t>吸盤</t>
        </is>
      </c>
      <c r="N186" s="2" t="inlineStr">
        <is>
          <t>框架/ 盤子:聚碳酸酯塑膠；吸盤:熱塑性彈性體；罩蓋/ 主體:ABS塑膠；籃:ABS塑膠 (至少20%再生材料)</t>
        </is>
      </c>
      <c r="O186" s="2" t="inlineStr">
        <is>
          <t>白色</t>
        </is>
      </c>
      <c r="P186" s="2" t="n">
        <v>179</v>
      </c>
      <c r="Q186" s="2" t="inlineStr">
        <is>
          <t>2026-10-26</t>
        </is>
      </c>
      <c r="R186" s="3" t="inlineStr">
        <is>
          <t>https://www.ikea.com.tw/zh/products/bathroom-accessories/bathroom-shower-and-toilet-solutions/tisken-art-20381254</t>
        </is>
      </c>
      <c r="S186" s="2" t="inlineStr">
        <is>
          <t>官網</t>
        </is>
      </c>
      <c r="T186" s="2" t="inlineStr">
        <is>
          <t>high</t>
        </is>
      </c>
      <c r="U186" s="2" t="inlineStr"/>
      <c r="V186" s="2" t="inlineStr">
        <is>
          <t>附吸盤吊籃；僅能固定在玻璃、鏡子和磁磚等平坦表面</t>
        </is>
      </c>
    </row>
    <row r="187">
      <c r="A187" s="2" t="inlineStr">
        <is>
          <t>IKEA-A073</t>
        </is>
      </c>
      <c r="B187" s="2" t="inlineStr">
        <is>
          <t>IKEA</t>
        </is>
      </c>
      <c r="C187" s="2" t="inlineStr">
        <is>
          <t>吊掛收納</t>
        </is>
      </c>
      <c r="D187" s="2" t="inlineStr">
        <is>
          <t>KROKFJORDEN 附吸盤置物籃 24x11 公分</t>
        </is>
      </c>
      <c r="E187" s="2" t="inlineStr">
        <is>
          <t>704.540.02</t>
        </is>
      </c>
      <c r="F187" s="2" t="n"/>
      <c r="G187" s="2" t="n"/>
      <c r="H187" s="2" t="n">
        <v>24</v>
      </c>
      <c r="I187" s="2" t="n">
        <v>12</v>
      </c>
      <c r="J187" s="2" t="n">
        <v>11</v>
      </c>
      <c r="K187" s="2" t="n"/>
      <c r="L187" s="2" t="n">
        <v>3</v>
      </c>
      <c r="M187" s="2" t="inlineStr">
        <is>
          <t>吸盤</t>
        </is>
      </c>
      <c r="N187" s="2" t="inlineStr">
        <is>
          <t>金屬配件:鋼質, 鍍鋅, 聚酯粉末塗料；框架/ 盤子:聚碳酸酯塑膠；吸盤:合成橡膠；罩蓋/ 把手:不鏽鋼；連接條/ 嵌件:ABS塑膠 (至少20%再生材料)</t>
        </is>
      </c>
      <c r="O187" s="2" t="inlineStr">
        <is>
          <t>鍍鋅</t>
        </is>
      </c>
      <c r="P187" s="2" t="n">
        <v>329</v>
      </c>
      <c r="Q187" s="2" t="inlineStr">
        <is>
          <t>2026-10-26</t>
        </is>
      </c>
      <c r="R187" s="3" t="inlineStr">
        <is>
          <t>https://www.ikea.com.tw/zh/products/bathroom-accessories/bathroom-shower-and-toilet-solutions/krokfjorden-art-70454002</t>
        </is>
      </c>
      <c r="S187" s="2" t="inlineStr">
        <is>
          <t>官網</t>
        </is>
      </c>
      <c r="T187" s="2" t="inlineStr">
        <is>
          <t>high</t>
        </is>
      </c>
      <c r="U187" s="2" t="inlineStr">
        <is>
          <t>可在淋浴間存放肥皂、洗髮精和潤髮乳</t>
        </is>
      </c>
      <c r="V187" s="2" t="inlineStr">
        <is>
          <t>附吸盤吊籃；僅能固定在玻璃、鏡子和磁磚等平坦表面</t>
        </is>
      </c>
    </row>
    <row r="188">
      <c r="A188" s="2" t="inlineStr">
        <is>
          <t>IKEA-A074</t>
        </is>
      </c>
      <c r="B188" s="2" t="inlineStr">
        <is>
          <t>IKEA</t>
        </is>
      </c>
      <c r="C188" s="2" t="inlineStr">
        <is>
          <t>吊掛收納</t>
        </is>
      </c>
      <c r="D188" s="2" t="inlineStr">
        <is>
          <t>HUMLESJÖN 附吸盤置物籃 26x13x7 公分</t>
        </is>
      </c>
      <c r="E188" s="2" t="inlineStr">
        <is>
          <t>706.009.61</t>
        </is>
      </c>
      <c r="F188" s="2" t="n"/>
      <c r="G188" s="2" t="n"/>
      <c r="H188" s="2" t="n">
        <v>26</v>
      </c>
      <c r="I188" s="2" t="n">
        <v>13</v>
      </c>
      <c r="J188" s="2" t="n">
        <v>7</v>
      </c>
      <c r="K188" s="2" t="n"/>
      <c r="L188" s="2" t="n">
        <v>3</v>
      </c>
      <c r="M188" s="2" t="inlineStr">
        <is>
          <t>吸盤</t>
        </is>
      </c>
      <c r="N188" s="2" t="inlineStr">
        <is>
          <t>籃:聚丙烯 (至少50%再生材料)；帽蓋:熱塑性彈性體</t>
        </is>
      </c>
      <c r="O188" s="2" t="inlineStr">
        <is>
          <t>淺綠色</t>
        </is>
      </c>
      <c r="P188" s="2" t="n">
        <v>179</v>
      </c>
      <c r="Q188" s="2" t="inlineStr">
        <is>
          <t>2026-10-26</t>
        </is>
      </c>
      <c r="R188" s="3" t="inlineStr">
        <is>
          <t>https://www.ikea.com.tw/zh/products/bathroom-accessories/bathroom-shower-and-toilet-solutions/humlesjon-art-70600961</t>
        </is>
      </c>
      <c r="S188" s="2" t="inlineStr">
        <is>
          <t>官網</t>
        </is>
      </c>
      <c r="T188" s="2" t="inlineStr">
        <is>
          <t>high</t>
        </is>
      </c>
      <c r="U188" s="2" t="inlineStr"/>
      <c r="V188" s="2" t="inlineStr">
        <is>
          <t>附吸盤吊籃</t>
        </is>
      </c>
    </row>
    <row r="189">
      <c r="A189" s="2" t="inlineStr">
        <is>
          <t>DAISO-A001</t>
        </is>
      </c>
      <c r="B189" s="2" t="inlineStr">
        <is>
          <t>DAISO</t>
        </is>
      </c>
      <c r="C189" s="2" t="inlineStr">
        <is>
          <t>伸縮棒</t>
        </is>
      </c>
      <c r="D189" s="2" t="inlineStr">
        <is>
          <t>伸縮桿/35-50cmΦ10-13mm</t>
        </is>
      </c>
      <c r="E189" s="2" t="inlineStr">
        <is>
          <t>4549131156331</t>
        </is>
      </c>
      <c r="F189" s="2" t="n">
        <v>35</v>
      </c>
      <c r="G189" s="2" t="n">
        <v>50</v>
      </c>
      <c r="H189" s="2" t="n"/>
      <c r="I189" s="2" t="n"/>
      <c r="J189" s="2" t="n"/>
      <c r="K189" s="2" t="n">
        <v>1.3</v>
      </c>
      <c r="L189" s="2" t="n"/>
      <c r="M189" s="2" t="inlineStr">
        <is>
          <t>伸縮撐壓</t>
        </is>
      </c>
      <c r="N189" s="2" t="inlineStr"/>
      <c r="O189" s="2" t="inlineStr"/>
      <c r="P189" s="2" t="n">
        <v>49</v>
      </c>
      <c r="Q189" s="2" t="inlineStr">
        <is>
          <t>2026-10-26</t>
        </is>
      </c>
      <c r="R189" s="3" t="inlineStr">
        <is>
          <t>https://shop.daiso.com.tw/products/4549131156331</t>
        </is>
      </c>
      <c r="S189" s="2" t="inlineStr">
        <is>
          <t>官網</t>
        </is>
      </c>
      <c r="T189" s="2" t="inlineStr">
        <is>
          <t>high</t>
        </is>
      </c>
      <c r="U189" s="2" t="inlineStr"/>
      <c r="V189" s="2" t="inlineStr">
        <is>
          <t>官方標示Φ10mm–13mm，diameter 填最粗段；產地台灣</t>
        </is>
      </c>
    </row>
    <row r="190">
      <c r="A190" s="2" t="inlineStr">
        <is>
          <t>DAISO-A002</t>
        </is>
      </c>
      <c r="B190" s="2" t="inlineStr">
        <is>
          <t>DAISO</t>
        </is>
      </c>
      <c r="C190" s="2" t="inlineStr">
        <is>
          <t>伸縮棒</t>
        </is>
      </c>
      <c r="D190" s="2" t="inlineStr">
        <is>
          <t>伸縮桿/35~50cm白い伸縮式つっぱり棒</t>
        </is>
      </c>
      <c r="E190" s="2" t="inlineStr">
        <is>
          <t>4549131179859</t>
        </is>
      </c>
      <c r="F190" s="2" t="n">
        <v>35</v>
      </c>
      <c r="G190" s="2" t="n">
        <v>50</v>
      </c>
      <c r="H190" s="2" t="n"/>
      <c r="I190" s="2" t="n"/>
      <c r="J190" s="2" t="n"/>
      <c r="K190" s="2" t="n"/>
      <c r="L190" s="2" t="n">
        <v>2</v>
      </c>
      <c r="M190" s="2" t="inlineStr">
        <is>
          <t>伸縮撐壓</t>
        </is>
      </c>
      <c r="N190" s="2" t="inlineStr"/>
      <c r="O190" s="2" t="inlineStr">
        <is>
          <t>白</t>
        </is>
      </c>
      <c r="P190" s="2" t="n">
        <v>49</v>
      </c>
      <c r="Q190" s="2" t="inlineStr">
        <is>
          <t>2026-10-26</t>
        </is>
      </c>
      <c r="R190" s="3" t="inlineStr">
        <is>
          <t>https://shop.daiso.com.tw/products/4549131179859</t>
        </is>
      </c>
      <c r="S190" s="2" t="inlineStr">
        <is>
          <t>官網</t>
        </is>
      </c>
      <c r="T190" s="2" t="inlineStr">
        <is>
          <t>high</t>
        </is>
      </c>
      <c r="U190" s="2" t="inlineStr"/>
      <c r="V190" s="2" t="inlineStr">
        <is>
          <t>官方：免穿孔設計不傷害牆面</t>
        </is>
      </c>
    </row>
    <row r="191">
      <c r="A191" s="2" t="inlineStr">
        <is>
          <t>DAISO-A003</t>
        </is>
      </c>
      <c r="B191" s="2" t="inlineStr">
        <is>
          <t>DAISO</t>
        </is>
      </c>
      <c r="C191" s="2" t="inlineStr">
        <is>
          <t>伸縮棒</t>
        </is>
      </c>
      <c r="D191" s="2" t="inlineStr">
        <is>
          <t>黑色伸縮桿/30~45cm</t>
        </is>
      </c>
      <c r="E191" s="2" t="inlineStr">
        <is>
          <t>4549131735918</t>
        </is>
      </c>
      <c r="F191" s="2" t="n">
        <v>30</v>
      </c>
      <c r="G191" s="2" t="n">
        <v>45</v>
      </c>
      <c r="H191" s="2" t="n"/>
      <c r="I191" s="2" t="n"/>
      <c r="J191" s="2" t="n"/>
      <c r="K191" s="2" t="n"/>
      <c r="L191" s="2" t="n">
        <v>1</v>
      </c>
      <c r="M191" s="2" t="inlineStr">
        <is>
          <t>伸縮撐壓</t>
        </is>
      </c>
      <c r="N191" s="2" t="inlineStr"/>
      <c r="O191" s="2" t="inlineStr">
        <is>
          <t>黑</t>
        </is>
      </c>
      <c r="P191" s="2" t="n">
        <v>49</v>
      </c>
      <c r="Q191" s="2" t="inlineStr">
        <is>
          <t>2026-10-26</t>
        </is>
      </c>
      <c r="R191" s="3" t="inlineStr">
        <is>
          <t>https://shop.daiso.com.tw/products/4549131735918</t>
        </is>
      </c>
      <c r="S191" s="2" t="inlineStr">
        <is>
          <t>官網</t>
        </is>
      </c>
      <c r="T191" s="2" t="inlineStr">
        <is>
          <t>high</t>
        </is>
      </c>
      <c r="U191" s="2" t="inlineStr">
        <is>
          <t>不用破壞門框或牆面就能安裝窗簾；也可架設於畸零處，製造更多收納空間</t>
        </is>
      </c>
      <c r="V191" s="2" t="inlineStr">
        <is>
          <t>規格表另載「29x2cm」，未說明是否為棒徑，diameter 未填</t>
        </is>
      </c>
    </row>
    <row r="192">
      <c r="A192" s="2" t="inlineStr">
        <is>
          <t>DAISO-A004</t>
        </is>
      </c>
      <c r="B192" s="2" t="inlineStr">
        <is>
          <t>DAISO</t>
        </is>
      </c>
      <c r="C192" s="2" t="inlineStr">
        <is>
          <t>伸縮棒</t>
        </is>
      </c>
      <c r="D192" s="2" t="inlineStr">
        <is>
          <t>黑色伸縮桿/38~60cm</t>
        </is>
      </c>
      <c r="E192" s="2" t="inlineStr">
        <is>
          <t>4549131735901</t>
        </is>
      </c>
      <c r="F192" s="2" t="n">
        <v>38</v>
      </c>
      <c r="G192" s="2" t="n">
        <v>60</v>
      </c>
      <c r="H192" s="2" t="n"/>
      <c r="I192" s="2" t="n"/>
      <c r="J192" s="2" t="n"/>
      <c r="K192" s="2" t="n"/>
      <c r="L192" s="2" t="n">
        <v>1</v>
      </c>
      <c r="M192" s="2" t="inlineStr">
        <is>
          <t>伸縮撐壓</t>
        </is>
      </c>
      <c r="N192" s="2" t="inlineStr"/>
      <c r="O192" s="2" t="inlineStr">
        <is>
          <t>黑</t>
        </is>
      </c>
      <c r="P192" s="2" t="n">
        <v>49</v>
      </c>
      <c r="Q192" s="2" t="inlineStr">
        <is>
          <t>2026-10-26</t>
        </is>
      </c>
      <c r="R192" s="3" t="inlineStr">
        <is>
          <t>https://shop.daiso.com.tw/products/4549131735901</t>
        </is>
      </c>
      <c r="S192" s="2" t="inlineStr">
        <is>
          <t>官網</t>
        </is>
      </c>
      <c r="T192" s="2" t="inlineStr">
        <is>
          <t>high</t>
        </is>
      </c>
      <c r="U192" s="2" t="inlineStr">
        <is>
          <t>不用破壞門框或牆面就能安裝窗簾；也可架設於畸零處，製造更多收納空間</t>
        </is>
      </c>
      <c r="V192" s="2" t="inlineStr">
        <is>
          <t>規格表另載「36cm×2cm」，未說明是否為棒徑，diameter 未填</t>
        </is>
      </c>
    </row>
    <row r="193">
      <c r="A193" s="2" t="inlineStr">
        <is>
          <t>DAISO-A005</t>
        </is>
      </c>
      <c r="B193" s="2" t="inlineStr">
        <is>
          <t>DAISO</t>
        </is>
      </c>
      <c r="C193" s="2" t="inlineStr">
        <is>
          <t>伸縮棒</t>
        </is>
      </c>
      <c r="D193" s="2" t="inlineStr">
        <is>
          <t>黑色伸縮桿/54~90cm</t>
        </is>
      </c>
      <c r="E193" s="2" t="inlineStr">
        <is>
          <t>4549131735895</t>
        </is>
      </c>
      <c r="F193" s="2" t="n">
        <v>54</v>
      </c>
      <c r="G193" s="2" t="n">
        <v>90</v>
      </c>
      <c r="H193" s="2" t="n"/>
      <c r="I193" s="2" t="n"/>
      <c r="J193" s="2" t="n"/>
      <c r="K193" s="2" t="n"/>
      <c r="L193" s="2" t="n">
        <v>1</v>
      </c>
      <c r="M193" s="2" t="inlineStr">
        <is>
          <t>伸縮撐壓</t>
        </is>
      </c>
      <c r="N193" s="2" t="inlineStr"/>
      <c r="O193" s="2" t="inlineStr">
        <is>
          <t>黑</t>
        </is>
      </c>
      <c r="P193" s="2" t="n">
        <v>49</v>
      </c>
      <c r="Q193" s="2" t="inlineStr">
        <is>
          <t>2026-10-26</t>
        </is>
      </c>
      <c r="R193" s="3" t="inlineStr">
        <is>
          <t>https://shop.daiso.com.tw/products/4549131735895</t>
        </is>
      </c>
      <c r="S193" s="2" t="inlineStr">
        <is>
          <t>官網</t>
        </is>
      </c>
      <c r="T193" s="2" t="inlineStr">
        <is>
          <t>high</t>
        </is>
      </c>
      <c r="U193" s="2" t="inlineStr">
        <is>
          <t>不用破壞門框或牆面就能安裝窗簾；也可架設於畸零處，製造更多收納空間</t>
        </is>
      </c>
      <c r="V193" s="2" t="inlineStr">
        <is>
          <t>規格表另載「52.5cm×2cm×2cm」，未說明是否為棒徑，diameter 未填</t>
        </is>
      </c>
    </row>
    <row r="194">
      <c r="A194" s="2" t="inlineStr">
        <is>
          <t>DAISO-A006</t>
        </is>
      </c>
      <c r="B194" s="2" t="inlineStr">
        <is>
          <t>DAISO</t>
        </is>
      </c>
      <c r="C194" s="2" t="inlineStr">
        <is>
          <t>伸縮棒</t>
        </is>
      </c>
      <c r="D194" s="2" t="inlineStr">
        <is>
          <t>木紋伸縮桿/50~70cm</t>
        </is>
      </c>
      <c r="E194" s="2" t="inlineStr">
        <is>
          <t>4549131179897</t>
        </is>
      </c>
      <c r="F194" s="2" t="n">
        <v>50</v>
      </c>
      <c r="G194" s="2" t="n">
        <v>70</v>
      </c>
      <c r="H194" s="2" t="n"/>
      <c r="I194" s="2" t="n"/>
      <c r="J194" s="2" t="n"/>
      <c r="K194" s="2" t="n"/>
      <c r="L194" s="2" t="n"/>
      <c r="M194" s="2" t="inlineStr">
        <is>
          <t>伸縮撐壓</t>
        </is>
      </c>
      <c r="N194" s="2" t="inlineStr"/>
      <c r="O194" s="2" t="inlineStr">
        <is>
          <t>木紋</t>
        </is>
      </c>
      <c r="P194" s="2" t="n">
        <v>49</v>
      </c>
      <c r="Q194" s="2" t="inlineStr">
        <is>
          <t>2026-10-26</t>
        </is>
      </c>
      <c r="R194" s="3" t="inlineStr">
        <is>
          <t>https://shop.daiso.com.tw/products/4549131179897</t>
        </is>
      </c>
      <c r="S194" s="2" t="inlineStr">
        <is>
          <t>官網</t>
        </is>
      </c>
      <c r="T194" s="2" t="inlineStr">
        <is>
          <t>high</t>
        </is>
      </c>
      <c r="U194" s="2" t="inlineStr">
        <is>
          <t>不用破壞門框或牆面就能安裝窗簾；也可架設於畸零處，製造更多收納空間</t>
        </is>
      </c>
      <c r="V194" s="2" t="inlineStr">
        <is>
          <t>官方未標示耐重</t>
        </is>
      </c>
    </row>
    <row r="195">
      <c r="A195" s="2" t="inlineStr">
        <is>
          <t>DAISO-A007</t>
        </is>
      </c>
      <c r="B195" s="2" t="inlineStr">
        <is>
          <t>DAISO</t>
        </is>
      </c>
      <c r="C195" s="2" t="inlineStr">
        <is>
          <t>伸縮棒</t>
        </is>
      </c>
      <c r="D195" s="2" t="inlineStr">
        <is>
          <t>木紋伸縮棒/65~100cm</t>
        </is>
      </c>
      <c r="E195" s="2" t="inlineStr">
        <is>
          <t>4549131179903</t>
        </is>
      </c>
      <c r="F195" s="2" t="n">
        <v>65</v>
      </c>
      <c r="G195" s="2" t="n">
        <v>100</v>
      </c>
      <c r="H195" s="2" t="n"/>
      <c r="I195" s="2" t="n"/>
      <c r="J195" s="2" t="n"/>
      <c r="K195" s="2" t="n"/>
      <c r="L195" s="2" t="n"/>
      <c r="M195" s="2" t="inlineStr">
        <is>
          <t>伸縮撐壓</t>
        </is>
      </c>
      <c r="N195" s="2" t="inlineStr"/>
      <c r="O195" s="2" t="inlineStr">
        <is>
          <t>木紋</t>
        </is>
      </c>
      <c r="P195" s="2" t="n">
        <v>49</v>
      </c>
      <c r="Q195" s="2" t="inlineStr">
        <is>
          <t>2026-10-26</t>
        </is>
      </c>
      <c r="R195" s="3" t="inlineStr">
        <is>
          <t>https://shop.daiso.com.tw/products/4549131179903</t>
        </is>
      </c>
      <c r="S195" s="2" t="inlineStr">
        <is>
          <t>官網</t>
        </is>
      </c>
      <c r="T195" s="2" t="inlineStr">
        <is>
          <t>high</t>
        </is>
      </c>
      <c r="U195" s="2" t="inlineStr">
        <is>
          <t>不用破壞門框或牆面就能安裝窗簾；也可架設於畸零處，製造更多收納空間</t>
        </is>
      </c>
      <c r="V195" s="2" t="inlineStr">
        <is>
          <t>伸縮範圍取自官方商品名稱；規格表「23.5cm×67.5cm×14.5cm」疑為包裝尺寸；官方未標示耐重</t>
        </is>
      </c>
    </row>
    <row r="196">
      <c r="A196" s="2" t="inlineStr">
        <is>
          <t>DAISO-A008</t>
        </is>
      </c>
      <c r="B196" s="2" t="inlineStr">
        <is>
          <t>DAISO</t>
        </is>
      </c>
      <c r="C196" s="2" t="inlineStr">
        <is>
          <t>伸縮棒</t>
        </is>
      </c>
      <c r="D196" s="2" t="inlineStr">
        <is>
          <t>木紋伸縮桿/85~120cm</t>
        </is>
      </c>
      <c r="E196" s="2" t="inlineStr">
        <is>
          <t>4549131179927</t>
        </is>
      </c>
      <c r="F196" s="2" t="n">
        <v>85</v>
      </c>
      <c r="G196" s="2" t="n">
        <v>120</v>
      </c>
      <c r="H196" s="2" t="n"/>
      <c r="I196" s="2" t="n"/>
      <c r="J196" s="2" t="n"/>
      <c r="K196" s="2" t="n"/>
      <c r="L196" s="2" t="n"/>
      <c r="M196" s="2" t="inlineStr">
        <is>
          <t>伸縮撐壓</t>
        </is>
      </c>
      <c r="N196" s="2" t="inlineStr"/>
      <c r="O196" s="2" t="inlineStr">
        <is>
          <t>木紋</t>
        </is>
      </c>
      <c r="P196" s="2" t="n">
        <v>49</v>
      </c>
      <c r="Q196" s="2" t="inlineStr">
        <is>
          <t>2026-10-26</t>
        </is>
      </c>
      <c r="R196" s="3" t="inlineStr">
        <is>
          <t>https://shop.daiso.com.tw/products/4549131179927</t>
        </is>
      </c>
      <c r="S196" s="2" t="inlineStr">
        <is>
          <t>官網</t>
        </is>
      </c>
      <c r="T196" s="2" t="inlineStr">
        <is>
          <t>high</t>
        </is>
      </c>
      <c r="U196" s="2" t="inlineStr">
        <is>
          <t>不用破壞門框或牆面就能安裝窗簾；也可架設於畸零處，製造更多收納空間</t>
        </is>
      </c>
      <c r="V196" s="2" t="inlineStr">
        <is>
          <t>伸縮範圍取自官方商品名稱；規格表「22.5cm×90.5cm×13.5cm」疑為包裝尺寸；官方未標示耐重</t>
        </is>
      </c>
    </row>
    <row r="197">
      <c r="A197" s="2" t="inlineStr">
        <is>
          <t>DAISO-A009</t>
        </is>
      </c>
      <c r="B197" s="2" t="inlineStr">
        <is>
          <t>DAISO</t>
        </is>
      </c>
      <c r="C197" s="2" t="inlineStr">
        <is>
          <t>伸縮層架</t>
        </is>
      </c>
      <c r="D197" s="2" t="inlineStr">
        <is>
          <t>伸縮層架</t>
        </is>
      </c>
      <c r="E197" s="2" t="inlineStr">
        <is>
          <t>4549131986211</t>
        </is>
      </c>
      <c r="F197" s="2" t="n">
        <v>14.5</v>
      </c>
      <c r="G197" s="2" t="n">
        <v>18.5</v>
      </c>
      <c r="H197" s="2" t="n"/>
      <c r="I197" s="2" t="n"/>
      <c r="J197" s="2" t="n"/>
      <c r="K197" s="2" t="n"/>
      <c r="L197" s="2" t="n">
        <v>2</v>
      </c>
      <c r="M197" s="2" t="inlineStr">
        <is>
          <t>伸縮撐壓</t>
        </is>
      </c>
      <c r="N197" s="2" t="inlineStr"/>
      <c r="O197" s="2" t="inlineStr">
        <is>
          <t>白</t>
        </is>
      </c>
      <c r="P197" s="2" t="n">
        <v>69</v>
      </c>
      <c r="Q197" s="2" t="inlineStr">
        <is>
          <t>2026-10-26</t>
        </is>
      </c>
      <c r="R197" s="3" t="inlineStr">
        <is>
          <t>https://shop.daiso.com.tw/products/4549131986211</t>
        </is>
      </c>
      <c r="S197" s="2" t="inlineStr">
        <is>
          <t>官網</t>
        </is>
      </c>
      <c r="T197" s="2" t="inlineStr">
        <is>
          <t>high</t>
        </is>
      </c>
      <c r="U197" s="2" t="inlineStr"/>
      <c r="V197" s="2" t="inlineStr">
        <is>
          <t>規格表：2.5cm×13.7cm×12cm（未標示順序）；可伸縮寬度約14.5~18.5cm</t>
        </is>
      </c>
    </row>
    <row r="198">
      <c r="A198" s="2" t="inlineStr">
        <is>
          <t>DAISO-A010</t>
        </is>
      </c>
      <c r="B198" s="2" t="inlineStr">
        <is>
          <t>DAISO</t>
        </is>
      </c>
      <c r="C198" s="2" t="inlineStr">
        <is>
          <t>伸縮層架</t>
        </is>
      </c>
      <c r="D198" s="2" t="inlineStr">
        <is>
          <t>壁櫃伸縮收納架/L</t>
        </is>
      </c>
      <c r="E198" s="2" t="inlineStr">
        <is>
          <t>4550480530789</t>
        </is>
      </c>
      <c r="F198" s="2" t="n">
        <v>47</v>
      </c>
      <c r="G198" s="2" t="n">
        <v>59</v>
      </c>
      <c r="H198" s="2" t="n"/>
      <c r="I198" s="2" t="n">
        <v>30</v>
      </c>
      <c r="J198" s="2" t="n">
        <v>34</v>
      </c>
      <c r="K198" s="2" t="n"/>
      <c r="L198" s="2" t="n"/>
      <c r="M198" s="2" t="inlineStr">
        <is>
          <t>免安裝</t>
        </is>
      </c>
      <c r="N198" s="2" t="inlineStr"/>
      <c r="O198" s="2" t="inlineStr"/>
      <c r="P198" s="2" t="n">
        <v>139</v>
      </c>
      <c r="Q198" s="2" t="inlineStr">
        <is>
          <t>2026-10-26</t>
        </is>
      </c>
      <c r="R198" s="3" t="inlineStr">
        <is>
          <t>https://shop.daiso.com.tw/products/4550480530789</t>
        </is>
      </c>
      <c r="S198" s="2" t="inlineStr">
        <is>
          <t>官網</t>
        </is>
      </c>
      <c r="T198" s="2" t="inlineStr">
        <is>
          <t>high</t>
        </is>
      </c>
      <c r="U198" s="2" t="inlineStr"/>
      <c r="V198" s="2" t="inlineStr">
        <is>
          <t>官方：最大59×30×34cm、最小47×30×30.3cm（高度隨伸縮變化30.3~34）；壁櫃內使用</t>
        </is>
      </c>
    </row>
    <row r="199">
      <c r="A199" s="2" t="inlineStr">
        <is>
          <t>DAISO-A011</t>
        </is>
      </c>
      <c r="B199" s="2" t="inlineStr">
        <is>
          <t>DAISO</t>
        </is>
      </c>
      <c r="C199" s="2" t="inlineStr">
        <is>
          <t>伸縮層架</t>
        </is>
      </c>
      <c r="D199" s="2" t="inlineStr">
        <is>
          <t>壁櫃伸縮收納架/LL</t>
        </is>
      </c>
      <c r="E199" s="2" t="inlineStr">
        <is>
          <t>4550480529905</t>
        </is>
      </c>
      <c r="F199" s="2" t="n">
        <v>74</v>
      </c>
      <c r="G199" s="2" t="n">
        <v>94.40000000000001</v>
      </c>
      <c r="H199" s="2" t="n"/>
      <c r="I199" s="2" t="n">
        <v>30</v>
      </c>
      <c r="J199" s="2" t="n">
        <v>34</v>
      </c>
      <c r="K199" s="2" t="n"/>
      <c r="L199" s="2" t="n"/>
      <c r="M199" s="2" t="inlineStr">
        <is>
          <t>免安裝</t>
        </is>
      </c>
      <c r="N199" s="2" t="inlineStr"/>
      <c r="O199" s="2" t="inlineStr"/>
      <c r="P199" s="2" t="n">
        <v>199</v>
      </c>
      <c r="Q199" s="2" t="inlineStr">
        <is>
          <t>2026-10-26</t>
        </is>
      </c>
      <c r="R199" s="3" t="inlineStr">
        <is>
          <t>https://shop.daiso.com.tw/products/4550480529905</t>
        </is>
      </c>
      <c r="S199" s="2" t="inlineStr">
        <is>
          <t>官網</t>
        </is>
      </c>
      <c r="T199" s="2" t="inlineStr">
        <is>
          <t>high</t>
        </is>
      </c>
      <c r="U199" s="2" t="inlineStr"/>
      <c r="V199" s="2" t="inlineStr">
        <is>
          <t>官方：最大94.4×30×34cm、最小74×30×30.3cm（高度隨伸縮變化30.3~34）；壁櫃內使用</t>
        </is>
      </c>
    </row>
    <row r="200">
      <c r="A200" s="2" t="inlineStr">
        <is>
          <t>DAISO-A012</t>
        </is>
      </c>
      <c r="B200" s="2" t="inlineStr">
        <is>
          <t>DAISO</t>
        </is>
      </c>
      <c r="C200" s="2" t="inlineStr">
        <is>
          <t>鐵網</t>
        </is>
      </c>
      <c r="D200" s="2" t="inlineStr">
        <is>
          <t>收納網架/霧面黑 44×29.5×0.4cm</t>
        </is>
      </c>
      <c r="E200" s="2" t="inlineStr">
        <is>
          <t>4550480848419</t>
        </is>
      </c>
      <c r="F200" s="2" t="n"/>
      <c r="G200" s="2" t="n">
        <v>44</v>
      </c>
      <c r="H200" s="2" t="n">
        <v>44</v>
      </c>
      <c r="I200" s="2" t="n">
        <v>0.4</v>
      </c>
      <c r="J200" s="2" t="n">
        <v>29.5</v>
      </c>
      <c r="K200" s="2" t="n"/>
      <c r="L200" s="2" t="n"/>
      <c r="M200" s="2" t="inlineStr"/>
      <c r="N200" s="2" t="inlineStr"/>
      <c r="O200" s="2" t="inlineStr">
        <is>
          <t>霧面黑</t>
        </is>
      </c>
      <c r="P200" s="2" t="n">
        <v>49</v>
      </c>
      <c r="Q200" s="2" t="inlineStr">
        <is>
          <t>2026-10-26</t>
        </is>
      </c>
      <c r="R200" s="3" t="inlineStr">
        <is>
          <t>https://shop.daiso.com.tw/products/4550480848419</t>
        </is>
      </c>
      <c r="S200" s="2" t="inlineStr">
        <is>
          <t>官網</t>
        </is>
      </c>
      <c r="T200" s="2" t="inlineStr">
        <is>
          <t>high</t>
        </is>
      </c>
      <c r="U200" s="2" t="inlineStr"/>
      <c r="V200" s="2" t="inlineStr">
        <is>
          <t>網片 44×29.5cm、厚0.4cm；width/height 為網面兩邊（可直放或橫放），depth 為厚度；商品圖可搭配網用掛勾、網籃</t>
        </is>
      </c>
    </row>
    <row r="201">
      <c r="A201" s="2" t="inlineStr">
        <is>
          <t>DAISO-A013</t>
        </is>
      </c>
      <c r="B201" s="2" t="inlineStr">
        <is>
          <t>DAISO</t>
        </is>
      </c>
      <c r="C201" s="2" t="inlineStr">
        <is>
          <t>鐵網</t>
        </is>
      </c>
      <c r="D201" s="2" t="inlineStr">
        <is>
          <t>收納網架/白62x19cm</t>
        </is>
      </c>
      <c r="E201" s="2" t="inlineStr">
        <is>
          <t>4549131544596</t>
        </is>
      </c>
      <c r="F201" s="2" t="n"/>
      <c r="G201" s="2" t="n">
        <v>62</v>
      </c>
      <c r="H201" s="2" t="n">
        <v>62</v>
      </c>
      <c r="I201" s="2" t="n">
        <v>0.5</v>
      </c>
      <c r="J201" s="2" t="n">
        <v>19</v>
      </c>
      <c r="K201" s="2" t="n"/>
      <c r="L201" s="2" t="n">
        <v>3</v>
      </c>
      <c r="M201" s="2" t="inlineStr"/>
      <c r="N201" s="2" t="inlineStr"/>
      <c r="O201" s="2" t="inlineStr">
        <is>
          <t>白</t>
        </is>
      </c>
      <c r="P201" s="2" t="n">
        <v>49</v>
      </c>
      <c r="Q201" s="2" t="inlineStr">
        <is>
          <t>2026-10-26</t>
        </is>
      </c>
      <c r="R201" s="3" t="inlineStr">
        <is>
          <t>https://shop.daiso.com.tw/products/4549131544596</t>
        </is>
      </c>
      <c r="S201" s="2" t="inlineStr">
        <is>
          <t>官網</t>
        </is>
      </c>
      <c r="T201" s="2" t="inlineStr">
        <is>
          <t>high</t>
        </is>
      </c>
      <c r="U201" s="2" t="inlineStr"/>
      <c r="V201" s="2" t="inlineStr">
        <is>
          <t>網片 62×19cm、厚0.5cm；width/height 為網面兩邊，depth 為厚度</t>
        </is>
      </c>
    </row>
    <row r="202">
      <c r="A202" s="2" t="inlineStr">
        <is>
          <t>DAISO-A014</t>
        </is>
      </c>
      <c r="B202" s="2" t="inlineStr">
        <is>
          <t>DAISO</t>
        </is>
      </c>
      <c r="C202" s="2" t="inlineStr">
        <is>
          <t>鐵網</t>
        </is>
      </c>
      <c r="D202" s="2" t="inlineStr">
        <is>
          <t>收納網架/橢圓鐵網 白 51×33cm</t>
        </is>
      </c>
      <c r="E202" s="2" t="inlineStr">
        <is>
          <t>4550480590707</t>
        </is>
      </c>
      <c r="F202" s="2" t="n"/>
      <c r="G202" s="2" t="n">
        <v>51</v>
      </c>
      <c r="H202" s="2" t="n">
        <v>51</v>
      </c>
      <c r="I202" s="2" t="n">
        <v>0.5</v>
      </c>
      <c r="J202" s="2" t="n">
        <v>33</v>
      </c>
      <c r="K202" s="2" t="n"/>
      <c r="L202" s="2" t="n"/>
      <c r="M202" s="2" t="inlineStr"/>
      <c r="N202" s="2" t="inlineStr"/>
      <c r="O202" s="2" t="inlineStr">
        <is>
          <t>白</t>
        </is>
      </c>
      <c r="P202" s="2" t="n">
        <v>69</v>
      </c>
      <c r="Q202" s="2" t="inlineStr">
        <is>
          <t>2026-10-26</t>
        </is>
      </c>
      <c r="R202" s="3" t="inlineStr">
        <is>
          <t>https://shop.daiso.com.tw/products/4550480590707</t>
        </is>
      </c>
      <c r="S202" s="2" t="inlineStr">
        <is>
          <t>官網</t>
        </is>
      </c>
      <c r="T202" s="2" t="inlineStr">
        <is>
          <t>high</t>
        </is>
      </c>
      <c r="U202" s="2" t="inlineStr"/>
      <c r="V202" s="2" t="inlineStr">
        <is>
          <t>橢圓鐵網 51×33cm、厚0.5cm；規格表寫33×51×0.5；width/height 為網面兩邊，depth 為厚度</t>
        </is>
      </c>
    </row>
    <row r="203">
      <c r="A203" s="2" t="inlineStr">
        <is>
          <t>DAISO-A015</t>
        </is>
      </c>
      <c r="B203" s="2" t="inlineStr">
        <is>
          <t>DAISO</t>
        </is>
      </c>
      <c r="C203" s="2" t="inlineStr">
        <is>
          <t>網片配件</t>
        </is>
      </c>
      <c r="D203" s="2" t="inlineStr">
        <is>
          <t>網用2連掛勾/黑3入</t>
        </is>
      </c>
      <c r="E203" s="2" t="inlineStr">
        <is>
          <t>4550480042251</t>
        </is>
      </c>
      <c r="F203" s="2" t="n"/>
      <c r="G203" s="2" t="n">
        <v>8</v>
      </c>
      <c r="H203" s="2" t="n">
        <v>6.5</v>
      </c>
      <c r="I203" s="2" t="n">
        <v>4</v>
      </c>
      <c r="J203" s="2" t="n">
        <v>8</v>
      </c>
      <c r="K203" s="2" t="n"/>
      <c r="L203" s="2" t="n">
        <v>1</v>
      </c>
      <c r="M203" s="2" t="inlineStr">
        <is>
          <t>掛於網片</t>
        </is>
      </c>
      <c r="N203" s="2" t="inlineStr"/>
      <c r="O203" s="2" t="inlineStr">
        <is>
          <t>黑</t>
        </is>
      </c>
      <c r="P203" s="2" t="n"/>
      <c r="Q203" s="2" t="inlineStr">
        <is>
          <t>2026-10-26</t>
        </is>
      </c>
      <c r="R203" s="3" t="inlineStr">
        <is>
          <t>https://shop.daiso.com.tw/products/4550480042251</t>
        </is>
      </c>
      <c r="S203" s="2" t="inlineStr">
        <is>
          <t>官網</t>
        </is>
      </c>
      <c r="T203" s="2" t="inlineStr">
        <is>
          <t>medium</t>
        </is>
      </c>
      <c r="U203" s="2" t="inlineStr"/>
      <c r="V203" s="2" t="inlineStr">
        <is>
          <t>SET:4550480042251|49|3|3;網用2連掛勾 3入；官方規格未標示長寬高順序，依商品圖判讀</t>
        </is>
      </c>
    </row>
    <row r="204">
      <c r="A204" s="2" t="inlineStr">
        <is>
          <t>DAISO-A016</t>
        </is>
      </c>
      <c r="B204" s="2" t="inlineStr">
        <is>
          <t>DAISO</t>
        </is>
      </c>
      <c r="C204" s="2" t="inlineStr">
        <is>
          <t>網片配件</t>
        </is>
      </c>
      <c r="D204" s="2" t="inlineStr">
        <is>
          <t>網用3連掛勾/白2入</t>
        </is>
      </c>
      <c r="E204" s="2" t="inlineStr">
        <is>
          <t>4550480042244</t>
        </is>
      </c>
      <c r="F204" s="2" t="n"/>
      <c r="G204" s="2" t="n">
        <v>10.5</v>
      </c>
      <c r="H204" s="2" t="n">
        <v>10.5</v>
      </c>
      <c r="I204" s="2" t="n">
        <v>4</v>
      </c>
      <c r="J204" s="2" t="n">
        <v>8</v>
      </c>
      <c r="K204" s="2" t="n"/>
      <c r="L204" s="2" t="n">
        <v>1</v>
      </c>
      <c r="M204" s="2" t="inlineStr">
        <is>
          <t>掛於網片</t>
        </is>
      </c>
      <c r="N204" s="2" t="inlineStr"/>
      <c r="O204" s="2" t="inlineStr">
        <is>
          <t>白</t>
        </is>
      </c>
      <c r="P204" s="2" t="n"/>
      <c r="Q204" s="2" t="inlineStr">
        <is>
          <t>2026-10-26</t>
        </is>
      </c>
      <c r="R204" s="3" t="inlineStr">
        <is>
          <t>https://shop.daiso.com.tw/products/4550480042244</t>
        </is>
      </c>
      <c r="S204" s="2" t="inlineStr">
        <is>
          <t>官網</t>
        </is>
      </c>
      <c r="T204" s="2" t="inlineStr">
        <is>
          <t>medium</t>
        </is>
      </c>
      <c r="U204" s="2" t="inlineStr"/>
      <c r="V204" s="2" t="inlineStr">
        <is>
          <t>SET:4550480042244|49|2|2;網用3連掛勾 2入；官方規格未標示長寬高順序，依商品圖判讀</t>
        </is>
      </c>
    </row>
    <row r="205">
      <c r="A205" s="2" t="inlineStr">
        <is>
          <t>DAISO-A017</t>
        </is>
      </c>
      <c r="B205" s="2" t="inlineStr">
        <is>
          <t>DAISO</t>
        </is>
      </c>
      <c r="C205" s="2" t="inlineStr">
        <is>
          <t>抽屜隔板</t>
        </is>
      </c>
      <c r="D205" s="2" t="inlineStr">
        <is>
          <t>冷凍庫用分隔板</t>
        </is>
      </c>
      <c r="E205" s="2" t="inlineStr">
        <is>
          <t>4550480648569</t>
        </is>
      </c>
      <c r="F205" s="2" t="n"/>
      <c r="G205" s="2" t="n">
        <v>14</v>
      </c>
      <c r="H205" s="2" t="n">
        <v>14</v>
      </c>
      <c r="I205" s="2" t="n">
        <v>14</v>
      </c>
      <c r="J205" s="2" t="n">
        <v>14</v>
      </c>
      <c r="K205" s="2" t="n"/>
      <c r="L205" s="2" t="n"/>
      <c r="M205" s="2" t="inlineStr">
        <is>
          <t>免安裝</t>
        </is>
      </c>
      <c r="N205" s="2" t="inlineStr"/>
      <c r="O205" s="2" t="inlineStr">
        <is>
          <t>透明</t>
        </is>
      </c>
      <c r="P205" s="2" t="n">
        <v>49</v>
      </c>
      <c r="Q205" s="2" t="inlineStr">
        <is>
          <t>2026-10-26</t>
        </is>
      </c>
      <c r="R205" s="3" t="inlineStr">
        <is>
          <t>https://shop.daiso.com.tw/products/4550480648569</t>
        </is>
      </c>
      <c r="S205" s="2" t="inlineStr">
        <is>
          <t>官網</t>
        </is>
      </c>
      <c r="T205" s="2" t="inlineStr">
        <is>
          <t>high</t>
        </is>
      </c>
      <c r="U205" s="2" t="inlineStr"/>
      <c r="V205" s="2" t="inlineStr">
        <is>
          <t>冷凍庫用L型分隔板（立式擋板），非抽屜專用</t>
        </is>
      </c>
    </row>
    <row r="206">
      <c r="A206" s="2" t="inlineStr">
        <is>
          <t>DAISO-A018</t>
        </is>
      </c>
      <c r="B206" s="2" t="inlineStr">
        <is>
          <t>DAISO</t>
        </is>
      </c>
      <c r="C206" s="2" t="inlineStr">
        <is>
          <t>抽屜隔板</t>
        </is>
      </c>
      <c r="D206" s="2" t="inlineStr">
        <is>
          <t>冰箱用L型隔板</t>
        </is>
      </c>
      <c r="E206" s="2" t="inlineStr">
        <is>
          <t>4905596037187</t>
        </is>
      </c>
      <c r="F206" s="2" t="n"/>
      <c r="G206" s="2" t="n">
        <v>14.5</v>
      </c>
      <c r="H206" s="2" t="n"/>
      <c r="I206" s="2" t="n"/>
      <c r="J206" s="2" t="n"/>
      <c r="K206" s="2" t="n"/>
      <c r="L206" s="2" t="n"/>
      <c r="M206" s="2" t="inlineStr">
        <is>
          <t>免安裝</t>
        </is>
      </c>
      <c r="N206" s="2" t="inlineStr"/>
      <c r="O206" s="2" t="inlineStr">
        <is>
          <t>透明</t>
        </is>
      </c>
      <c r="P206" s="2" t="n">
        <v>49</v>
      </c>
      <c r="Q206" s="2" t="inlineStr">
        <is>
          <t>2026-10-26</t>
        </is>
      </c>
      <c r="R206" s="3" t="inlineStr">
        <is>
          <t>https://shop.daiso.com.tw/products/4905596037187</t>
        </is>
      </c>
      <c r="S206" s="2" t="inlineStr">
        <is>
          <t>官網</t>
        </is>
      </c>
      <c r="T206" s="2" t="inlineStr">
        <is>
          <t>medium</t>
        </is>
      </c>
      <c r="U206" s="2" t="inlineStr">
        <is>
          <t>整齊的收納冰箱內物品</t>
        </is>
      </c>
      <c r="V206" s="2" t="inlineStr">
        <is>
          <t>冰箱用L型隔板，可隨意調整位置；規格表約13.9×14.3×14.5cm（官方規格未標示長寬高順序）</t>
        </is>
      </c>
    </row>
    <row r="207">
      <c r="A207" s="2" t="inlineStr">
        <is>
          <t>DAISO-A019</t>
        </is>
      </c>
      <c r="B207" s="2" t="inlineStr">
        <is>
          <t>DAISO</t>
        </is>
      </c>
      <c r="C207" s="2" t="inlineStr">
        <is>
          <t>抽屜隔板</t>
        </is>
      </c>
      <c r="D207" s="2" t="inlineStr">
        <is>
          <t>冰箱門邊收納隔板/2入</t>
        </is>
      </c>
      <c r="E207" s="2" t="inlineStr">
        <is>
          <t>4550480588575</t>
        </is>
      </c>
      <c r="F207" s="2" t="n"/>
      <c r="G207" s="2" t="n">
        <v>7.8</v>
      </c>
      <c r="H207" s="2" t="n"/>
      <c r="I207" s="2" t="n"/>
      <c r="J207" s="2" t="n"/>
      <c r="K207" s="2" t="n"/>
      <c r="L207" s="2" t="n"/>
      <c r="M207" s="2" t="inlineStr">
        <is>
          <t>夾式</t>
        </is>
      </c>
      <c r="N207" s="2" t="inlineStr"/>
      <c r="O207" s="2" t="inlineStr">
        <is>
          <t>透明</t>
        </is>
      </c>
      <c r="P207" s="2" t="n"/>
      <c r="Q207" s="2" t="inlineStr">
        <is>
          <t>2026-10-26</t>
        </is>
      </c>
      <c r="R207" s="3" t="inlineStr">
        <is>
          <t>https://shop.daiso.com.tw/products/4550480588575</t>
        </is>
      </c>
      <c r="S207" s="2" t="inlineStr">
        <is>
          <t>官網</t>
        </is>
      </c>
      <c r="T207" s="2" t="inlineStr">
        <is>
          <t>medium</t>
        </is>
      </c>
      <c r="U207" s="2" t="inlineStr"/>
      <c r="V207" s="2" t="inlineStr">
        <is>
          <t>SET:4550480588575|49|2|2;冰箱門邊收納隔板 2入；規格表7.8×5.6×2.1cm（官方規格未標示長寬高順序）；mount 依商品名稱與型態判讀</t>
        </is>
      </c>
    </row>
    <row r="208">
      <c r="A208" s="2" t="inlineStr">
        <is>
          <t>DAISO-A020</t>
        </is>
      </c>
      <c r="B208" s="2" t="inlineStr">
        <is>
          <t>DAISO</t>
        </is>
      </c>
      <c r="C208" s="2" t="inlineStr">
        <is>
          <t>小型置物架</t>
        </is>
      </c>
      <c r="D208" s="2" t="inlineStr">
        <is>
          <t>三層階梯置物架/15.4x9x9cm</t>
        </is>
      </c>
      <c r="E208" s="2" t="inlineStr">
        <is>
          <t>4549131491999</t>
        </is>
      </c>
      <c r="F208" s="2" t="n"/>
      <c r="G208" s="2" t="n">
        <v>15.4</v>
      </c>
      <c r="H208" s="2" t="n">
        <v>15.4</v>
      </c>
      <c r="I208" s="2" t="n">
        <v>9</v>
      </c>
      <c r="J208" s="2" t="n">
        <v>9</v>
      </c>
      <c r="K208" s="2" t="n"/>
      <c r="L208" s="2" t="n"/>
      <c r="M208" s="2" t="inlineStr">
        <is>
          <t>免安裝</t>
        </is>
      </c>
      <c r="N208" s="2" t="inlineStr">
        <is>
          <t>壓克力</t>
        </is>
      </c>
      <c r="O208" s="2" t="inlineStr">
        <is>
          <t>透明</t>
        </is>
      </c>
      <c r="P208" s="2" t="n">
        <v>49</v>
      </c>
      <c r="Q208" s="2" t="inlineStr">
        <is>
          <t>2026-10-26</t>
        </is>
      </c>
      <c r="R208" s="3" t="inlineStr">
        <is>
          <t>https://shop.daiso.com.tw/products/4549131491999</t>
        </is>
      </c>
      <c r="S208" s="2" t="inlineStr">
        <is>
          <t>官網</t>
        </is>
      </c>
      <c r="T208" s="2" t="inlineStr">
        <is>
          <t>medium</t>
        </is>
      </c>
      <c r="U208" s="2" t="inlineStr">
        <is>
          <t>適合放置小物、擺飾，亦可作為公仔展示架</t>
        </is>
      </c>
      <c r="V208" s="2" t="inlineStr">
        <is>
          <t>三層階梯置物架；日本製；官方規格未標示長寬高順序；material 依商品圖判讀未經官方確認</t>
        </is>
      </c>
    </row>
    <row r="209">
      <c r="A209" s="2" t="inlineStr">
        <is>
          <t>DAISO-A021</t>
        </is>
      </c>
      <c r="B209" s="2" t="inlineStr">
        <is>
          <t>DAISO</t>
        </is>
      </c>
      <c r="C209" s="2" t="inlineStr">
        <is>
          <t>小型置物架</t>
        </is>
      </c>
      <c r="D209" s="2" t="inlineStr">
        <is>
          <t>廚房折疊置物架/38.8x14.5x15.5cm 黑色</t>
        </is>
      </c>
      <c r="E209" s="2" t="inlineStr">
        <is>
          <t>4550480618913</t>
        </is>
      </c>
      <c r="F209" s="2" t="n"/>
      <c r="G209" s="2" t="n">
        <v>38.8</v>
      </c>
      <c r="H209" s="2" t="n">
        <v>38.8</v>
      </c>
      <c r="I209" s="2" t="n">
        <v>14.5</v>
      </c>
      <c r="J209" s="2" t="n">
        <v>15.5</v>
      </c>
      <c r="K209" s="2" t="n"/>
      <c r="L209" s="2" t="n"/>
      <c r="M209" s="2" t="inlineStr">
        <is>
          <t>免安裝</t>
        </is>
      </c>
      <c r="N209" s="2" t="inlineStr"/>
      <c r="O209" s="2" t="inlineStr">
        <is>
          <t>黑</t>
        </is>
      </c>
      <c r="P209" s="2" t="n">
        <v>49</v>
      </c>
      <c r="Q209" s="2" t="inlineStr">
        <is>
          <t>2026-10-26</t>
        </is>
      </c>
      <c r="R209" s="3" t="inlineStr">
        <is>
          <t>https://shop.daiso.com.tw/products/4550480618913</t>
        </is>
      </c>
      <c r="S209" s="2" t="inlineStr">
        <is>
          <t>官網</t>
        </is>
      </c>
      <c r="T209" s="2" t="inlineStr">
        <is>
          <t>high</t>
        </is>
      </c>
      <c r="U209" s="2" t="inlineStr"/>
      <c r="V209" s="2" t="inlineStr">
        <is>
          <t>廚房折疊置物架（腳可折疊，層板加高架型態）</t>
        </is>
      </c>
    </row>
    <row r="210">
      <c r="A210" s="2" t="inlineStr">
        <is>
          <t>DAISO-A022</t>
        </is>
      </c>
      <c r="B210" s="2" t="inlineStr">
        <is>
          <t>DAISO</t>
        </is>
      </c>
      <c r="C210" s="2" t="inlineStr">
        <is>
          <t>小型置物架</t>
        </is>
      </c>
      <c r="D210" s="2" t="inlineStr">
        <is>
          <t>可堆疊收納架/伸縮式 22×7×10.5cm</t>
        </is>
      </c>
      <c r="E210" s="2" t="inlineStr">
        <is>
          <t>4905596281283</t>
        </is>
      </c>
      <c r="F210" s="2" t="n"/>
      <c r="G210" s="2" t="n">
        <v>22</v>
      </c>
      <c r="H210" s="2" t="n">
        <v>22</v>
      </c>
      <c r="I210" s="2" t="n">
        <v>7</v>
      </c>
      <c r="J210" s="2" t="n">
        <v>10.5</v>
      </c>
      <c r="K210" s="2" t="n"/>
      <c r="L210" s="2" t="n"/>
      <c r="M210" s="2" t="inlineStr">
        <is>
          <t>免安裝</t>
        </is>
      </c>
      <c r="N210" s="2" t="inlineStr"/>
      <c r="O210" s="2" t="inlineStr">
        <is>
          <t>透明</t>
        </is>
      </c>
      <c r="P210" s="2" t="n">
        <v>49</v>
      </c>
      <c r="Q210" s="2" t="inlineStr">
        <is>
          <t>2026-10-26</t>
        </is>
      </c>
      <c r="R210" s="3" t="inlineStr">
        <is>
          <t>https://shop.daiso.com.tw/products/4905596281283</t>
        </is>
      </c>
      <c r="S210" s="2" t="inlineStr">
        <is>
          <t>官網</t>
        </is>
      </c>
      <c r="T210" s="2" t="inlineStr">
        <is>
          <t>medium</t>
        </is>
      </c>
      <c r="U210" s="2" t="inlineStr"/>
      <c r="V210" s="2" t="inlineStr">
        <is>
          <t>可堆疊收納架/伸縮式（ㄈ型，可左右拉伸）；官方僅標示22×7×10.5cm，未標示伸縮前後長度；官方規格未標示長寬高順序</t>
        </is>
      </c>
    </row>
    <row r="211">
      <c r="A211" s="2" t="inlineStr">
        <is>
          <t>DAISO-A023</t>
        </is>
      </c>
      <c r="B211" s="2" t="inlineStr">
        <is>
          <t>DAISO</t>
        </is>
      </c>
      <c r="C211" s="2" t="inlineStr">
        <is>
          <t>吊掛收納</t>
        </is>
      </c>
      <c r="D211" s="2" t="inlineStr">
        <is>
          <t>吊掛式收納籃/38×26×14.5cm</t>
        </is>
      </c>
      <c r="E211" s="2" t="inlineStr">
        <is>
          <t>4550480497921</t>
        </is>
      </c>
      <c r="F211" s="2" t="n"/>
      <c r="G211" s="2" t="n">
        <v>38</v>
      </c>
      <c r="H211" s="2" t="n">
        <v>38</v>
      </c>
      <c r="I211" s="2" t="n">
        <v>26</v>
      </c>
      <c r="J211" s="2" t="n">
        <v>14.5</v>
      </c>
      <c r="K211" s="2" t="n"/>
      <c r="L211" s="2" t="n"/>
      <c r="M211" s="2" t="inlineStr">
        <is>
          <t>層板吊掛</t>
        </is>
      </c>
      <c r="N211" s="2" t="inlineStr"/>
      <c r="O211" s="2" t="inlineStr">
        <is>
          <t>黑/棕/米/灰</t>
        </is>
      </c>
      <c r="P211" s="2" t="n">
        <v>99</v>
      </c>
      <c r="Q211" s="2" t="inlineStr">
        <is>
          <t>2026-10-26</t>
        </is>
      </c>
      <c r="R211" s="3" t="inlineStr">
        <is>
          <t>https://shop.daiso.com.tw/products/4550480497921</t>
        </is>
      </c>
      <c r="S211" s="2" t="inlineStr">
        <is>
          <t>官網</t>
        </is>
      </c>
      <c r="T211" s="2" t="inlineStr">
        <is>
          <t>high</t>
        </is>
      </c>
      <c r="U211" s="2" t="inlineStr"/>
      <c r="V211" s="2" t="inlineStr">
        <is>
          <t>吊掛式收納籃（掛於層板下）；顏色隨機出貨</t>
        </is>
      </c>
    </row>
    <row r="212">
      <c r="A212" s="2" t="inlineStr">
        <is>
          <t>DAISO-A024</t>
        </is>
      </c>
      <c r="B212" s="2" t="inlineStr">
        <is>
          <t>DAISO</t>
        </is>
      </c>
      <c r="C212" s="2" t="inlineStr">
        <is>
          <t>吊掛收納</t>
        </is>
      </c>
      <c r="D212" s="2" t="inlineStr">
        <is>
          <t>PP編織層板用收納掛架/米 24x11x32cm</t>
        </is>
      </c>
      <c r="E212" s="2" t="inlineStr">
        <is>
          <t>4550480497341</t>
        </is>
      </c>
      <c r="F212" s="2" t="n"/>
      <c r="G212" s="2" t="n">
        <v>32</v>
      </c>
      <c r="H212" s="2" t="n">
        <v>24</v>
      </c>
      <c r="I212" s="2" t="n">
        <v>32</v>
      </c>
      <c r="J212" s="2" t="n">
        <v>11</v>
      </c>
      <c r="K212" s="2" t="n"/>
      <c r="L212" s="2" t="n">
        <v>1.5</v>
      </c>
      <c r="M212" s="2" t="inlineStr">
        <is>
          <t>層板吊掛</t>
        </is>
      </c>
      <c r="N212" s="2" t="inlineStr">
        <is>
          <t>PP編織</t>
        </is>
      </c>
      <c r="O212" s="2" t="inlineStr">
        <is>
          <t>米</t>
        </is>
      </c>
      <c r="P212" s="2" t="n">
        <v>99</v>
      </c>
      <c r="Q212" s="2" t="inlineStr">
        <is>
          <t>2026-10-26</t>
        </is>
      </c>
      <c r="R212" s="3" t="inlineStr">
        <is>
          <t>https://shop.daiso.com.tw/products/4550480497341</t>
        </is>
      </c>
      <c r="S212" s="2" t="inlineStr">
        <is>
          <t>官網</t>
        </is>
      </c>
      <c r="T212" s="2" t="inlineStr">
        <is>
          <t>medium</t>
        </is>
      </c>
      <c r="U212" s="2" t="inlineStr"/>
      <c r="V212" s="2" t="inlineStr">
        <is>
          <t>層板用收納掛架；規格表24×11×32cm，官方規格未標示長寬高順序，依商品圖判讀</t>
        </is>
      </c>
    </row>
    <row r="213">
      <c r="A213" s="2" t="inlineStr">
        <is>
          <t>DAISO-A025</t>
        </is>
      </c>
      <c r="B213" s="2" t="inlineStr">
        <is>
          <t>DAISO</t>
        </is>
      </c>
      <c r="C213" s="2" t="inlineStr">
        <is>
          <t>吊掛收納</t>
        </is>
      </c>
      <c r="D213" s="2" t="inlineStr">
        <is>
          <t>伸縮桿收納配件/圓形托盤 12cm</t>
        </is>
      </c>
      <c r="E213" s="2" t="inlineStr">
        <is>
          <t>4550480131252</t>
        </is>
      </c>
      <c r="F213" s="2" t="n"/>
      <c r="G213" s="2" t="n">
        <v>12</v>
      </c>
      <c r="H213" s="2" t="n">
        <v>12</v>
      </c>
      <c r="I213" s="2" t="n">
        <v>12</v>
      </c>
      <c r="J213" s="2" t="n">
        <v>3.6</v>
      </c>
      <c r="K213" s="2" t="n"/>
      <c r="L213" s="2" t="n">
        <v>0.5</v>
      </c>
      <c r="M213" s="2" t="inlineStr">
        <is>
          <t>掛於伸縮桿</t>
        </is>
      </c>
      <c r="N213" s="2" t="inlineStr"/>
      <c r="O213" s="2" t="inlineStr"/>
      <c r="P213" s="2" t="n">
        <v>49</v>
      </c>
      <c r="Q213" s="2" t="inlineStr">
        <is>
          <t>2026-10-26</t>
        </is>
      </c>
      <c r="R213" s="3" t="inlineStr">
        <is>
          <t>https://shop.daiso.com.tw/products/4550480131252</t>
        </is>
      </c>
      <c r="S213" s="2" t="inlineStr">
        <is>
          <t>官網</t>
        </is>
      </c>
      <c r="T213" s="2" t="inlineStr">
        <is>
          <t>high</t>
        </is>
      </c>
      <c r="U213" s="2" t="inlineStr"/>
      <c r="V213" s="2" t="inlineStr">
        <is>
          <t>伸縮桿收納配件/圓形托盤 12cm；規格表12×3.6×12cm</t>
        </is>
      </c>
    </row>
    <row r="214">
      <c r="A214" s="2" t="inlineStr">
        <is>
          <t>DAISO-A026</t>
        </is>
      </c>
      <c r="B214" s="2" t="inlineStr">
        <is>
          <t>DAISO</t>
        </is>
      </c>
      <c r="C214" s="2" t="inlineStr">
        <is>
          <t>吊掛收納</t>
        </is>
      </c>
      <c r="D214" s="2" t="inlineStr">
        <is>
          <t>伸縮桿收納配件/圓形托盤 18cm</t>
        </is>
      </c>
      <c r="E214" s="2" t="inlineStr">
        <is>
          <t>4550480131269</t>
        </is>
      </c>
      <c r="F214" s="2" t="n"/>
      <c r="G214" s="2" t="n">
        <v>18</v>
      </c>
      <c r="H214" s="2" t="n">
        <v>18</v>
      </c>
      <c r="I214" s="2" t="n">
        <v>18</v>
      </c>
      <c r="J214" s="2" t="n">
        <v>3.7</v>
      </c>
      <c r="K214" s="2" t="n"/>
      <c r="L214" s="2" t="n">
        <v>1</v>
      </c>
      <c r="M214" s="2" t="inlineStr">
        <is>
          <t>掛於伸縮桿</t>
        </is>
      </c>
      <c r="N214" s="2" t="inlineStr"/>
      <c r="O214" s="2" t="inlineStr"/>
      <c r="P214" s="2" t="n">
        <v>49</v>
      </c>
      <c r="Q214" s="2" t="inlineStr">
        <is>
          <t>2026-10-26</t>
        </is>
      </c>
      <c r="R214" s="3" t="inlineStr">
        <is>
          <t>https://shop.daiso.com.tw/products/4550480131269</t>
        </is>
      </c>
      <c r="S214" s="2" t="inlineStr">
        <is>
          <t>官網</t>
        </is>
      </c>
      <c r="T214" s="2" t="inlineStr">
        <is>
          <t>high</t>
        </is>
      </c>
      <c r="U214" s="2" t="inlineStr"/>
      <c r="V214" s="2" t="inlineStr">
        <is>
          <t>伸縮桿收納配件/圓形托盤 18cm；規格表18×3.7×18cm</t>
        </is>
      </c>
    </row>
    <row r="215">
      <c r="A215" s="2" t="inlineStr">
        <is>
          <t>DAISO-A027</t>
        </is>
      </c>
      <c r="B215" s="2" t="inlineStr">
        <is>
          <t>DAISO</t>
        </is>
      </c>
      <c r="C215" s="2" t="inlineStr">
        <is>
          <t>吊掛收納</t>
        </is>
      </c>
      <c r="D215" s="2" t="inlineStr">
        <is>
          <t>伸縮桿收納配件/長方形托盤 8x15cm</t>
        </is>
      </c>
      <c r="E215" s="2" t="inlineStr">
        <is>
          <t>4550480131276</t>
        </is>
      </c>
      <c r="F215" s="2" t="n"/>
      <c r="G215" s="2" t="n">
        <v>15</v>
      </c>
      <c r="H215" s="2" t="n">
        <v>15</v>
      </c>
      <c r="I215" s="2" t="n">
        <v>8</v>
      </c>
      <c r="J215" s="2" t="n">
        <v>3.6</v>
      </c>
      <c r="K215" s="2" t="n"/>
      <c r="L215" s="2" t="n">
        <v>0.5</v>
      </c>
      <c r="M215" s="2" t="inlineStr">
        <is>
          <t>掛於伸縮桿</t>
        </is>
      </c>
      <c r="N215" s="2" t="inlineStr"/>
      <c r="O215" s="2" t="inlineStr"/>
      <c r="P215" s="2" t="n">
        <v>49</v>
      </c>
      <c r="Q215" s="2" t="inlineStr">
        <is>
          <t>2026-10-26</t>
        </is>
      </c>
      <c r="R215" s="3" t="inlineStr">
        <is>
          <t>https://shop.daiso.com.tw/products/4550480131276</t>
        </is>
      </c>
      <c r="S215" s="2" t="inlineStr">
        <is>
          <t>官網</t>
        </is>
      </c>
      <c r="T215" s="2" t="inlineStr">
        <is>
          <t>high</t>
        </is>
      </c>
      <c r="U215" s="2" t="inlineStr"/>
      <c r="V215" s="2" t="inlineStr">
        <is>
          <t>伸縮桿收納配件/長方形托盤 8x15cm；規格表15×3.6×8cm</t>
        </is>
      </c>
    </row>
    <row r="216">
      <c r="A216" s="2" t="inlineStr">
        <is>
          <t>DAISO-A028</t>
        </is>
      </c>
      <c r="B216" s="2" t="inlineStr">
        <is>
          <t>DAISO</t>
        </is>
      </c>
      <c r="C216" s="2" t="inlineStr">
        <is>
          <t>吊掛收納</t>
        </is>
      </c>
      <c r="D216" s="2" t="inlineStr">
        <is>
          <t>伸縮桿收納配件/長方形托盤 12x20cm</t>
        </is>
      </c>
      <c r="E216" s="2" t="inlineStr">
        <is>
          <t>4550480131283</t>
        </is>
      </c>
      <c r="F216" s="2" t="n"/>
      <c r="G216" s="2" t="n">
        <v>20</v>
      </c>
      <c r="H216" s="2" t="n">
        <v>20</v>
      </c>
      <c r="I216" s="2" t="n">
        <v>12</v>
      </c>
      <c r="J216" s="2" t="n">
        <v>3.6</v>
      </c>
      <c r="K216" s="2" t="n"/>
      <c r="L216" s="2" t="n">
        <v>1</v>
      </c>
      <c r="M216" s="2" t="inlineStr">
        <is>
          <t>掛於伸縮桿</t>
        </is>
      </c>
      <c r="N216" s="2" t="inlineStr"/>
      <c r="O216" s="2" t="inlineStr"/>
      <c r="P216" s="2" t="n">
        <v>49</v>
      </c>
      <c r="Q216" s="2" t="inlineStr">
        <is>
          <t>2026-10-26</t>
        </is>
      </c>
      <c r="R216" s="3" t="inlineStr">
        <is>
          <t>https://shop.daiso.com.tw/products/4550480131283</t>
        </is>
      </c>
      <c r="S216" s="2" t="inlineStr">
        <is>
          <t>官網</t>
        </is>
      </c>
      <c r="T216" s="2" t="inlineStr">
        <is>
          <t>high</t>
        </is>
      </c>
      <c r="U216" s="2" t="inlineStr"/>
      <c r="V216" s="2" t="inlineStr">
        <is>
          <t>伸縮桿收納配件/長方形托盤 12x20cm；規格表20×3.6×12cm</t>
        </is>
      </c>
    </row>
    <row r="217">
      <c r="A217" s="2" t="inlineStr">
        <is>
          <t>DAISO-A029</t>
        </is>
      </c>
      <c r="B217" s="2" t="inlineStr">
        <is>
          <t>DAISO</t>
        </is>
      </c>
      <c r="C217" s="2" t="inlineStr">
        <is>
          <t>吊掛收納</t>
        </is>
      </c>
      <c r="D217" s="2" t="inlineStr">
        <is>
          <t>伸縮桿收納配件/置物架 9.7x8x10cm</t>
        </is>
      </c>
      <c r="E217" s="2" t="inlineStr">
        <is>
          <t>4550480131290</t>
        </is>
      </c>
      <c r="F217" s="2" t="n"/>
      <c r="G217" s="2" t="n">
        <v>10</v>
      </c>
      <c r="H217" s="2" t="n"/>
      <c r="I217" s="2" t="n"/>
      <c r="J217" s="2" t="n"/>
      <c r="K217" s="2" t="n"/>
      <c r="L217" s="2" t="n">
        <v>0.5</v>
      </c>
      <c r="M217" s="2" t="inlineStr">
        <is>
          <t>掛於伸縮桿</t>
        </is>
      </c>
      <c r="N217" s="2" t="inlineStr"/>
      <c r="O217" s="2" t="inlineStr"/>
      <c r="P217" s="2" t="n">
        <v>49</v>
      </c>
      <c r="Q217" s="2" t="inlineStr">
        <is>
          <t>2026-10-26</t>
        </is>
      </c>
      <c r="R217" s="3" t="inlineStr">
        <is>
          <t>https://shop.daiso.com.tw/products/4550480131290</t>
        </is>
      </c>
      <c r="S217" s="2" t="inlineStr">
        <is>
          <t>官網</t>
        </is>
      </c>
      <c r="T217" s="2" t="inlineStr">
        <is>
          <t>medium</t>
        </is>
      </c>
      <c r="U217" s="2" t="inlineStr"/>
      <c r="V217" s="2" t="inlineStr">
        <is>
          <t>伸縮桿收納配件/置物架；規格表9.7×8×10cm（官方規格未標示長寬高順序）</t>
        </is>
      </c>
    </row>
    <row r="218">
      <c r="A218" s="2" t="inlineStr">
        <is>
          <t>DAISO-A030</t>
        </is>
      </c>
      <c r="B218" s="2" t="inlineStr">
        <is>
          <t>DAISO</t>
        </is>
      </c>
      <c r="C218" s="2" t="inlineStr">
        <is>
          <t>吊掛收納</t>
        </is>
      </c>
      <c r="D218" s="2" t="inlineStr">
        <is>
          <t>伸縮桿收納配件/長方形多功能架 12x2.5x21.8cm</t>
        </is>
      </c>
      <c r="E218" s="2" t="inlineStr">
        <is>
          <t>4550480131313</t>
        </is>
      </c>
      <c r="F218" s="2" t="n"/>
      <c r="G218" s="2" t="n">
        <v>21.8</v>
      </c>
      <c r="H218" s="2" t="n"/>
      <c r="I218" s="2" t="n"/>
      <c r="J218" s="2" t="n"/>
      <c r="K218" s="2" t="n"/>
      <c r="L218" s="2" t="n">
        <v>1</v>
      </c>
      <c r="M218" s="2" t="inlineStr">
        <is>
          <t>掛於伸縮桿</t>
        </is>
      </c>
      <c r="N218" s="2" t="inlineStr"/>
      <c r="O218" s="2" t="inlineStr"/>
      <c r="P218" s="2" t="n">
        <v>69</v>
      </c>
      <c r="Q218" s="2" t="inlineStr">
        <is>
          <t>2026-10-26</t>
        </is>
      </c>
      <c r="R218" s="3" t="inlineStr">
        <is>
          <t>https://shop.daiso.com.tw/products/4550480131313</t>
        </is>
      </c>
      <c r="S218" s="2" t="inlineStr">
        <is>
          <t>官網</t>
        </is>
      </c>
      <c r="T218" s="2" t="inlineStr">
        <is>
          <t>medium</t>
        </is>
      </c>
      <c r="U218" s="2" t="inlineStr"/>
      <c r="V218" s="2" t="inlineStr">
        <is>
          <t>伸縮桿收納配件/長方形多功能架；規格表12×2.5×21.8cm（官方規格未標示長寬高順序）</t>
        </is>
      </c>
    </row>
    <row r="219">
      <c r="A219" s="2" t="inlineStr">
        <is>
          <t>DAISO-A031</t>
        </is>
      </c>
      <c r="B219" s="2" t="inlineStr">
        <is>
          <t>DAISO</t>
        </is>
      </c>
      <c r="C219" s="2" t="inlineStr">
        <is>
          <t>掛勾</t>
        </is>
      </c>
      <c r="D219" s="2" t="inlineStr">
        <is>
          <t>伸縮桿收納配件/J型掛勾 5入</t>
        </is>
      </c>
      <c r="E219" s="2" t="inlineStr">
        <is>
          <t>4550480131320</t>
        </is>
      </c>
      <c r="F219" s="2" t="n"/>
      <c r="G219" s="2" t="n">
        <v>3.7</v>
      </c>
      <c r="H219" s="2" t="n"/>
      <c r="I219" s="2" t="n"/>
      <c r="J219" s="2" t="n"/>
      <c r="K219" s="2" t="n"/>
      <c r="L219" s="2" t="n">
        <v>0.5</v>
      </c>
      <c r="M219" s="2" t="inlineStr">
        <is>
          <t>掛於伸縮桿</t>
        </is>
      </c>
      <c r="N219" s="2" t="inlineStr"/>
      <c r="O219" s="2" t="inlineStr"/>
      <c r="P219" s="2" t="n"/>
      <c r="Q219" s="2" t="inlineStr">
        <is>
          <t>2026-10-26</t>
        </is>
      </c>
      <c r="R219" s="3" t="inlineStr">
        <is>
          <t>https://shop.daiso.com.tw/products/4550480131320</t>
        </is>
      </c>
      <c r="S219" s="2" t="inlineStr">
        <is>
          <t>官網</t>
        </is>
      </c>
      <c r="T219" s="2" t="inlineStr">
        <is>
          <t>high</t>
        </is>
      </c>
      <c r="U219" s="2" t="inlineStr"/>
      <c r="V219" s="2" t="inlineStr">
        <is>
          <t>SET:4550480131320|49|5|5;伸縮桿收納配件/J型掛勾 5入；規格表1.7×1.7×3.7cm</t>
        </is>
      </c>
    </row>
    <row r="220">
      <c r="A220" s="2" t="inlineStr">
        <is>
          <t>DAISO-A032</t>
        </is>
      </c>
      <c r="B220" s="2" t="inlineStr">
        <is>
          <t>DAISO</t>
        </is>
      </c>
      <c r="C220" s="2" t="inlineStr">
        <is>
          <t>掛勾</t>
        </is>
      </c>
      <c r="D220" s="2" t="inlineStr">
        <is>
          <t>KOKUBO S型掛勾夾/2入</t>
        </is>
      </c>
      <c r="E220" s="2" t="inlineStr">
        <is>
          <t>4956810863945</t>
        </is>
      </c>
      <c r="F220" s="2" t="n"/>
      <c r="G220" s="2" t="n">
        <v>4.5</v>
      </c>
      <c r="H220" s="2" t="n"/>
      <c r="I220" s="2" t="n"/>
      <c r="J220" s="2" t="n"/>
      <c r="K220" s="2" t="n"/>
      <c r="L220" s="2" t="n">
        <v>0.35</v>
      </c>
      <c r="M220" s="2" t="inlineStr">
        <is>
          <t>夾式</t>
        </is>
      </c>
      <c r="N220" s="2" t="inlineStr"/>
      <c r="O220" s="2" t="inlineStr">
        <is>
          <t>透明</t>
        </is>
      </c>
      <c r="P220" s="2" t="n"/>
      <c r="Q220" s="2" t="inlineStr">
        <is>
          <t>2026-10-26</t>
        </is>
      </c>
      <c r="R220" s="3" t="inlineStr">
        <is>
          <t>https://shop.daiso.com.tw/products/4956810863945</t>
        </is>
      </c>
      <c r="S220" s="2" t="inlineStr">
        <is>
          <t>官網</t>
        </is>
      </c>
      <c r="T220" s="2" t="inlineStr">
        <is>
          <t>high</t>
        </is>
      </c>
      <c r="U220" s="2" t="inlineStr">
        <is>
          <t>浴室收納掛勾</t>
        </is>
      </c>
      <c r="V220" s="2" t="inlineStr">
        <is>
          <t>SET:4956810863945|49|2|2;KOKUBO S型掛勾夾 2入；可安裝桿子直徑20mm以內；規格表1.8×4.5×3cm；日本製</t>
        </is>
      </c>
    </row>
    <row r="221">
      <c r="A221" s="2" t="inlineStr">
        <is>
          <t>DAISO-A033</t>
        </is>
      </c>
      <c r="B221" s="2" t="inlineStr">
        <is>
          <t>DAISO</t>
        </is>
      </c>
      <c r="C221" s="2" t="inlineStr">
        <is>
          <t>掛勾</t>
        </is>
      </c>
      <c r="D221" s="2" t="inlineStr">
        <is>
          <t>抗菌防霉S型掛勾/11cm 3入</t>
        </is>
      </c>
      <c r="E221" s="2" t="inlineStr">
        <is>
          <t>4550480273662</t>
        </is>
      </c>
      <c r="F221" s="2" t="n"/>
      <c r="G221" s="2" t="n">
        <v>11</v>
      </c>
      <c r="H221" s="2" t="n"/>
      <c r="I221" s="2" t="n"/>
      <c r="J221" s="2" t="n"/>
      <c r="K221" s="2" t="n"/>
      <c r="L221" s="2" t="n"/>
      <c r="M221" s="2" t="inlineStr">
        <is>
          <t>掛勾</t>
        </is>
      </c>
      <c r="N221" s="2" t="inlineStr"/>
      <c r="O221" s="2" t="inlineStr">
        <is>
          <t>白/灰</t>
        </is>
      </c>
      <c r="P221" s="2" t="n"/>
      <c r="Q221" s="2" t="inlineStr">
        <is>
          <t>2026-10-26</t>
        </is>
      </c>
      <c r="R221" s="3" t="inlineStr">
        <is>
          <t>https://shop.daiso.com.tw/products/4550480273662</t>
        </is>
      </c>
      <c r="S221" s="2" t="inlineStr">
        <is>
          <t>官網</t>
        </is>
      </c>
      <c r="T221" s="2" t="inlineStr">
        <is>
          <t>high</t>
        </is>
      </c>
      <c r="U221" s="2" t="inlineStr"/>
      <c r="V221" s="2" t="inlineStr">
        <is>
          <t>SET:4550480273662|49|3|3;抗菌防霉S型掛勾 3入；可安裝於直徑36mm以下的圓桿；規格表5.4×11×0.7cm；日本製；顏色隨機出貨</t>
        </is>
      </c>
    </row>
    <row r="222">
      <c r="A222" s="2" t="inlineStr">
        <is>
          <t>DAISO-A034</t>
        </is>
      </c>
      <c r="B222" s="2" t="inlineStr">
        <is>
          <t>DAISO</t>
        </is>
      </c>
      <c r="C222" s="2" t="inlineStr">
        <is>
          <t>掛勾</t>
        </is>
      </c>
      <c r="D222" s="2" t="inlineStr">
        <is>
          <t>抗菌S型掛勾/23.6cm2入</t>
        </is>
      </c>
      <c r="E222" s="2" t="inlineStr">
        <is>
          <t>4994163279914</t>
        </is>
      </c>
      <c r="F222" s="2" t="n"/>
      <c r="G222" s="2" t="n">
        <v>23.6</v>
      </c>
      <c r="H222" s="2" t="n"/>
      <c r="I222" s="2" t="n"/>
      <c r="J222" s="2" t="n"/>
      <c r="K222" s="2" t="n"/>
      <c r="L222" s="2" t="n"/>
      <c r="M222" s="2" t="inlineStr">
        <is>
          <t>掛勾</t>
        </is>
      </c>
      <c r="N222" s="2" t="inlineStr"/>
      <c r="O222" s="2" t="inlineStr">
        <is>
          <t>白/灰</t>
        </is>
      </c>
      <c r="P222" s="2" t="n"/>
      <c r="Q222" s="2" t="inlineStr">
        <is>
          <t>2026-10-26</t>
        </is>
      </c>
      <c r="R222" s="3" t="inlineStr">
        <is>
          <t>https://shop.daiso.com.tw/products/4994163279914</t>
        </is>
      </c>
      <c r="S222" s="2" t="inlineStr">
        <is>
          <t>官網</t>
        </is>
      </c>
      <c r="T222" s="2" t="inlineStr">
        <is>
          <t>high</t>
        </is>
      </c>
      <c r="U222" s="2" t="inlineStr"/>
      <c r="V222" s="2" t="inlineStr">
        <is>
          <t>SET:4994163279914|49|2|2;抗菌S型掛勾 2入；規格表5.7×0.7×23.6cm；日本製；顏色隨機出貨</t>
        </is>
      </c>
    </row>
    <row r="223">
      <c r="A223" s="2" t="inlineStr">
        <is>
          <t>DAISO-A035</t>
        </is>
      </c>
      <c r="B223" s="2" t="inlineStr">
        <is>
          <t>DAISO</t>
        </is>
      </c>
      <c r="C223" s="2" t="inlineStr">
        <is>
          <t>掛勾</t>
        </is>
      </c>
      <c r="D223" s="2" t="inlineStr">
        <is>
          <t>S型掛勾/不鏽鋼 長款 35cm</t>
        </is>
      </c>
      <c r="E223" s="2" t="inlineStr">
        <is>
          <t>4550480656120</t>
        </is>
      </c>
      <c r="F223" s="2" t="n"/>
      <c r="G223" s="2" t="n">
        <v>35</v>
      </c>
      <c r="H223" s="2" t="n"/>
      <c r="I223" s="2" t="n"/>
      <c r="J223" s="2" t="n"/>
      <c r="K223" s="2" t="n"/>
      <c r="L223" s="2" t="n"/>
      <c r="M223" s="2" t="inlineStr">
        <is>
          <t>掛勾</t>
        </is>
      </c>
      <c r="N223" s="2" t="inlineStr">
        <is>
          <t>不鏽鋼</t>
        </is>
      </c>
      <c r="O223" s="2" t="inlineStr"/>
      <c r="P223" s="2" t="n">
        <v>49</v>
      </c>
      <c r="Q223" s="2" t="inlineStr">
        <is>
          <t>2026-10-26</t>
        </is>
      </c>
      <c r="R223" s="3" t="inlineStr">
        <is>
          <t>https://shop.daiso.com.tw/products/4550480656120</t>
        </is>
      </c>
      <c r="S223" s="2" t="inlineStr">
        <is>
          <t>官網</t>
        </is>
      </c>
      <c r="T223" s="2" t="inlineStr">
        <is>
          <t>high</t>
        </is>
      </c>
      <c r="U223" s="2" t="inlineStr"/>
      <c r="V223" s="2" t="inlineStr">
        <is>
          <t>S型掛勾/不鏽鋼 長款；規格表10.5×35×0.9cm；日本製</t>
        </is>
      </c>
    </row>
    <row r="224">
      <c r="A224" s="2" t="inlineStr">
        <is>
          <t>DAISO-A036</t>
        </is>
      </c>
      <c r="B224" s="2" t="inlineStr">
        <is>
          <t>DAISO</t>
        </is>
      </c>
      <c r="C224" s="2" t="inlineStr">
        <is>
          <t>掛勾</t>
        </is>
      </c>
      <c r="D224" s="2" t="inlineStr">
        <is>
          <t>S型掛勾/鋁製 2入 11cm</t>
        </is>
      </c>
      <c r="E224" s="2" t="inlineStr">
        <is>
          <t>4550480785479</t>
        </is>
      </c>
      <c r="F224" s="2" t="n"/>
      <c r="G224" s="2" t="n">
        <v>11</v>
      </c>
      <c r="H224" s="2" t="n"/>
      <c r="I224" s="2" t="n"/>
      <c r="J224" s="2" t="n"/>
      <c r="K224" s="2" t="n"/>
      <c r="L224" s="2" t="n"/>
      <c r="M224" s="2" t="inlineStr">
        <is>
          <t>掛勾</t>
        </is>
      </c>
      <c r="N224" s="2" t="inlineStr">
        <is>
          <t>鋁</t>
        </is>
      </c>
      <c r="O224" s="2" t="inlineStr"/>
      <c r="P224" s="2" t="n"/>
      <c r="Q224" s="2" t="inlineStr">
        <is>
          <t>2026-10-26</t>
        </is>
      </c>
      <c r="R224" s="3" t="inlineStr">
        <is>
          <t>https://shop.daiso.com.tw/products/4550480785479</t>
        </is>
      </c>
      <c r="S224" s="2" t="inlineStr">
        <is>
          <t>官網</t>
        </is>
      </c>
      <c r="T224" s="2" t="inlineStr">
        <is>
          <t>high</t>
        </is>
      </c>
      <c r="U224" s="2" t="inlineStr"/>
      <c r="V224" s="2" t="inlineStr">
        <is>
          <t>SET:4550480785479|49|2|2;S型掛勾/鋁製 2入；規格表11×0.5×5.5cm</t>
        </is>
      </c>
    </row>
    <row r="225">
      <c r="A225" s="2" t="inlineStr">
        <is>
          <t>DAISO-A037</t>
        </is>
      </c>
      <c r="B225" s="2" t="inlineStr">
        <is>
          <t>DAISO</t>
        </is>
      </c>
      <c r="C225" s="2" t="inlineStr">
        <is>
          <t>掛勾</t>
        </is>
      </c>
      <c r="D225" s="2" t="inlineStr">
        <is>
          <t>S型掛勾/鋁製 2入 8.5cm</t>
        </is>
      </c>
      <c r="E225" s="2" t="inlineStr">
        <is>
          <t>4550480785493</t>
        </is>
      </c>
      <c r="F225" s="2" t="n"/>
      <c r="G225" s="2" t="n">
        <v>8.5</v>
      </c>
      <c r="H225" s="2" t="n"/>
      <c r="I225" s="2" t="n"/>
      <c r="J225" s="2" t="n"/>
      <c r="K225" s="2" t="n"/>
      <c r="L225" s="2" t="n"/>
      <c r="M225" s="2" t="inlineStr">
        <is>
          <t>掛勾</t>
        </is>
      </c>
      <c r="N225" s="2" t="inlineStr">
        <is>
          <t>鋁</t>
        </is>
      </c>
      <c r="O225" s="2" t="inlineStr"/>
      <c r="P225" s="2" t="n"/>
      <c r="Q225" s="2" t="inlineStr">
        <is>
          <t>2026-10-26</t>
        </is>
      </c>
      <c r="R225" s="3" t="inlineStr">
        <is>
          <t>https://shop.daiso.com.tw/products/4550480785493</t>
        </is>
      </c>
      <c r="S225" s="2" t="inlineStr">
        <is>
          <t>官網</t>
        </is>
      </c>
      <c r="T225" s="2" t="inlineStr">
        <is>
          <t>high</t>
        </is>
      </c>
      <c r="U225" s="2" t="inlineStr"/>
      <c r="V225" s="2" t="inlineStr">
        <is>
          <t>SET:4550480785493|49|2|2;S型掛勾/鋁製 2入；規格表8.5×0.5×4.5cm</t>
        </is>
      </c>
    </row>
    <row r="226">
      <c r="A226" s="2" t="inlineStr">
        <is>
          <t>DAISO-A038</t>
        </is>
      </c>
      <c r="B226" s="2" t="inlineStr">
        <is>
          <t>DAISO</t>
        </is>
      </c>
      <c r="C226" s="2" t="inlineStr">
        <is>
          <t>掛勾</t>
        </is>
      </c>
      <c r="D226" s="2" t="inlineStr">
        <is>
          <t>S型掛勾/鋁製 3入 5.5cm</t>
        </is>
      </c>
      <c r="E226" s="2" t="inlineStr">
        <is>
          <t>4550480785486</t>
        </is>
      </c>
      <c r="F226" s="2" t="n"/>
      <c r="G226" s="2" t="n">
        <v>5.5</v>
      </c>
      <c r="H226" s="2" t="n"/>
      <c r="I226" s="2" t="n"/>
      <c r="J226" s="2" t="n"/>
      <c r="K226" s="2" t="n"/>
      <c r="L226" s="2" t="n"/>
      <c r="M226" s="2" t="inlineStr">
        <is>
          <t>掛勾</t>
        </is>
      </c>
      <c r="N226" s="2" t="inlineStr">
        <is>
          <t>鋁</t>
        </is>
      </c>
      <c r="O226" s="2" t="inlineStr"/>
      <c r="P226" s="2" t="n"/>
      <c r="Q226" s="2" t="inlineStr">
        <is>
          <t>2026-10-26</t>
        </is>
      </c>
      <c r="R226" s="3" t="inlineStr">
        <is>
          <t>https://shop.daiso.com.tw/products/4550480785486</t>
        </is>
      </c>
      <c r="S226" s="2" t="inlineStr">
        <is>
          <t>官網</t>
        </is>
      </c>
      <c r="T226" s="2" t="inlineStr">
        <is>
          <t>high</t>
        </is>
      </c>
      <c r="U226" s="2" t="inlineStr"/>
      <c r="V226" s="2" t="inlineStr">
        <is>
          <t>SET:4550480785486|49|3|3;S型掛勾/鋁製 3入；規格表5.5×0.4×3cm</t>
        </is>
      </c>
    </row>
    <row r="227">
      <c r="A227" s="2" t="inlineStr">
        <is>
          <t>DAISO-A039</t>
        </is>
      </c>
      <c r="B227" s="2" t="inlineStr">
        <is>
          <t>DAISO</t>
        </is>
      </c>
      <c r="C227" s="2" t="inlineStr">
        <is>
          <t>掛勾</t>
        </is>
      </c>
      <c r="D227" s="2" t="inlineStr">
        <is>
          <t>SP 不鏽鋼S型掛勾/5.3x9.7cm 4入</t>
        </is>
      </c>
      <c r="E227" s="2" t="inlineStr">
        <is>
          <t>4550480506197</t>
        </is>
      </c>
      <c r="F227" s="2" t="n"/>
      <c r="G227" s="2" t="n">
        <v>9.699999999999999</v>
      </c>
      <c r="H227" s="2" t="n"/>
      <c r="I227" s="2" t="n"/>
      <c r="J227" s="2" t="n"/>
      <c r="K227" s="2" t="n"/>
      <c r="L227" s="2" t="n"/>
      <c r="M227" s="2" t="inlineStr">
        <is>
          <t>掛勾</t>
        </is>
      </c>
      <c r="N227" s="2" t="inlineStr">
        <is>
          <t>不鏽鋼</t>
        </is>
      </c>
      <c r="O227" s="2" t="inlineStr"/>
      <c r="P227" s="2" t="n"/>
      <c r="Q227" s="2" t="inlineStr">
        <is>
          <t>2026-10-26</t>
        </is>
      </c>
      <c r="R227" s="3" t="inlineStr">
        <is>
          <t>https://shop.daiso.com.tw/products/4550480506197</t>
        </is>
      </c>
      <c r="S227" s="2" t="inlineStr">
        <is>
          <t>官網</t>
        </is>
      </c>
      <c r="T227" s="2" t="inlineStr">
        <is>
          <t>high</t>
        </is>
      </c>
      <c r="U227" s="2" t="inlineStr"/>
      <c r="V227" s="2" t="inlineStr">
        <is>
          <t>SET:4550480506197|99|4|4;SP 不鏽鋼S型掛勾 4入；規格表9.7×8×1.2cm（商品名稱寫5.3x9.7cm）</t>
        </is>
      </c>
    </row>
    <row r="228">
      <c r="A228" s="2" t="inlineStr">
        <is>
          <t>DAISO-A040</t>
        </is>
      </c>
      <c r="B228" s="2" t="inlineStr">
        <is>
          <t>DAISO</t>
        </is>
      </c>
      <c r="C228" s="2" t="inlineStr">
        <is>
          <t>掛勾</t>
        </is>
      </c>
      <c r="D228" s="2" t="inlineStr">
        <is>
          <t>復古風S型掛勾/古銅色12cm</t>
        </is>
      </c>
      <c r="E228" s="2" t="inlineStr">
        <is>
          <t>4994163292487</t>
        </is>
      </c>
      <c r="F228" s="2" t="n"/>
      <c r="G228" s="2" t="n">
        <v>12</v>
      </c>
      <c r="H228" s="2" t="n"/>
      <c r="I228" s="2" t="n"/>
      <c r="J228" s="2" t="n"/>
      <c r="K228" s="2" t="n"/>
      <c r="L228" s="2" t="n">
        <v>5</v>
      </c>
      <c r="M228" s="2" t="inlineStr">
        <is>
          <t>掛勾</t>
        </is>
      </c>
      <c r="N228" s="2" t="inlineStr"/>
      <c r="O228" s="2" t="inlineStr">
        <is>
          <t>古銅色</t>
        </is>
      </c>
      <c r="P228" s="2" t="n">
        <v>49</v>
      </c>
      <c r="Q228" s="2" t="inlineStr">
        <is>
          <t>2026-10-26</t>
        </is>
      </c>
      <c r="R228" s="3" t="inlineStr">
        <is>
          <t>https://shop.daiso.com.tw/products/4994163292487</t>
        </is>
      </c>
      <c r="S228" s="2" t="inlineStr">
        <is>
          <t>官網</t>
        </is>
      </c>
      <c r="T228" s="2" t="inlineStr">
        <is>
          <t>high</t>
        </is>
      </c>
      <c r="U228" s="2" t="inlineStr"/>
      <c r="V228" s="2" t="inlineStr">
        <is>
          <t>復古風S型掛勾；規格表0.7×3.5×12cm</t>
        </is>
      </c>
    </row>
    <row r="229">
      <c r="A229" s="2" t="inlineStr">
        <is>
          <t>DAISO-A041</t>
        </is>
      </c>
      <c r="B229" s="2" t="inlineStr">
        <is>
          <t>DAISO</t>
        </is>
      </c>
      <c r="C229" s="2" t="inlineStr">
        <is>
          <t>掛勾</t>
        </is>
      </c>
      <c r="D229" s="2" t="inlineStr">
        <is>
          <t>復古風S型掛勾/金屬色12cm</t>
        </is>
      </c>
      <c r="E229" s="2" t="inlineStr">
        <is>
          <t>4994163292463</t>
        </is>
      </c>
      <c r="F229" s="2" t="n"/>
      <c r="G229" s="2" t="n">
        <v>12</v>
      </c>
      <c r="H229" s="2" t="n"/>
      <c r="I229" s="2" t="n"/>
      <c r="J229" s="2" t="n"/>
      <c r="K229" s="2" t="n"/>
      <c r="L229" s="2" t="n">
        <v>5</v>
      </c>
      <c r="M229" s="2" t="inlineStr">
        <is>
          <t>掛勾</t>
        </is>
      </c>
      <c r="N229" s="2" t="inlineStr"/>
      <c r="O229" s="2" t="inlineStr">
        <is>
          <t>金屬色</t>
        </is>
      </c>
      <c r="P229" s="2" t="n">
        <v>49</v>
      </c>
      <c r="Q229" s="2" t="inlineStr">
        <is>
          <t>2026-10-26</t>
        </is>
      </c>
      <c r="R229" s="3" t="inlineStr">
        <is>
          <t>https://shop.daiso.com.tw/products/4994163292463</t>
        </is>
      </c>
      <c r="S229" s="2" t="inlineStr">
        <is>
          <t>官網</t>
        </is>
      </c>
      <c r="T229" s="2" t="inlineStr">
        <is>
          <t>high</t>
        </is>
      </c>
      <c r="U229" s="2" t="inlineStr"/>
      <c r="V229" s="2" t="inlineStr">
        <is>
          <t>復古風S型掛勾；規格表0.7×3.5×12cm</t>
        </is>
      </c>
    </row>
    <row r="230">
      <c r="A230" s="2" t="inlineStr">
        <is>
          <t>DAISO-A042</t>
        </is>
      </c>
      <c r="B230" s="2" t="inlineStr">
        <is>
          <t>DAISO</t>
        </is>
      </c>
      <c r="C230" s="2" t="inlineStr">
        <is>
          <t>掛勾</t>
        </is>
      </c>
      <c r="D230" s="2" t="inlineStr">
        <is>
          <t>門後掛勾/2連 白、黒</t>
        </is>
      </c>
      <c r="E230" s="2" t="inlineStr">
        <is>
          <t>4550480477435</t>
        </is>
      </c>
      <c r="F230" s="2" t="n"/>
      <c r="G230" s="2" t="n">
        <v>20.5</v>
      </c>
      <c r="H230" s="2" t="n"/>
      <c r="I230" s="2" t="n"/>
      <c r="J230" s="2" t="n"/>
      <c r="K230" s="2" t="n"/>
      <c r="L230" s="2" t="n"/>
      <c r="M230" s="2" t="inlineStr">
        <is>
          <t>掛門</t>
        </is>
      </c>
      <c r="N230" s="2" t="inlineStr"/>
      <c r="O230" s="2" t="inlineStr">
        <is>
          <t>白/黑</t>
        </is>
      </c>
      <c r="P230" s="2" t="n">
        <v>49</v>
      </c>
      <c r="Q230" s="2" t="inlineStr">
        <is>
          <t>2026-10-26</t>
        </is>
      </c>
      <c r="R230" s="3" t="inlineStr">
        <is>
          <t>https://shop.daiso.com.tw/products/4550480477435</t>
        </is>
      </c>
      <c r="S230" s="2" t="inlineStr">
        <is>
          <t>官網</t>
        </is>
      </c>
      <c r="T230" s="2" t="inlineStr">
        <is>
          <t>high</t>
        </is>
      </c>
      <c r="U230" s="2" t="inlineStr"/>
      <c r="V230" s="2" t="inlineStr">
        <is>
          <t>門後掛勾 2連；規格表10.5×20.5×2cm；顏色隨機出貨</t>
        </is>
      </c>
    </row>
    <row r="231">
      <c r="A231" s="2" t="inlineStr">
        <is>
          <t>DAISO-A043</t>
        </is>
      </c>
      <c r="B231" s="2" t="inlineStr">
        <is>
          <t>DAISO</t>
        </is>
      </c>
      <c r="C231" s="2" t="inlineStr">
        <is>
          <t>掛勾</t>
        </is>
      </c>
      <c r="D231" s="2" t="inlineStr">
        <is>
          <t>門後掛勾/6連 白、黒</t>
        </is>
      </c>
      <c r="E231" s="2" t="inlineStr">
        <is>
          <t>4550480477459</t>
        </is>
      </c>
      <c r="F231" s="2" t="n"/>
      <c r="G231" s="2" t="n">
        <v>27.5</v>
      </c>
      <c r="H231" s="2" t="n"/>
      <c r="I231" s="2" t="n"/>
      <c r="J231" s="2" t="n"/>
      <c r="K231" s="2" t="n"/>
      <c r="L231" s="2" t="n"/>
      <c r="M231" s="2" t="inlineStr">
        <is>
          <t>掛門</t>
        </is>
      </c>
      <c r="N231" s="2" t="inlineStr"/>
      <c r="O231" s="2" t="inlineStr">
        <is>
          <t>白/黑</t>
        </is>
      </c>
      <c r="P231" s="2" t="n">
        <v>69</v>
      </c>
      <c r="Q231" s="2" t="inlineStr">
        <is>
          <t>2026-10-26</t>
        </is>
      </c>
      <c r="R231" s="3" t="inlineStr">
        <is>
          <t>https://shop.daiso.com.tw/products/4550480477459</t>
        </is>
      </c>
      <c r="S231" s="2" t="inlineStr">
        <is>
          <t>官網</t>
        </is>
      </c>
      <c r="T231" s="2" t="inlineStr">
        <is>
          <t>high</t>
        </is>
      </c>
      <c r="U231" s="2" t="inlineStr"/>
      <c r="V231" s="2" t="inlineStr">
        <is>
          <t>門後掛勾 6連；規格表27.5×20.5×10.4cm；顏色隨機出貨</t>
        </is>
      </c>
    </row>
    <row r="232">
      <c r="A232" s="2" t="inlineStr">
        <is>
          <t>DAISO-A044</t>
        </is>
      </c>
      <c r="B232" s="2" t="inlineStr">
        <is>
          <t>DAISO</t>
        </is>
      </c>
      <c r="C232" s="2" t="inlineStr">
        <is>
          <t>掛勾</t>
        </is>
      </c>
      <c r="D232" s="2" t="inlineStr">
        <is>
          <t>5連門後掛勾/白、黑</t>
        </is>
      </c>
      <c r="E232" s="2" t="inlineStr">
        <is>
          <t>4550480477466</t>
        </is>
      </c>
      <c r="F232" s="2" t="n"/>
      <c r="G232" s="2" t="n">
        <v>42.3</v>
      </c>
      <c r="H232" s="2" t="n"/>
      <c r="I232" s="2" t="n"/>
      <c r="J232" s="2" t="n"/>
      <c r="K232" s="2" t="n"/>
      <c r="L232" s="2" t="n"/>
      <c r="M232" s="2" t="inlineStr">
        <is>
          <t>掛門</t>
        </is>
      </c>
      <c r="N232" s="2" t="inlineStr"/>
      <c r="O232" s="2" t="inlineStr">
        <is>
          <t>白/黑</t>
        </is>
      </c>
      <c r="P232" s="2" t="n">
        <v>99</v>
      </c>
      <c r="Q232" s="2" t="inlineStr">
        <is>
          <t>2026-10-26</t>
        </is>
      </c>
      <c r="R232" s="3" t="inlineStr">
        <is>
          <t>https://shop.daiso.com.tw/products/4550480477466</t>
        </is>
      </c>
      <c r="S232" s="2" t="inlineStr">
        <is>
          <t>官網</t>
        </is>
      </c>
      <c r="T232" s="2" t="inlineStr">
        <is>
          <t>high</t>
        </is>
      </c>
      <c r="U232" s="2" t="inlineStr"/>
      <c r="V232" s="2" t="inlineStr">
        <is>
          <t>5連門後掛勾；規格表42.3×22×10.4cm；顏色隨機出貨</t>
        </is>
      </c>
    </row>
    <row r="233">
      <c r="A233" s="2" t="inlineStr">
        <is>
          <t>DAISO-A045</t>
        </is>
      </c>
      <c r="B233" s="2" t="inlineStr">
        <is>
          <t>DAISO</t>
        </is>
      </c>
      <c r="C233" s="2" t="inlineStr">
        <is>
          <t>掛勾</t>
        </is>
      </c>
      <c r="D233" s="2" t="inlineStr">
        <is>
          <t>直立式5段門後掛勾/ドアフック</t>
        </is>
      </c>
      <c r="E233" s="2" t="inlineStr">
        <is>
          <t>4994163290889</t>
        </is>
      </c>
      <c r="F233" s="2" t="n"/>
      <c r="G233" s="2" t="n">
        <v>29.5</v>
      </c>
      <c r="H233" s="2" t="n"/>
      <c r="I233" s="2" t="n"/>
      <c r="J233" s="2" t="n"/>
      <c r="K233" s="2" t="n"/>
      <c r="L233" s="2" t="n"/>
      <c r="M233" s="2" t="inlineStr">
        <is>
          <t>掛門</t>
        </is>
      </c>
      <c r="N233" s="2" t="inlineStr"/>
      <c r="O233" s="2" t="inlineStr"/>
      <c r="P233" s="2" t="n">
        <v>49</v>
      </c>
      <c r="Q233" s="2" t="inlineStr">
        <is>
          <t>2026-10-26</t>
        </is>
      </c>
      <c r="R233" s="3" t="inlineStr">
        <is>
          <t>https://shop.daiso.com.tw/products/4994163290889</t>
        </is>
      </c>
      <c r="S233" s="2" t="inlineStr">
        <is>
          <t>官網</t>
        </is>
      </c>
      <c r="T233" s="2" t="inlineStr">
        <is>
          <t>high</t>
        </is>
      </c>
      <c r="U233" s="2" t="inlineStr">
        <is>
          <t>掛於浴室、房間，收納衣服、帽子與包包等用品</t>
        </is>
      </c>
      <c r="V233" s="2" t="inlineStr">
        <is>
          <t>直立式5段門後掛勾，無須組裝可直接掛用；規格表12×3.5×29.5cm；日本製</t>
        </is>
      </c>
    </row>
    <row r="234">
      <c r="A234" s="2" t="inlineStr">
        <is>
          <t>DAISO-A046</t>
        </is>
      </c>
      <c r="B234" s="2" t="inlineStr">
        <is>
          <t>DAISO</t>
        </is>
      </c>
      <c r="C234" s="2" t="inlineStr">
        <is>
          <t>掛勾</t>
        </is>
      </c>
      <c r="D234" s="2" t="inlineStr">
        <is>
          <t>牆壁7連掛勾/白</t>
        </is>
      </c>
      <c r="E234" s="2" t="inlineStr">
        <is>
          <t>4550480387956</t>
        </is>
      </c>
      <c r="F234" s="2" t="n"/>
      <c r="G234" s="2" t="n">
        <v>40</v>
      </c>
      <c r="H234" s="2" t="n"/>
      <c r="I234" s="2" t="n"/>
      <c r="J234" s="2" t="n"/>
      <c r="K234" s="2" t="n"/>
      <c r="L234" s="2" t="n">
        <v>1</v>
      </c>
      <c r="M234" s="2" t="inlineStr">
        <is>
          <t>螺絲</t>
        </is>
      </c>
      <c r="N234" s="2" t="inlineStr"/>
      <c r="O234" s="2" t="inlineStr">
        <is>
          <t>白</t>
        </is>
      </c>
      <c r="P234" s="2" t="n">
        <v>49</v>
      </c>
      <c r="Q234" s="2" t="inlineStr">
        <is>
          <t>2026-10-26</t>
        </is>
      </c>
      <c r="R234" s="3" t="inlineStr">
        <is>
          <t>https://shop.daiso.com.tw/products/4550480387956</t>
        </is>
      </c>
      <c r="S234" s="2" t="inlineStr">
        <is>
          <t>官網</t>
        </is>
      </c>
      <c r="T234" s="2" t="inlineStr">
        <is>
          <t>high</t>
        </is>
      </c>
      <c r="U234" s="2" t="inlineStr"/>
      <c r="V234" s="2" t="inlineStr">
        <is>
          <t>牆壁7連掛勾；本體40×6.8×3cm，附螺絲</t>
        </is>
      </c>
    </row>
    <row r="235">
      <c r="A235" s="2" t="inlineStr">
        <is>
          <t>DAISO-A047</t>
        </is>
      </c>
      <c r="B235" s="2" t="inlineStr">
        <is>
          <t>DAISO</t>
        </is>
      </c>
      <c r="C235" s="2" t="inlineStr">
        <is>
          <t>掛勾</t>
        </is>
      </c>
      <c r="D235" s="2" t="inlineStr">
        <is>
          <t>廚櫃掛勾/2入 レジ袋ホルダー　シンク用</t>
        </is>
      </c>
      <c r="E235" s="2" t="inlineStr">
        <is>
          <t>4962964017707</t>
        </is>
      </c>
      <c r="F235" s="2" t="n"/>
      <c r="G235" s="2" t="n">
        <v>8.5</v>
      </c>
      <c r="H235" s="2" t="n"/>
      <c r="I235" s="2" t="n"/>
      <c r="J235" s="2" t="n"/>
      <c r="K235" s="2" t="n"/>
      <c r="L235" s="2" t="n">
        <v>0.5</v>
      </c>
      <c r="M235" s="2" t="inlineStr">
        <is>
          <t>掛勾</t>
        </is>
      </c>
      <c r="N235" s="2" t="inlineStr"/>
      <c r="O235" s="2" t="inlineStr"/>
      <c r="P235" s="2" t="n"/>
      <c r="Q235" s="2" t="inlineStr">
        <is>
          <t>2026-10-26</t>
        </is>
      </c>
      <c r="R235" s="3" t="inlineStr">
        <is>
          <t>https://shop.daiso.com.tw/products/4962964017707</t>
        </is>
      </c>
      <c r="S235" s="2" t="inlineStr">
        <is>
          <t>官網</t>
        </is>
      </c>
      <c r="T235" s="2" t="inlineStr">
        <is>
          <t>high</t>
        </is>
      </c>
      <c r="U235" s="2" t="inlineStr">
        <is>
          <t>於廚房流理台門上掛置垃圾袋，或用來固定門柄</t>
        </is>
      </c>
      <c r="V235" s="2" t="inlineStr">
        <is>
          <t>SET:4962964017707|49|2|2;廚櫃掛勾 2入（櫃門掛勾）；單個耐重約500g（官方另寫耐重約1kg，推定為2個合計）；規格表約2.5×3.3×8.5cm；日本製</t>
        </is>
      </c>
    </row>
    <row r="236">
      <c r="A236" s="2" t="inlineStr">
        <is>
          <t>DAISO-A048</t>
        </is>
      </c>
      <c r="B236" s="2" t="inlineStr">
        <is>
          <t>DAISO</t>
        </is>
      </c>
      <c r="C236" s="2" t="inlineStr">
        <is>
          <t>掛勾</t>
        </is>
      </c>
      <c r="D236" s="2" t="inlineStr">
        <is>
          <t>磁吸式掛勾/3cm</t>
        </is>
      </c>
      <c r="E236" s="2" t="inlineStr">
        <is>
          <t>4549131706918</t>
        </is>
      </c>
      <c r="F236" s="2" t="n"/>
      <c r="G236" s="2" t="n">
        <v>5</v>
      </c>
      <c r="H236" s="2" t="n"/>
      <c r="I236" s="2" t="n"/>
      <c r="J236" s="2" t="n"/>
      <c r="K236" s="2" t="n"/>
      <c r="L236" s="2" t="n">
        <v>2</v>
      </c>
      <c r="M236" s="2" t="inlineStr">
        <is>
          <t>磁吸</t>
        </is>
      </c>
      <c r="N236" s="2" t="inlineStr"/>
      <c r="O236" s="2" t="inlineStr"/>
      <c r="P236" s="2" t="n">
        <v>49</v>
      </c>
      <c r="Q236" s="2" t="inlineStr">
        <is>
          <t>2026-10-26</t>
        </is>
      </c>
      <c r="R236" s="3" t="inlineStr">
        <is>
          <t>https://shop.daiso.com.tw/products/4549131706918</t>
        </is>
      </c>
      <c r="S236" s="2" t="inlineStr">
        <is>
          <t>官網</t>
        </is>
      </c>
      <c r="T236" s="2" t="inlineStr">
        <is>
          <t>high</t>
        </is>
      </c>
      <c r="U236" s="2" t="inlineStr"/>
      <c r="V236" s="2" t="inlineStr">
        <is>
          <t>磁吸式掛勾/3cm；規格表3×2×5cm</t>
        </is>
      </c>
    </row>
    <row r="237">
      <c r="A237" s="2" t="inlineStr">
        <is>
          <t>DAISO-A049</t>
        </is>
      </c>
      <c r="B237" s="2" t="inlineStr">
        <is>
          <t>DAISO</t>
        </is>
      </c>
      <c r="C237" s="2" t="inlineStr">
        <is>
          <t>掛勾</t>
        </is>
      </c>
      <c r="D237" s="2" t="inlineStr">
        <is>
          <t>多功能磁吸式掛勾/矽膠 黑 2入</t>
        </is>
      </c>
      <c r="E237" s="2" t="inlineStr">
        <is>
          <t>4550480878287</t>
        </is>
      </c>
      <c r="F237" s="2" t="n"/>
      <c r="G237" s="2" t="n">
        <v>5</v>
      </c>
      <c r="H237" s="2" t="n"/>
      <c r="I237" s="2" t="n"/>
      <c r="J237" s="2" t="n"/>
      <c r="K237" s="2" t="n"/>
      <c r="L237" s="2" t="n"/>
      <c r="M237" s="2" t="inlineStr">
        <is>
          <t>磁吸</t>
        </is>
      </c>
      <c r="N237" s="2" t="inlineStr">
        <is>
          <t>矽膠</t>
        </is>
      </c>
      <c r="O237" s="2" t="inlineStr">
        <is>
          <t>黑</t>
        </is>
      </c>
      <c r="P237" s="2" t="n"/>
      <c r="Q237" s="2" t="inlineStr">
        <is>
          <t>2026-10-26</t>
        </is>
      </c>
      <c r="R237" s="3" t="inlineStr">
        <is>
          <t>https://shop.daiso.com.tw/products/4550480878287</t>
        </is>
      </c>
      <c r="S237" s="2" t="inlineStr">
        <is>
          <t>官網</t>
        </is>
      </c>
      <c r="T237" s="2" t="inlineStr">
        <is>
          <t>high</t>
        </is>
      </c>
      <c r="U237" s="2" t="inlineStr"/>
      <c r="V237" s="2" t="inlineStr">
        <is>
          <t>SET:4550480878287|49|2|2;多功能磁吸式掛勾 2入；規格表1.8×5×0.9cm</t>
        </is>
      </c>
    </row>
    <row r="238">
      <c r="A238" s="2" t="inlineStr">
        <is>
          <t>DAISO-A050</t>
        </is>
      </c>
      <c r="B238" s="2" t="inlineStr">
        <is>
          <t>DAISO</t>
        </is>
      </c>
      <c r="C238" s="2" t="inlineStr">
        <is>
          <t>掛勾</t>
        </is>
      </c>
      <c r="D238" s="2" t="inlineStr">
        <is>
          <t>黏貼式掛勾/圓形 2入</t>
        </is>
      </c>
      <c r="E238" s="2" t="inlineStr">
        <is>
          <t>4550480172491</t>
        </is>
      </c>
      <c r="F238" s="2" t="n"/>
      <c r="G238" s="2" t="n">
        <v>5.8</v>
      </c>
      <c r="H238" s="2" t="n"/>
      <c r="I238" s="2" t="n"/>
      <c r="J238" s="2" t="n"/>
      <c r="K238" s="2" t="n"/>
      <c r="L238" s="2" t="n">
        <v>1</v>
      </c>
      <c r="M238" s="2" t="inlineStr">
        <is>
          <t>黏貼</t>
        </is>
      </c>
      <c r="N238" s="2" t="inlineStr"/>
      <c r="O238" s="2" t="inlineStr"/>
      <c r="P238" s="2" t="n"/>
      <c r="Q238" s="2" t="inlineStr">
        <is>
          <t>2026-10-26</t>
        </is>
      </c>
      <c r="R238" s="3" t="inlineStr">
        <is>
          <t>https://shop.daiso.com.tw/products/4550480172491</t>
        </is>
      </c>
      <c r="S238" s="2" t="inlineStr">
        <is>
          <t>官網</t>
        </is>
      </c>
      <c r="T238" s="2" t="inlineStr">
        <is>
          <t>high</t>
        </is>
      </c>
      <c r="U238" s="2" t="inlineStr"/>
      <c r="V238" s="2" t="inlineStr">
        <is>
          <t>SET:4550480172491|49|2|2;黏貼式掛勾/圓形 2入；規格表3.8×5.8×2.5cm；官方列有可/不可安裝表面</t>
        </is>
      </c>
    </row>
    <row r="239">
      <c r="A239" s="2" t="inlineStr">
        <is>
          <t>DAISO-A051</t>
        </is>
      </c>
      <c r="B239" s="2" t="inlineStr">
        <is>
          <t>DAISO</t>
        </is>
      </c>
      <c r="C239" s="2" t="inlineStr">
        <is>
          <t>掛勾</t>
        </is>
      </c>
      <c r="D239" s="2" t="inlineStr">
        <is>
          <t>黏貼式掛勾/方形 2入</t>
        </is>
      </c>
      <c r="E239" s="2" t="inlineStr">
        <is>
          <t>4550480172460</t>
        </is>
      </c>
      <c r="F239" s="2" t="n"/>
      <c r="G239" s="2" t="n">
        <v>5.8</v>
      </c>
      <c r="H239" s="2" t="n"/>
      <c r="I239" s="2" t="n"/>
      <c r="J239" s="2" t="n"/>
      <c r="K239" s="2" t="n"/>
      <c r="L239" s="2" t="n">
        <v>1</v>
      </c>
      <c r="M239" s="2" t="inlineStr">
        <is>
          <t>黏貼</t>
        </is>
      </c>
      <c r="N239" s="2" t="inlineStr"/>
      <c r="O239" s="2" t="inlineStr"/>
      <c r="P239" s="2" t="n"/>
      <c r="Q239" s="2" t="inlineStr">
        <is>
          <t>2026-10-26</t>
        </is>
      </c>
      <c r="R239" s="3" t="inlineStr">
        <is>
          <t>https://shop.daiso.com.tw/products/4550480172460</t>
        </is>
      </c>
      <c r="S239" s="2" t="inlineStr">
        <is>
          <t>官網</t>
        </is>
      </c>
      <c r="T239" s="2" t="inlineStr">
        <is>
          <t>high</t>
        </is>
      </c>
      <c r="U239" s="2" t="inlineStr"/>
      <c r="V239" s="2" t="inlineStr">
        <is>
          <t>SET:4550480172460|49|2|2;黏貼式掛勾/方形 2入；規格表3.8×5.8×2.5cm</t>
        </is>
      </c>
    </row>
    <row r="240">
      <c r="A240" s="2" t="inlineStr">
        <is>
          <t>DAISO-A052</t>
        </is>
      </c>
      <c r="B240" s="2" t="inlineStr">
        <is>
          <t>DAISO</t>
        </is>
      </c>
      <c r="C240" s="2" t="inlineStr">
        <is>
          <t>掛勾</t>
        </is>
      </c>
      <c r="D240" s="2" t="inlineStr">
        <is>
          <t>黏貼式掛勾/長方形 2入</t>
        </is>
      </c>
      <c r="E240" s="2" t="inlineStr">
        <is>
          <t>4550480172514</t>
        </is>
      </c>
      <c r="F240" s="2" t="n"/>
      <c r="G240" s="2" t="n">
        <v>4.6</v>
      </c>
      <c r="H240" s="2" t="n"/>
      <c r="I240" s="2" t="n"/>
      <c r="J240" s="2" t="n"/>
      <c r="K240" s="2" t="n"/>
      <c r="L240" s="2" t="n">
        <v>1</v>
      </c>
      <c r="M240" s="2" t="inlineStr">
        <is>
          <t>黏貼</t>
        </is>
      </c>
      <c r="N240" s="2" t="inlineStr"/>
      <c r="O240" s="2" t="inlineStr"/>
      <c r="P240" s="2" t="n"/>
      <c r="Q240" s="2" t="inlineStr">
        <is>
          <t>2026-10-26</t>
        </is>
      </c>
      <c r="R240" s="3" t="inlineStr">
        <is>
          <t>https://shop.daiso.com.tw/products/4550480172514</t>
        </is>
      </c>
      <c r="S240" s="2" t="inlineStr">
        <is>
          <t>官網</t>
        </is>
      </c>
      <c r="T240" s="2" t="inlineStr">
        <is>
          <t>high</t>
        </is>
      </c>
      <c r="U240" s="2" t="inlineStr"/>
      <c r="V240" s="2" t="inlineStr">
        <is>
          <t>SET:4550480172514|49|2|2;黏貼式掛勾/長方形 2入；規格表3.2×4.6×2.6cm</t>
        </is>
      </c>
    </row>
    <row r="241">
      <c r="A241" s="2" t="inlineStr">
        <is>
          <t>DAISO-A053</t>
        </is>
      </c>
      <c r="B241" s="2" t="inlineStr">
        <is>
          <t>DAISO</t>
        </is>
      </c>
      <c r="C241" s="2" t="inlineStr">
        <is>
          <t>掛勾</t>
        </is>
      </c>
      <c r="D241" s="2" t="inlineStr">
        <is>
          <t>黏貼式不鏽鋼迷你掛勾/ 5入</t>
        </is>
      </c>
      <c r="E241" s="2" t="inlineStr">
        <is>
          <t>4550480172446</t>
        </is>
      </c>
      <c r="F241" s="2" t="n"/>
      <c r="G241" s="2" t="n">
        <v>2.7</v>
      </c>
      <c r="H241" s="2" t="n"/>
      <c r="I241" s="2" t="n"/>
      <c r="J241" s="2" t="n"/>
      <c r="K241" s="2" t="n"/>
      <c r="L241" s="2" t="n">
        <v>0.5</v>
      </c>
      <c r="M241" s="2" t="inlineStr">
        <is>
          <t>黏貼</t>
        </is>
      </c>
      <c r="N241" s="2" t="inlineStr">
        <is>
          <t>不鏽鋼</t>
        </is>
      </c>
      <c r="O241" s="2" t="inlineStr"/>
      <c r="P241" s="2" t="n"/>
      <c r="Q241" s="2" t="inlineStr">
        <is>
          <t>2026-10-26</t>
        </is>
      </c>
      <c r="R241" s="3" t="inlineStr">
        <is>
          <t>https://shop.daiso.com.tw/products/4550480172446</t>
        </is>
      </c>
      <c r="S241" s="2" t="inlineStr">
        <is>
          <t>官網</t>
        </is>
      </c>
      <c r="T241" s="2" t="inlineStr">
        <is>
          <t>high</t>
        </is>
      </c>
      <c r="U241" s="2" t="inlineStr"/>
      <c r="V241" s="2" t="inlineStr">
        <is>
          <t>SET:4550480172446|49|5|5;黏貼式不鏽鋼迷你掛勾 5入；規格表1.8×2.7×1.3cm</t>
        </is>
      </c>
    </row>
    <row r="242">
      <c r="A242" s="2" t="inlineStr">
        <is>
          <t>DAISO-A054</t>
        </is>
      </c>
      <c r="B242" s="2" t="inlineStr">
        <is>
          <t>DAISO</t>
        </is>
      </c>
      <c r="C242" s="2" t="inlineStr">
        <is>
          <t>掛勾</t>
        </is>
      </c>
      <c r="D242" s="2" t="inlineStr">
        <is>
          <t>木紋黏著式掛勾/3入 木目フック</t>
        </is>
      </c>
      <c r="E242" s="2" t="inlineStr">
        <is>
          <t>4984343033191</t>
        </is>
      </c>
      <c r="F242" s="2" t="n"/>
      <c r="G242" s="2" t="n">
        <v>4</v>
      </c>
      <c r="H242" s="2" t="n"/>
      <c r="I242" s="2" t="n"/>
      <c r="J242" s="2" t="n"/>
      <c r="K242" s="2" t="n"/>
      <c r="L242" s="2" t="n">
        <v>0.5</v>
      </c>
      <c r="M242" s="2" t="inlineStr">
        <is>
          <t>黏貼</t>
        </is>
      </c>
      <c r="N242" s="2" t="inlineStr"/>
      <c r="O242" s="2" t="inlineStr">
        <is>
          <t>木紋</t>
        </is>
      </c>
      <c r="P242" s="2" t="n"/>
      <c r="Q242" s="2" t="inlineStr">
        <is>
          <t>2026-10-26</t>
        </is>
      </c>
      <c r="R242" s="3" t="inlineStr">
        <is>
          <t>https://shop.daiso.com.tw/products/4984343033191</t>
        </is>
      </c>
      <c r="S242" s="2" t="inlineStr">
        <is>
          <t>官網</t>
        </is>
      </c>
      <c r="T242" s="2" t="inlineStr">
        <is>
          <t>high</t>
        </is>
      </c>
      <c r="U242" s="2" t="inlineStr"/>
      <c r="V242" s="2" t="inlineStr">
        <is>
          <t>SET:4984343033191|49|3|3;木紋黏著式掛勾 3入；單個耐重約500g；規格表約4×2.5×2.3cm</t>
        </is>
      </c>
    </row>
    <row r="243">
      <c r="A243" s="2" t="inlineStr">
        <is>
          <t>DAISO-A055</t>
        </is>
      </c>
      <c r="B243" s="2" t="inlineStr">
        <is>
          <t>DAISO</t>
        </is>
      </c>
      <c r="C243" s="2" t="inlineStr">
        <is>
          <t>掛勾</t>
        </is>
      </c>
      <c r="D243" s="2" t="inlineStr">
        <is>
          <t>桌邊掛勾/A</t>
        </is>
      </c>
      <c r="E243" s="2" t="inlineStr">
        <is>
          <t>4550480878539</t>
        </is>
      </c>
      <c r="F243" s="2" t="n"/>
      <c r="G243" s="2" t="n">
        <v>11</v>
      </c>
      <c r="H243" s="2" t="n"/>
      <c r="I243" s="2" t="n"/>
      <c r="J243" s="2" t="n"/>
      <c r="K243" s="2" t="n"/>
      <c r="L243" s="2" t="n"/>
      <c r="M243" s="2" t="inlineStr"/>
      <c r="N243" s="2" t="inlineStr"/>
      <c r="O243" s="2" t="inlineStr">
        <is>
          <t>白/黑</t>
        </is>
      </c>
      <c r="P243" s="2" t="n">
        <v>69</v>
      </c>
      <c r="Q243" s="2" t="inlineStr">
        <is>
          <t>2026-10-26</t>
        </is>
      </c>
      <c r="R243" s="3" t="inlineStr">
        <is>
          <t>https://shop.daiso.com.tw/products/4550480878539</t>
        </is>
      </c>
      <c r="S243" s="2" t="inlineStr">
        <is>
          <t>官網</t>
        </is>
      </c>
      <c r="T243" s="2" t="inlineStr">
        <is>
          <t>medium</t>
        </is>
      </c>
      <c r="U243" s="2" t="inlineStr"/>
      <c r="V243" s="2" t="inlineStr">
        <is>
          <t>桌邊掛勾/A；規格表9.5×11×2.3cm；官方未說明安裝方式；顏色隨機出貨</t>
        </is>
      </c>
    </row>
    <row r="244">
      <c r="A244" s="2" t="inlineStr">
        <is>
          <t>DAISO-A056</t>
        </is>
      </c>
      <c r="B244" s="2" t="inlineStr">
        <is>
          <t>DAISO</t>
        </is>
      </c>
      <c r="C244" s="2" t="inlineStr">
        <is>
          <t>掛勾</t>
        </is>
      </c>
      <c r="D244" s="2" t="inlineStr">
        <is>
          <t>桌邊掛勾/B</t>
        </is>
      </c>
      <c r="E244" s="2" t="inlineStr">
        <is>
          <t>4550480878522</t>
        </is>
      </c>
      <c r="F244" s="2" t="n"/>
      <c r="G244" s="2" t="n">
        <v>12.2</v>
      </c>
      <c r="H244" s="2" t="n"/>
      <c r="I244" s="2" t="n"/>
      <c r="J244" s="2" t="n"/>
      <c r="K244" s="2" t="n"/>
      <c r="L244" s="2" t="n"/>
      <c r="M244" s="2" t="inlineStr"/>
      <c r="N244" s="2" t="inlineStr"/>
      <c r="O244" s="2" t="inlineStr">
        <is>
          <t>白/黑</t>
        </is>
      </c>
      <c r="P244" s="2" t="n">
        <v>69</v>
      </c>
      <c r="Q244" s="2" t="inlineStr">
        <is>
          <t>2026-10-26</t>
        </is>
      </c>
      <c r="R244" s="3" t="inlineStr">
        <is>
          <t>https://shop.daiso.com.tw/products/4550480878522</t>
        </is>
      </c>
      <c r="S244" s="2" t="inlineStr">
        <is>
          <t>官網</t>
        </is>
      </c>
      <c r="T244" s="2" t="inlineStr">
        <is>
          <t>medium</t>
        </is>
      </c>
      <c r="U244" s="2" t="inlineStr"/>
      <c r="V244" s="2" t="inlineStr">
        <is>
          <t>桌邊掛勾/B；規格表11.2×12.2×2.3cm；官方未說明安裝方式；顏色隨機出貨</t>
        </is>
      </c>
    </row>
  </sheetData>
  <autoFilter ref="A1:V244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0" customWidth="1" min="4" max="4"/>
    <col width="60" customWidth="1" min="5" max="5"/>
    <col width="50" customWidth="1" min="6" max="6"/>
    <col width="16" customWidth="1" min="7" max="7"/>
    <col width="16" customWidth="1" min="8" max="8"/>
    <col width="11" customWidth="1" min="9" max="9"/>
    <col width="36" customWidth="1" min="10" max="10"/>
    <col width="11" customWidth="1" min="11" max="11"/>
    <col width="30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編號</t>
        </is>
      </c>
      <c r="B1" s="1" t="inlineStr">
        <is>
          <t>空間</t>
        </is>
      </c>
      <c r="C1" s="1" t="inlineStr">
        <is>
          <t>主題</t>
        </is>
      </c>
      <c r="D1" s="1" t="inlineStr">
        <is>
          <t>技巧</t>
        </is>
      </c>
      <c r="E1" s="1" t="inlineStr">
        <is>
          <t>摘要</t>
        </is>
      </c>
      <c r="F1" s="1" t="inlineStr">
        <is>
          <t>步驟</t>
        </is>
      </c>
      <c r="G1" s="1" t="inlineStr">
        <is>
          <t>提到的盒子系列</t>
        </is>
      </c>
      <c r="H1" s="1" t="inlineStr">
        <is>
          <t>用到的配件</t>
        </is>
      </c>
      <c r="I1" s="1" t="inlineStr">
        <is>
          <t>相關品牌</t>
        </is>
      </c>
      <c r="J1" s="1" t="inlineStr">
        <is>
          <t>出處</t>
        </is>
      </c>
      <c r="K1" s="1" t="inlineStr">
        <is>
          <t>來源類型</t>
        </is>
      </c>
      <c r="L1" s="1" t="inlineStr">
        <is>
          <t>網址</t>
        </is>
      </c>
      <c r="M1" s="1" t="inlineStr">
        <is>
          <t>發布日</t>
        </is>
      </c>
      <c r="N1" s="1" t="inlineStr">
        <is>
          <t>查核日</t>
        </is>
      </c>
      <c r="O1" s="1" t="inlineStr">
        <is>
          <t>原文語言</t>
        </is>
      </c>
      <c r="P1" s="1" t="inlineStr">
        <is>
          <t>可信度</t>
        </is>
      </c>
    </row>
    <row r="2">
      <c r="A2" s="4" t="inlineStr">
        <is>
          <t>TB-001</t>
        </is>
      </c>
      <c r="B2" s="4" t="inlineStr">
        <is>
          <t>廚房</t>
        </is>
      </c>
      <c r="C2" s="4" t="inlineStr">
        <is>
          <t>分區</t>
        </is>
      </c>
      <c r="D2" s="4" t="inlineStr">
        <is>
          <t>依水槽、備料台、爐台三條直線分區收納</t>
        </is>
      </c>
      <c r="E2" s="4" t="inlineStr">
        <is>
          <t>把廚房依「水槽一帶、備料台一帶、爐台一帶」縱向切開，各區只放該區用得到的東西，就能大致記住物品位置並縮短動線；同一區內再依使用頻率與重量決定放在高處或低處。</t>
        </is>
      </c>
      <c r="F2" s="4" t="inlineStr"/>
      <c r="G2" s="4" t="inlineStr"/>
      <c r="H2" s="4" t="inlineStr"/>
      <c r="I2" s="4" t="inlineStr">
        <is>
          <t>NITORI</t>
        </is>
      </c>
      <c r="J2" s="4" t="inlineStr">
        <is>
          <t>ニトリネット 収納アイデア｜キッチン・台所収納のアイデア</t>
        </is>
      </c>
      <c r="K2" s="4" t="inlineStr">
        <is>
          <t>品牌官方</t>
        </is>
      </c>
      <c r="L2" s="5" t="inlineStr">
        <is>
          <t>https://www.nitori-net.jp/ec/feature/storageidea/kitchen/</t>
        </is>
      </c>
      <c r="M2" s="4" t="inlineStr">
        <is>
          <t>2023-04-01</t>
        </is>
      </c>
      <c r="N2" s="4" t="inlineStr">
        <is>
          <t>2026-10-26</t>
        </is>
      </c>
      <c r="O2" s="4" t="inlineStr">
        <is>
          <t>ja</t>
        </is>
      </c>
      <c r="P2" s="4" t="inlineStr">
        <is>
          <t>high</t>
        </is>
      </c>
    </row>
    <row r="3">
      <c r="A3" s="4" t="inlineStr">
        <is>
          <t>TB-002</t>
        </is>
      </c>
      <c r="B3" s="4" t="inlineStr">
        <is>
          <t>層架</t>
        </is>
      </c>
      <c r="C3" s="4" t="inlineStr">
        <is>
          <t>高度利用/分區</t>
        </is>
      </c>
      <c r="D3" s="4" t="inlineStr">
        <is>
          <t>吊櫃上層放大盒、下層放小盒且不疊放</t>
        </is>
      </c>
      <c r="E3" s="4" t="inlineStr">
        <is>
          <t>吊櫃位置高、不易看清，避免直接把東西堆上去以免崩落，改用收納盒裝。不好拿的上層用必要數量的大盒，好拿的下層用小盒分裝；盒子彼此不要相疊，較輕的物品為主。</t>
        </is>
      </c>
      <c r="F3" s="4" t="inlineStr"/>
      <c r="G3" s="4" t="inlineStr"/>
      <c r="H3" s="4" t="inlineStr"/>
      <c r="I3" s="4" t="inlineStr">
        <is>
          <t>NITORI</t>
        </is>
      </c>
      <c r="J3" s="4" t="inlineStr">
        <is>
          <t>ニトリネット 収納アイデア｜キッチン・台所収納のアイデア</t>
        </is>
      </c>
      <c r="K3" s="4" t="inlineStr">
        <is>
          <t>品牌官方</t>
        </is>
      </c>
      <c r="L3" s="5" t="inlineStr">
        <is>
          <t>https://www.nitori-net.jp/ec/feature/storageidea/kitchen/</t>
        </is>
      </c>
      <c r="M3" s="4" t="inlineStr">
        <is>
          <t>2023-04-01</t>
        </is>
      </c>
      <c r="N3" s="4" t="inlineStr">
        <is>
          <t>2026-10-26</t>
        </is>
      </c>
      <c r="O3" s="4" t="inlineStr">
        <is>
          <t>ja</t>
        </is>
      </c>
      <c r="P3" s="4" t="inlineStr">
        <is>
          <t>high</t>
        </is>
      </c>
    </row>
    <row r="4">
      <c r="A4" s="4" t="inlineStr">
        <is>
          <t>TB-003</t>
        </is>
      </c>
      <c r="B4" s="4" t="inlineStr">
        <is>
          <t>廚房</t>
        </is>
      </c>
      <c r="C4" s="4" t="inlineStr">
        <is>
          <t>伸縮棒/高度利用</t>
        </is>
      </c>
      <c r="D4" s="4" t="inlineStr">
        <is>
          <t>高吊櫃用伸縮棒加一層</t>
        </is>
      </c>
      <c r="E4" s="4" t="inlineStr">
        <is>
          <t>吊櫃內部較高、想增加收納量時，可加裝伸縮棒或小層架做出第二層。伸縮棒有本身即可當棚板的款式，也有需另外在上面放棚板的款式，可依需求挑選。</t>
        </is>
      </c>
      <c r="F4" s="4" t="inlineStr"/>
      <c r="G4" s="4" t="inlineStr"/>
      <c r="H4" s="4" t="inlineStr">
        <is>
          <t>伸縮棒/伸縮層架/小型置物架</t>
        </is>
      </c>
      <c r="I4" s="4" t="inlineStr">
        <is>
          <t>NITORI</t>
        </is>
      </c>
      <c r="J4" s="4" t="inlineStr">
        <is>
          <t>ニトリネット 収納アイデア｜キッチン・台所収納のアイデア</t>
        </is>
      </c>
      <c r="K4" s="4" t="inlineStr">
        <is>
          <t>品牌官方</t>
        </is>
      </c>
      <c r="L4" s="5" t="inlineStr">
        <is>
          <t>https://www.nitori-net.jp/ec/feature/storageidea/kitchen/</t>
        </is>
      </c>
      <c r="M4" s="4" t="inlineStr">
        <is>
          <t>2023-04-01</t>
        </is>
      </c>
      <c r="N4" s="4" t="inlineStr">
        <is>
          <t>2026-10-26</t>
        </is>
      </c>
      <c r="O4" s="4" t="inlineStr">
        <is>
          <t>ja</t>
        </is>
      </c>
      <c r="P4" s="4" t="inlineStr">
        <is>
          <t>high</t>
        </is>
      </c>
    </row>
    <row r="5">
      <c r="A5" s="4" t="inlineStr">
        <is>
          <t>TB-004</t>
        </is>
      </c>
      <c r="B5" s="4" t="inlineStr">
        <is>
          <t>廚房</t>
        </is>
      </c>
      <c r="C5" s="4" t="inlineStr">
        <is>
          <t>吊掛/高度利用</t>
        </is>
      </c>
      <c r="D5" s="4" t="inlineStr">
        <is>
          <t>吊櫃下方掛籃利用死角</t>
        </is>
      </c>
      <c r="E5" s="4" t="inlineStr">
        <is>
          <t>在吊櫃底板裝上可掛式籃子，就能使用吊櫃下方原本閒置的空間，適合放使用頻率高的物品；吊櫃下也可用掛勾直接吊掛常用工具，減少找與收的動作。</t>
        </is>
      </c>
      <c r="F5" s="4" t="inlineStr"/>
      <c r="G5" s="4" t="inlineStr"/>
      <c r="H5" s="4" t="inlineStr">
        <is>
          <t>吊掛收納/掛勾</t>
        </is>
      </c>
      <c r="I5" s="4" t="inlineStr">
        <is>
          <t>NITORI</t>
        </is>
      </c>
      <c r="J5" s="4" t="inlineStr">
        <is>
          <t>ニトリネット 収納アイデア｜キッチン・台所収納のアイデア</t>
        </is>
      </c>
      <c r="K5" s="4" t="inlineStr">
        <is>
          <t>品牌官方</t>
        </is>
      </c>
      <c r="L5" s="5" t="inlineStr">
        <is>
          <t>https://www.nitori-net.jp/ec/feature/storageidea/kitchen/</t>
        </is>
      </c>
      <c r="M5" s="4" t="inlineStr">
        <is>
          <t>2023-04-01</t>
        </is>
      </c>
      <c r="N5" s="4" t="inlineStr">
        <is>
          <t>2026-10-26</t>
        </is>
      </c>
      <c r="O5" s="4" t="inlineStr">
        <is>
          <t>ja</t>
        </is>
      </c>
      <c r="P5" s="4" t="inlineStr">
        <is>
          <t>high</t>
        </is>
      </c>
    </row>
    <row r="6">
      <c r="A6" s="4" t="inlineStr">
        <is>
          <t>TB-005</t>
        </is>
      </c>
      <c r="B6" s="4" t="inlineStr">
        <is>
          <t>廚房</t>
        </is>
      </c>
      <c r="C6" s="4" t="inlineStr">
        <is>
          <t>壁面/浮空收納</t>
        </is>
      </c>
      <c r="D6" s="4" t="inlineStr">
        <is>
          <t>用磁吸收納把調味料移出檯面</t>
        </is>
      </c>
      <c r="E6" s="4" t="inlineStr">
        <is>
          <t>把原本直接放在檯面的調味料與廚具改用磁吸收納掛上牆，可保留備料空間並讓動線更順；牆面吸不住磁鐵時，可改用能吸磁的面板或可裝磁吸配件的伸縮立架。</t>
        </is>
      </c>
      <c r="F6" s="4" t="inlineStr"/>
      <c r="G6" s="4" t="inlineStr"/>
      <c r="H6" s="4" t="inlineStr">
        <is>
          <t>伸縮棒</t>
        </is>
      </c>
      <c r="I6" s="4" t="inlineStr">
        <is>
          <t>NITORI</t>
        </is>
      </c>
      <c r="J6" s="4" t="inlineStr">
        <is>
          <t>ニトリネット 収納アイデア｜キッチン・台所収納のアイデア</t>
        </is>
      </c>
      <c r="K6" s="4" t="inlineStr">
        <is>
          <t>品牌官方</t>
        </is>
      </c>
      <c r="L6" s="5" t="inlineStr">
        <is>
          <t>https://www.nitori-net.jp/ec/feature/storageidea/kitchen/</t>
        </is>
      </c>
      <c r="M6" s="4" t="inlineStr">
        <is>
          <t>2023-04-01</t>
        </is>
      </c>
      <c r="N6" s="4" t="inlineStr">
        <is>
          <t>2026-10-26</t>
        </is>
      </c>
      <c r="O6" s="4" t="inlineStr">
        <is>
          <t>ja</t>
        </is>
      </c>
      <c r="P6" s="4" t="inlineStr">
        <is>
          <t>high</t>
        </is>
      </c>
    </row>
    <row r="7">
      <c r="A7" s="4" t="inlineStr">
        <is>
          <t>TB-006</t>
        </is>
      </c>
      <c r="B7" s="4" t="inlineStr">
        <is>
          <t>廚房</t>
        </is>
      </c>
      <c r="C7" s="4" t="inlineStr">
        <is>
          <t>縫隙/小型置物架</t>
        </is>
      </c>
      <c r="D7" s="4" t="inlineStr">
        <is>
          <t>爐台旁與後方縫隙放專用架</t>
        </is>
      </c>
      <c r="E7" s="4" t="inlineStr">
        <is>
          <t>爐台旁、爐台後方等不會拿來作業的位置是可利用點，選擇符合縫隙尺寸的架子放置調味料或工具；香料類集中到一個香料架，能避免作業檯面散亂。</t>
        </is>
      </c>
      <c r="F7" s="4" t="inlineStr"/>
      <c r="G7" s="4" t="inlineStr"/>
      <c r="H7" s="4" t="inlineStr">
        <is>
          <t>小型置物架</t>
        </is>
      </c>
      <c r="I7" s="4" t="inlineStr">
        <is>
          <t>NITORI</t>
        </is>
      </c>
      <c r="J7" s="4" t="inlineStr">
        <is>
          <t>ニトリネット 収納アイデア｜キッチン・台所収納のアイデア</t>
        </is>
      </c>
      <c r="K7" s="4" t="inlineStr">
        <is>
          <t>品牌官方</t>
        </is>
      </c>
      <c r="L7" s="5" t="inlineStr">
        <is>
          <t>https://www.nitori-net.jp/ec/feature/storageidea/kitchen/</t>
        </is>
      </c>
      <c r="M7" s="4" t="inlineStr">
        <is>
          <t>2023-04-01</t>
        </is>
      </c>
      <c r="N7" s="4" t="inlineStr">
        <is>
          <t>2026-10-26</t>
        </is>
      </c>
      <c r="O7" s="4" t="inlineStr">
        <is>
          <t>ja</t>
        </is>
      </c>
      <c r="P7" s="4" t="inlineStr">
        <is>
          <t>high</t>
        </is>
      </c>
    </row>
    <row r="8">
      <c r="A8" s="4" t="inlineStr">
        <is>
          <t>TB-007</t>
        </is>
      </c>
      <c r="B8" s="4" t="inlineStr">
        <is>
          <t>水槽下</t>
        </is>
      </c>
      <c r="C8" s="4" t="inlineStr">
        <is>
          <t>避開管線/小型置物架</t>
        </is>
      </c>
      <c r="D8" s="4" t="inlineStr">
        <is>
          <t>對開門水槽下用避管架與滑軌盒</t>
        </is>
      </c>
      <c r="E8" s="4" t="inlineStr">
        <is>
          <t>對開門的水槽下要避開冷熱水與排水管，使用能繞過管線的收納架減少死角；再放入有深度與高度的滑出式收納，就能在櫃內做出類似抽屜的空間，收細小香料或較重的油品。</t>
        </is>
      </c>
      <c r="F8" s="4" t="inlineStr"/>
      <c r="G8" s="4" t="inlineStr"/>
      <c r="H8" s="4" t="inlineStr">
        <is>
          <t>小型置物架</t>
        </is>
      </c>
      <c r="I8" s="4" t="inlineStr">
        <is>
          <t>NITORI</t>
        </is>
      </c>
      <c r="J8" s="4" t="inlineStr">
        <is>
          <t>ニトリネット 収納アイデア｜キッチン・台所収納のアイデア</t>
        </is>
      </c>
      <c r="K8" s="4" t="inlineStr">
        <is>
          <t>品牌官方</t>
        </is>
      </c>
      <c r="L8" s="5" t="inlineStr">
        <is>
          <t>https://www.nitori-net.jp/ec/feature/storageidea/kitchen/</t>
        </is>
      </c>
      <c r="M8" s="4" t="inlineStr">
        <is>
          <t>2023-04-01</t>
        </is>
      </c>
      <c r="N8" s="4" t="inlineStr">
        <is>
          <t>2026-10-26</t>
        </is>
      </c>
      <c r="O8" s="4" t="inlineStr">
        <is>
          <t>ja</t>
        </is>
      </c>
      <c r="P8" s="4" t="inlineStr">
        <is>
          <t>high</t>
        </is>
      </c>
    </row>
    <row r="9">
      <c r="A9" s="4" t="inlineStr">
        <is>
          <t>TB-008</t>
        </is>
      </c>
      <c r="B9" s="4" t="inlineStr">
        <is>
          <t>水槽下</t>
        </is>
      </c>
      <c r="C9" s="4" t="inlineStr">
        <is>
          <t>分區/防潮</t>
        </is>
      </c>
      <c r="D9" s="4" t="inlineStr">
        <is>
          <t>水槽下避免放食品與調味料</t>
        </is>
      </c>
      <c r="E9" s="4" t="inlineStr">
        <is>
          <t>水槽下因給水與排水，櫃內溫度與濕度容易升高，盡量不要放食品或調味料；適合放清潔劑、排水口濾網，沒有餐具櫃時也可放碗盤、瀝水籃與調理盆等水槽周邊用品。</t>
        </is>
      </c>
      <c r="F9" s="4" t="inlineStr"/>
      <c r="G9" s="4" t="inlineStr"/>
      <c r="H9" s="4" t="inlineStr"/>
      <c r="I9" s="4" t="inlineStr">
        <is>
          <t>NITORI</t>
        </is>
      </c>
      <c r="J9" s="4" t="inlineStr">
        <is>
          <t>ニトリネット 収納アイデア｜キッチン・台所収納のアイデア</t>
        </is>
      </c>
      <c r="K9" s="4" t="inlineStr">
        <is>
          <t>品牌官方</t>
        </is>
      </c>
      <c r="L9" s="5" t="inlineStr">
        <is>
          <t>https://www.nitori-net.jp/ec/feature/storageidea/kitchen/</t>
        </is>
      </c>
      <c r="M9" s="4" t="inlineStr">
        <is>
          <t>2023-04-01</t>
        </is>
      </c>
      <c r="N9" s="4" t="inlineStr">
        <is>
          <t>2026-10-26</t>
        </is>
      </c>
      <c r="O9" s="4" t="inlineStr">
        <is>
          <t>ja</t>
        </is>
      </c>
      <c r="P9" s="4" t="inlineStr">
        <is>
          <t>high</t>
        </is>
      </c>
    </row>
    <row r="10">
      <c r="A10" s="4" t="inlineStr">
        <is>
          <t>TB-009</t>
        </is>
      </c>
      <c r="B10" s="4" t="inlineStr">
        <is>
          <t>抽屜</t>
        </is>
      </c>
      <c r="C10" s="4" t="inlineStr">
        <is>
          <t>直立收納/抽屜隔板</t>
        </is>
      </c>
      <c r="D10" s="4" t="inlineStr">
        <is>
          <t>爐台下抽屜用隔板直立收鍋具</t>
        </is>
      </c>
      <c r="E10" s="4" t="inlineStr">
        <is>
          <t>從上方取物的抽屜，爐台下可用具隔板功能的立架，把平底鍋、鍋子與鍋蓋直立擺放，不會倒下且能依類別分開，拿取與歸位都更清楚。</t>
        </is>
      </c>
      <c r="F10" s="4" t="inlineStr"/>
      <c r="G10" s="4" t="inlineStr"/>
      <c r="H10" s="4" t="inlineStr">
        <is>
          <t>抽屜隔板</t>
        </is>
      </c>
      <c r="I10" s="4" t="inlineStr">
        <is>
          <t>NITORI</t>
        </is>
      </c>
      <c r="J10" s="4" t="inlineStr">
        <is>
          <t>ニトリネット 収納アイデア｜キッチン・台所収納のアイデア</t>
        </is>
      </c>
      <c r="K10" s="4" t="inlineStr">
        <is>
          <t>品牌官方</t>
        </is>
      </c>
      <c r="L10" s="5" t="inlineStr">
        <is>
          <t>https://www.nitori-net.jp/ec/feature/storageidea/kitchen/</t>
        </is>
      </c>
      <c r="M10" s="4" t="inlineStr">
        <is>
          <t>2023-04-01</t>
        </is>
      </c>
      <c r="N10" s="4" t="inlineStr">
        <is>
          <t>2026-10-26</t>
        </is>
      </c>
      <c r="O10" s="4" t="inlineStr">
        <is>
          <t>ja</t>
        </is>
      </c>
      <c r="P10" s="4" t="inlineStr">
        <is>
          <t>high</t>
        </is>
      </c>
    </row>
    <row r="11">
      <c r="A11" s="4" t="inlineStr">
        <is>
          <t>TB-010</t>
        </is>
      </c>
      <c r="B11" s="4" t="inlineStr">
        <is>
          <t>抽屜</t>
        </is>
      </c>
      <c r="C11" s="4" t="inlineStr">
        <is>
          <t>直立收納</t>
        </is>
      </c>
      <c r="D11" s="4" t="inlineStr">
        <is>
          <t>深抽屜裡把盤子立起來放</t>
        </is>
      </c>
      <c r="E11" s="4" t="inlineStr">
        <is>
          <t>水槽下等較深的抽屜可把盤子立起收納，外觀整齊、取放順手，盤與盤之間不互相摩擦，也有助於減少破損；水槽下的抽屜也能把餐具、橡膠手套、垃圾袋放成從上方一眼好拿的狀態。</t>
        </is>
      </c>
      <c r="F11" s="4" t="inlineStr"/>
      <c r="G11" s="4" t="inlineStr"/>
      <c r="H11" s="4" t="inlineStr">
        <is>
          <t>抽屜隔板</t>
        </is>
      </c>
      <c r="I11" s="4" t="inlineStr">
        <is>
          <t>NITORI</t>
        </is>
      </c>
      <c r="J11" s="4" t="inlineStr">
        <is>
          <t>ニトリネット 収納アイデア｜キッチン・台所収納のアイデア</t>
        </is>
      </c>
      <c r="K11" s="4" t="inlineStr">
        <is>
          <t>品牌官方</t>
        </is>
      </c>
      <c r="L11" s="5" t="inlineStr">
        <is>
          <t>https://www.nitori-net.jp/ec/feature/storageidea/kitchen/</t>
        </is>
      </c>
      <c r="M11" s="4" t="inlineStr">
        <is>
          <t>2023-04-01</t>
        </is>
      </c>
      <c r="N11" s="4" t="inlineStr">
        <is>
          <t>2026-10-26</t>
        </is>
      </c>
      <c r="O11" s="4" t="inlineStr">
        <is>
          <t>ja</t>
        </is>
      </c>
      <c r="P11" s="4" t="inlineStr">
        <is>
          <t>high</t>
        </is>
      </c>
    </row>
    <row r="12">
      <c r="A12" s="4" t="inlineStr">
        <is>
          <t>TB-011</t>
        </is>
      </c>
      <c r="B12" s="4" t="inlineStr">
        <is>
          <t>抽屜</t>
        </is>
      </c>
      <c r="C12" s="4" t="inlineStr">
        <is>
          <t>分區/伸縮</t>
        </is>
      </c>
      <c r="D12" s="4" t="inlineStr">
        <is>
          <t>淺抽屜用可伸縮整理盤填滿空間</t>
        </is>
      </c>
      <c r="E12" s="4" t="inlineStr">
        <is>
          <t>淺抽屜以「好找、好拿」為原則，配合抽屜尺寸使用整理盤；可伸縮的整理盤能拉開到抽屜寬度把空間用完，窄抽屜只放高頻物品，寬抽屜可一起收餐具與小工具。</t>
        </is>
      </c>
      <c r="F12" s="4" t="inlineStr"/>
      <c r="G12" s="4" t="inlineStr"/>
      <c r="H12" s="4" t="inlineStr">
        <is>
          <t>抽屜隔板</t>
        </is>
      </c>
      <c r="I12" s="4" t="inlineStr">
        <is>
          <t>NITORI</t>
        </is>
      </c>
      <c r="J12" s="4" t="inlineStr">
        <is>
          <t>ニトリネット 収納アイデア｜キッチン・台所収納のアイデア</t>
        </is>
      </c>
      <c r="K12" s="4" t="inlineStr">
        <is>
          <t>品牌官方</t>
        </is>
      </c>
      <c r="L12" s="5" t="inlineStr">
        <is>
          <t>https://www.nitori-net.jp/ec/feature/storageidea/kitchen/</t>
        </is>
      </c>
      <c r="M12" s="4" t="inlineStr">
        <is>
          <t>2023-04-01</t>
        </is>
      </c>
      <c r="N12" s="4" t="inlineStr">
        <is>
          <t>2026-10-26</t>
        </is>
      </c>
      <c r="O12" s="4" t="inlineStr">
        <is>
          <t>ja</t>
        </is>
      </c>
      <c r="P12" s="4" t="inlineStr">
        <is>
          <t>high</t>
        </is>
      </c>
    </row>
    <row r="13">
      <c r="A13" s="4" t="inlineStr">
        <is>
          <t>TB-012</t>
        </is>
      </c>
      <c r="B13" s="4" t="inlineStr">
        <is>
          <t>廚房</t>
        </is>
      </c>
      <c r="C13" s="4" t="inlineStr">
        <is>
          <t>門板/吊掛</t>
        </is>
      </c>
      <c r="D13" s="4" t="inlineStr">
        <is>
          <t>櫃門內外側給小物找定位</t>
        </is>
      </c>
      <c r="E13" s="4" t="inlineStr">
        <is>
          <t>櫃門也是收納點：外側可掛毛巾或小垃圾桶，內側用黏貼或吸盤式收納放保鮮膜、隔熱手套、垃圾袋等平時不想露出的物品，用時一開門就拿得到。</t>
        </is>
      </c>
      <c r="F13" s="4" t="inlineStr"/>
      <c r="G13" s="4" t="inlineStr"/>
      <c r="H13" s="4" t="inlineStr">
        <is>
          <t>掛勾/吊掛收納</t>
        </is>
      </c>
      <c r="I13" s="4" t="inlineStr">
        <is>
          <t>NITORI</t>
        </is>
      </c>
      <c r="J13" s="4" t="inlineStr">
        <is>
          <t>ニトリネット 収納アイデア｜キッチン・台所収納のアイデア</t>
        </is>
      </c>
      <c r="K13" s="4" t="inlineStr">
        <is>
          <t>品牌官方</t>
        </is>
      </c>
      <c r="L13" s="5" t="inlineStr">
        <is>
          <t>https://www.nitori-net.jp/ec/feature/storageidea/kitchen/</t>
        </is>
      </c>
      <c r="M13" s="4" t="inlineStr">
        <is>
          <t>2023-04-01</t>
        </is>
      </c>
      <c r="N13" s="4" t="inlineStr">
        <is>
          <t>2026-10-26</t>
        </is>
      </c>
      <c r="O13" s="4" t="inlineStr">
        <is>
          <t>ja</t>
        </is>
      </c>
      <c r="P13" s="4" t="inlineStr">
        <is>
          <t>high</t>
        </is>
      </c>
    </row>
    <row r="14">
      <c r="A14" s="4" t="inlineStr">
        <is>
          <t>TB-013</t>
        </is>
      </c>
      <c r="B14" s="4" t="inlineStr">
        <is>
          <t>廚房</t>
        </is>
      </c>
      <c r="C14" s="4" t="inlineStr">
        <is>
          <t>死角/小型置物架</t>
        </is>
      </c>
      <c r="D14" s="4" t="inlineStr">
        <is>
          <t>垃圾桶上方與冰箱旁放架子</t>
        </is>
      </c>
      <c r="E14" s="4" t="inlineStr">
        <is>
          <t>廚房裡冰箱與牆之間、垃圾桶上方等空間常被浪費；放入剛好塞得進的縫隙收納，或跨在垃圾桶上方的架子，可擺電鍋、微波爐等家電，減少死角。</t>
        </is>
      </c>
      <c r="F14" s="4" t="inlineStr"/>
      <c r="G14" s="4" t="inlineStr"/>
      <c r="H14" s="4" t="inlineStr">
        <is>
          <t>小型置物架</t>
        </is>
      </c>
      <c r="I14" s="4" t="inlineStr">
        <is>
          <t>NITORI</t>
        </is>
      </c>
      <c r="J14" s="4" t="inlineStr">
        <is>
          <t>ニトリネット 収納アイデア｜キッチン・台所収納のアイデア</t>
        </is>
      </c>
      <c r="K14" s="4" t="inlineStr">
        <is>
          <t>品牌官方</t>
        </is>
      </c>
      <c r="L14" s="5" t="inlineStr">
        <is>
          <t>https://www.nitori-net.jp/ec/feature/storageidea/kitchen/</t>
        </is>
      </c>
      <c r="M14" s="4" t="inlineStr">
        <is>
          <t>2023-04-01</t>
        </is>
      </c>
      <c r="N14" s="4" t="inlineStr">
        <is>
          <t>2026-10-26</t>
        </is>
      </c>
      <c r="O14" s="4" t="inlineStr">
        <is>
          <t>ja</t>
        </is>
      </c>
      <c r="P14" s="4" t="inlineStr">
        <is>
          <t>high</t>
        </is>
      </c>
    </row>
    <row r="15">
      <c r="A15" s="4" t="inlineStr">
        <is>
          <t>TB-014</t>
        </is>
      </c>
      <c r="B15" s="4" t="inlineStr">
        <is>
          <t>衣櫃</t>
        </is>
      </c>
      <c r="C15" s="4" t="inlineStr">
        <is>
          <t>分區</t>
        </is>
      </c>
      <c r="D15" s="4" t="inlineStr">
        <is>
          <t>衣櫃分上、中、下段與門外側四區</t>
        </is>
      </c>
      <c r="E15" s="4" t="inlineStr">
        <is>
          <t>衣櫃先分區思考：上段放換季等低頻物；中段吊掛常穿衣物；下段放可摺衣物與較重物品，貼身衣物放收納箱；門的外側則作為包包、皮帶、外套等外出小物的暫放處。</t>
        </is>
      </c>
      <c r="F15" s="4" t="inlineStr"/>
      <c r="G15" s="4" t="inlineStr"/>
      <c r="H15" s="4" t="inlineStr"/>
      <c r="I15" s="4" t="inlineStr">
        <is>
          <t>NITORI</t>
        </is>
      </c>
      <c r="J15" s="4" t="inlineStr">
        <is>
          <t>ニトリネット 収納アイデア｜クローゼット収納のアイデア</t>
        </is>
      </c>
      <c r="K15" s="4" t="inlineStr">
        <is>
          <t>品牌官方</t>
        </is>
      </c>
      <c r="L15" s="5" t="inlineStr">
        <is>
          <t>https://www.nitori-net.jp/ec/feature/storageidea/closet/</t>
        </is>
      </c>
      <c r="M15" s="4" t="inlineStr">
        <is>
          <t>2023-04-01</t>
        </is>
      </c>
      <c r="N15" s="4" t="inlineStr">
        <is>
          <t>2026-10-26</t>
        </is>
      </c>
      <c r="O15" s="4" t="inlineStr">
        <is>
          <t>ja</t>
        </is>
      </c>
      <c r="P15" s="4" t="inlineStr">
        <is>
          <t>high</t>
        </is>
      </c>
    </row>
    <row r="16">
      <c r="A16" s="4" t="inlineStr">
        <is>
          <t>TB-015</t>
        </is>
      </c>
      <c r="B16" s="4" t="inlineStr">
        <is>
          <t>衣櫃</t>
        </is>
      </c>
      <c r="C16" s="4" t="inlineStr">
        <is>
          <t>高度利用/分區</t>
        </is>
      </c>
      <c r="D16" s="4" t="inlineStr">
        <is>
          <t>衣櫃上段用透明面或有把手的盒</t>
        </is>
      </c>
      <c r="E16" s="4" t="inlineStr">
        <is>
          <t>衣櫃上段不好拿，比起直接堆放，改用可疊放、防塵的收納盒；選正面透明或可快速打開的款式方便確認內容，輕量軟質或附把手的款式也較好上下搬動。</t>
        </is>
      </c>
      <c r="F16" s="4" t="inlineStr"/>
      <c r="G16" s="4" t="inlineStr"/>
      <c r="H16" s="4" t="inlineStr"/>
      <c r="I16" s="4" t="inlineStr">
        <is>
          <t>NITORI</t>
        </is>
      </c>
      <c r="J16" s="4" t="inlineStr">
        <is>
          <t>ニトリネット 収納アイデア｜クローゼット収納のアイデア</t>
        </is>
      </c>
      <c r="K16" s="4" t="inlineStr">
        <is>
          <t>品牌官方</t>
        </is>
      </c>
      <c r="L16" s="5" t="inlineStr">
        <is>
          <t>https://www.nitori-net.jp/ec/feature/storageidea/closet/</t>
        </is>
      </c>
      <c r="M16" s="4" t="inlineStr">
        <is>
          <t>2023-04-01</t>
        </is>
      </c>
      <c r="N16" s="4" t="inlineStr">
        <is>
          <t>2026-10-26</t>
        </is>
      </c>
      <c r="O16" s="4" t="inlineStr">
        <is>
          <t>ja</t>
        </is>
      </c>
      <c r="P16" s="4" t="inlineStr">
        <is>
          <t>high</t>
        </is>
      </c>
    </row>
    <row r="17">
      <c r="A17" s="4" t="inlineStr">
        <is>
          <t>TB-016</t>
        </is>
      </c>
      <c r="B17" s="4" t="inlineStr">
        <is>
          <t>衣櫃</t>
        </is>
      </c>
      <c r="C17" s="4" t="inlineStr">
        <is>
          <t>直立收納/分隔</t>
        </is>
      </c>
      <c r="D17" s="4" t="inlineStr">
        <is>
          <t>包包用書擋或檔案盒隔開立放</t>
        </is>
      </c>
      <c r="E17" s="4" t="inlineStr">
        <is>
          <t>包包這類形狀不一、無法自己站立的物品，可用書擋當隔板，或放進檔案盒、標準收納盒裡立著收，衣櫃上段也能整齊排列。</t>
        </is>
      </c>
      <c r="F17" s="4" t="inlineStr"/>
      <c r="G17" s="4" t="inlineStr"/>
      <c r="H17" s="4" t="inlineStr">
        <is>
          <t>抽屜隔板</t>
        </is>
      </c>
      <c r="I17" s="4" t="inlineStr">
        <is>
          <t>NITORI</t>
        </is>
      </c>
      <c r="J17" s="4" t="inlineStr">
        <is>
          <t>ニトリネット 収納アイデア｜クローゼット収納のアイデア</t>
        </is>
      </c>
      <c r="K17" s="4" t="inlineStr">
        <is>
          <t>品牌官方</t>
        </is>
      </c>
      <c r="L17" s="5" t="inlineStr">
        <is>
          <t>https://www.nitori-net.jp/ec/feature/storageidea/closet/</t>
        </is>
      </c>
      <c r="M17" s="4" t="inlineStr">
        <is>
          <t>2023-04-01</t>
        </is>
      </c>
      <c r="N17" s="4" t="inlineStr">
        <is>
          <t>2026-10-26</t>
        </is>
      </c>
      <c r="O17" s="4" t="inlineStr">
        <is>
          <t>ja</t>
        </is>
      </c>
      <c r="P17" s="4" t="inlineStr">
        <is>
          <t>high</t>
        </is>
      </c>
    </row>
    <row r="18">
      <c r="A18" s="4" t="inlineStr">
        <is>
          <t>TB-017</t>
        </is>
      </c>
      <c r="B18" s="4" t="inlineStr">
        <is>
          <t>衣櫃</t>
        </is>
      </c>
      <c r="C18" s="4" t="inlineStr">
        <is>
          <t>吊掛/高度利用</t>
        </is>
      </c>
      <c r="D18" s="4" t="inlineStr">
        <is>
          <t>薄型與連結衣架增加吊掛量</t>
        </is>
      </c>
      <c r="E18" s="4" t="inlineStr">
        <is>
          <t>衣櫃寬度有限，可先換成薄型衣架增加可掛件數；褲裙或領帶、圍巾可用連結型衣架縱向串掛；毛衣、帽子等可放入掛在衣桿上的吊掛收納袋，甚至加掛一層吊衣桿把掛衣量加倍。</t>
        </is>
      </c>
      <c r="F18" s="4" t="inlineStr"/>
      <c r="G18" s="4" t="inlineStr"/>
      <c r="H18" s="4" t="inlineStr">
        <is>
          <t>吊掛收納</t>
        </is>
      </c>
      <c r="I18" s="4" t="inlineStr">
        <is>
          <t>NITORI</t>
        </is>
      </c>
      <c r="J18" s="4" t="inlineStr">
        <is>
          <t>ニトリネット 収納アイデア｜クローゼット収納のアイデア</t>
        </is>
      </c>
      <c r="K18" s="4" t="inlineStr">
        <is>
          <t>品牌官方</t>
        </is>
      </c>
      <c r="L18" s="5" t="inlineStr">
        <is>
          <t>https://www.nitori-net.jp/ec/feature/storageidea/closet/</t>
        </is>
      </c>
      <c r="M18" s="4" t="inlineStr">
        <is>
          <t>2023-04-01</t>
        </is>
      </c>
      <c r="N18" s="4" t="inlineStr">
        <is>
          <t>2026-10-26</t>
        </is>
      </c>
      <c r="O18" s="4" t="inlineStr">
        <is>
          <t>ja</t>
        </is>
      </c>
      <c r="P18" s="4" t="inlineStr">
        <is>
          <t>high</t>
        </is>
      </c>
    </row>
    <row r="19">
      <c r="A19" s="4" t="inlineStr">
        <is>
          <t>TB-018</t>
        </is>
      </c>
      <c r="B19" s="4" t="inlineStr">
        <is>
          <t>衣櫃</t>
        </is>
      </c>
      <c r="C19" s="4" t="inlineStr">
        <is>
          <t>分區/統一</t>
        </is>
      </c>
      <c r="D19" s="4" t="inlineStr">
        <is>
          <t>衣櫃下段配合衣長疊盒並統一顏色</t>
        </is>
      </c>
      <c r="E19" s="4" t="inlineStr">
        <is>
          <t>衣櫃下段的基本做法是疊出層次增加收納量；先讓中段吊掛衣物的長度一致，下方就能依剩餘高度疊放收納盒。盒子全部統一同色，看起來更整齊。</t>
        </is>
      </c>
      <c r="F19" s="4" t="inlineStr"/>
      <c r="G19" s="4" t="inlineStr"/>
      <c r="H19" s="4" t="inlineStr"/>
      <c r="I19" s="4" t="inlineStr">
        <is>
          <t>NITORI</t>
        </is>
      </c>
      <c r="J19" s="4" t="inlineStr">
        <is>
          <t>ニトリネット 収納アイデア｜クローゼット収納のアイデア</t>
        </is>
      </c>
      <c r="K19" s="4" t="inlineStr">
        <is>
          <t>品牌官方</t>
        </is>
      </c>
      <c r="L19" s="5" t="inlineStr">
        <is>
          <t>https://www.nitori-net.jp/ec/feature/storageidea/closet/</t>
        </is>
      </c>
      <c r="M19" s="4" t="inlineStr">
        <is>
          <t>2023-04-01</t>
        </is>
      </c>
      <c r="N19" s="4" t="inlineStr">
        <is>
          <t>2026-10-26</t>
        </is>
      </c>
      <c r="O19" s="4" t="inlineStr">
        <is>
          <t>ja</t>
        </is>
      </c>
      <c r="P19" s="4" t="inlineStr">
        <is>
          <t>high</t>
        </is>
      </c>
    </row>
    <row r="20">
      <c r="A20" s="4" t="inlineStr">
        <is>
          <t>TB-019</t>
        </is>
      </c>
      <c r="B20" s="4" t="inlineStr">
        <is>
          <t>衣櫃</t>
        </is>
      </c>
      <c r="C20" s="4" t="inlineStr">
        <is>
          <t>伸縮棒/鐵網/吊掛</t>
        </is>
      </c>
      <c r="D20" s="4" t="inlineStr">
        <is>
          <t>衣櫃內加伸縮棒掛S鉤與鐵網</t>
        </is>
      </c>
      <c r="E20" s="4" t="inlineStr">
        <is>
          <t>衣櫃下段或側邊可裝伸縮棒並掛上S鉤，再搭配鐵網，就能吊掛清潔用具或包包等不易收進盒子的物品；門後與側壁這類空間適合放小物或細長物。</t>
        </is>
      </c>
      <c r="F20" s="4" t="inlineStr"/>
      <c r="G20" s="4" t="inlineStr"/>
      <c r="H20" s="4" t="inlineStr">
        <is>
          <t>伸縮棒/鐵網/掛勾</t>
        </is>
      </c>
      <c r="I20" s="4" t="inlineStr">
        <is>
          <t>NITORI</t>
        </is>
      </c>
      <c r="J20" s="4" t="inlineStr">
        <is>
          <t>ニトリネット 収納アイデア｜クローゼット収納のアイデア</t>
        </is>
      </c>
      <c r="K20" s="4" t="inlineStr">
        <is>
          <t>品牌官方</t>
        </is>
      </c>
      <c r="L20" s="5" t="inlineStr">
        <is>
          <t>https://www.nitori-net.jp/ec/feature/storageidea/closet/</t>
        </is>
      </c>
      <c r="M20" s="4" t="inlineStr">
        <is>
          <t>2023-04-01</t>
        </is>
      </c>
      <c r="N20" s="4" t="inlineStr">
        <is>
          <t>2026-10-26</t>
        </is>
      </c>
      <c r="O20" s="4" t="inlineStr">
        <is>
          <t>ja</t>
        </is>
      </c>
      <c r="P20" s="4" t="inlineStr">
        <is>
          <t>high</t>
        </is>
      </c>
    </row>
    <row r="21">
      <c r="A21" s="4" t="inlineStr">
        <is>
          <t>TB-020</t>
        </is>
      </c>
      <c r="B21" s="4" t="inlineStr">
        <is>
          <t>衣櫃</t>
        </is>
      </c>
      <c r="C21" s="4" t="inlineStr">
        <is>
          <t>門板/吊掛</t>
        </is>
      </c>
      <c r="D21" s="4" t="inlineStr">
        <is>
          <t>衣櫃門外側掛門鉤當外套暫放處</t>
        </is>
      </c>
      <c r="E21" s="4" t="inlineStr">
        <is>
          <t>在衣櫃門外側裝門用掛勾，脫下的外套、帽子或每天用的包包可以直接掛上，比掛回中段衣桿方便很多；門上也可掛鏡子，讓換衣在衣櫃前完成。</t>
        </is>
      </c>
      <c r="F21" s="4" t="inlineStr"/>
      <c r="G21" s="4" t="inlineStr"/>
      <c r="H21" s="4" t="inlineStr">
        <is>
          <t>掛勾</t>
        </is>
      </c>
      <c r="I21" s="4" t="inlineStr">
        <is>
          <t>NITORI</t>
        </is>
      </c>
      <c r="J21" s="4" t="inlineStr">
        <is>
          <t>ニトリネット 収納アイデア｜クローゼット収納のアイデア</t>
        </is>
      </c>
      <c r="K21" s="4" t="inlineStr">
        <is>
          <t>品牌官方</t>
        </is>
      </c>
      <c r="L21" s="5" t="inlineStr">
        <is>
          <t>https://www.nitori-net.jp/ec/feature/storageidea/closet/</t>
        </is>
      </c>
      <c r="M21" s="4" t="inlineStr">
        <is>
          <t>2023-04-01</t>
        </is>
      </c>
      <c r="N21" s="4" t="inlineStr">
        <is>
          <t>2026-10-26</t>
        </is>
      </c>
      <c r="O21" s="4" t="inlineStr">
        <is>
          <t>ja</t>
        </is>
      </c>
      <c r="P21" s="4" t="inlineStr">
        <is>
          <t>high</t>
        </is>
      </c>
    </row>
    <row r="22">
      <c r="A22" s="4" t="inlineStr">
        <is>
          <t>TB-021</t>
        </is>
      </c>
      <c r="B22" s="4" t="inlineStr">
        <is>
          <t>玄關</t>
        </is>
      </c>
      <c r="C22" s="4" t="inlineStr">
        <is>
          <t>伸縮棒/高度利用</t>
        </is>
      </c>
      <c r="D22" s="4" t="inlineStr">
        <is>
          <t>鞋櫃內用伸縮棒與鞋架增加層數</t>
        </is>
      </c>
      <c r="E22" s="4" t="inlineStr">
        <is>
          <t>檢討鞋子的擺法就能讓鞋櫃裝更多；可用鞋用疊放架或伸縮棒消除鞋櫃內的空隙。伸縮棒有直接當棚板的款式，也有另外放棚板的款式，依鞋櫃尺寸與鞋子數量選擇。</t>
        </is>
      </c>
      <c r="F22" s="4" t="inlineStr"/>
      <c r="G22" s="4" t="inlineStr"/>
      <c r="H22" s="4" t="inlineStr">
        <is>
          <t>伸縮棒/伸縮層架</t>
        </is>
      </c>
      <c r="I22" s="4" t="inlineStr">
        <is>
          <t>NITORI</t>
        </is>
      </c>
      <c r="J22" s="4" t="inlineStr">
        <is>
          <t>ニトリネット 収納アイデア｜玄関収納のアイデア</t>
        </is>
      </c>
      <c r="K22" s="4" t="inlineStr">
        <is>
          <t>品牌官方</t>
        </is>
      </c>
      <c r="L22" s="5" t="inlineStr">
        <is>
          <t>https://www.nitori-net.jp/ec/feature/storageidea/entrance/</t>
        </is>
      </c>
      <c r="M22" s="4" t="inlineStr">
        <is>
          <t>2023-04-01</t>
        </is>
      </c>
      <c r="N22" s="4" t="inlineStr">
        <is>
          <t>2026-10-26</t>
        </is>
      </c>
      <c r="O22" s="4" t="inlineStr">
        <is>
          <t>ja</t>
        </is>
      </c>
      <c r="P22" s="4" t="inlineStr">
        <is>
          <t>high</t>
        </is>
      </c>
    </row>
    <row r="23">
      <c r="A23" s="4" t="inlineStr">
        <is>
          <t>TB-022</t>
        </is>
      </c>
      <c r="B23" s="4" t="inlineStr">
        <is>
          <t>玄關</t>
        </is>
      </c>
      <c r="C23" s="4" t="inlineStr">
        <is>
          <t>分類/盒子</t>
        </is>
      </c>
      <c r="D23" s="4" t="inlineStr">
        <is>
          <t>保養品與外出小物各裝一盒</t>
        </is>
      </c>
      <c r="E23" s="4" t="inlineStr">
        <is>
          <t>擦鞋海綿、鞋油等保養用品集中放進一個盒子，保養時整盒拿出即可；防蚊液、蚊香、防水噴霧、野餐墊等外出時用的零碎物品，也適合放在玄關並用盒子統一收。</t>
        </is>
      </c>
      <c r="F23" s="4" t="inlineStr"/>
      <c r="G23" s="4" t="inlineStr"/>
      <c r="H23" s="4" t="inlineStr"/>
      <c r="I23" s="4" t="inlineStr">
        <is>
          <t>NITORI</t>
        </is>
      </c>
      <c r="J23" s="4" t="inlineStr">
        <is>
          <t>ニトリネット 収納アイデア｜玄関収納のアイデア</t>
        </is>
      </c>
      <c r="K23" s="4" t="inlineStr">
        <is>
          <t>品牌官方</t>
        </is>
      </c>
      <c r="L23" s="5" t="inlineStr">
        <is>
          <t>https://www.nitori-net.jp/ec/feature/storageidea/entrance/</t>
        </is>
      </c>
      <c r="M23" s="4" t="inlineStr">
        <is>
          <t>2023-04-01</t>
        </is>
      </c>
      <c r="N23" s="4" t="inlineStr">
        <is>
          <t>2026-10-26</t>
        </is>
      </c>
      <c r="O23" s="4" t="inlineStr">
        <is>
          <t>ja</t>
        </is>
      </c>
      <c r="P23" s="4" t="inlineStr">
        <is>
          <t>high</t>
        </is>
      </c>
    </row>
    <row r="24">
      <c r="A24" s="4" t="inlineStr">
        <is>
          <t>TB-023</t>
        </is>
      </c>
      <c r="B24" s="4" t="inlineStr">
        <is>
          <t>玄關</t>
        </is>
      </c>
      <c r="C24" s="4" t="inlineStr">
        <is>
          <t>伸縮棒/吊掛</t>
        </is>
      </c>
      <c r="D24" s="4" t="inlineStr">
        <is>
          <t>鞋櫃內用伸縮棒吊掛長靴與雨傘</t>
        </is>
      </c>
      <c r="E24" s="4" t="inlineStr">
        <is>
          <t>長靴、雨傘等較長的物品，可在鞋櫃內用伸縮棒或毛巾架做出專門的吊掛區，把它們吊起來收納。鞋櫃大小每戶不同，要依自家鞋櫃尺寸與想收的東西規劃收法。</t>
        </is>
      </c>
      <c r="F24" s="4" t="inlineStr"/>
      <c r="G24" s="4" t="inlineStr"/>
      <c r="H24" s="4" t="inlineStr">
        <is>
          <t>伸縮棒/吊掛收納</t>
        </is>
      </c>
      <c r="I24" s="4" t="inlineStr">
        <is>
          <t>NITORI</t>
        </is>
      </c>
      <c r="J24" s="4" t="inlineStr">
        <is>
          <t>ニトリネット 収納アイデア｜玄関収納のアイデア</t>
        </is>
      </c>
      <c r="K24" s="4" t="inlineStr">
        <is>
          <t>品牌官方</t>
        </is>
      </c>
      <c r="L24" s="5" t="inlineStr">
        <is>
          <t>https://www.nitori-net.jp/ec/feature/storageidea/entrance/</t>
        </is>
      </c>
      <c r="M24" s="4" t="inlineStr">
        <is>
          <t>2023-04-01</t>
        </is>
      </c>
      <c r="N24" s="4" t="inlineStr">
        <is>
          <t>2026-10-26</t>
        </is>
      </c>
      <c r="O24" s="4" t="inlineStr">
        <is>
          <t>ja</t>
        </is>
      </c>
      <c r="P24" s="4" t="inlineStr">
        <is>
          <t>high</t>
        </is>
      </c>
    </row>
    <row r="25">
      <c r="A25" s="4" t="inlineStr">
        <is>
          <t>TB-024</t>
        </is>
      </c>
      <c r="B25" s="4" t="inlineStr">
        <is>
          <t>玄關</t>
        </is>
      </c>
      <c r="C25" s="4" t="inlineStr">
        <is>
          <t>定位/門板</t>
        </is>
      </c>
      <c r="D25" s="4" t="inlineStr">
        <is>
          <t>鞋櫃上放托盤、門側掛拖鞋</t>
        </is>
      </c>
      <c r="E25" s="4" t="inlineStr">
        <is>
          <t>鞋櫃上方用小物盒或托盤給鑰匙、印章固定位置，避免檯面雜亂；拖鞋可掛在鞋櫃門外側或側面，地板空出來也比較好打掃。</t>
        </is>
      </c>
      <c r="F25" s="4" t="inlineStr"/>
      <c r="G25" s="4" t="inlineStr"/>
      <c r="H25" s="4" t="inlineStr">
        <is>
          <t>掛勾</t>
        </is>
      </c>
      <c r="I25" s="4" t="inlineStr">
        <is>
          <t>NITORI</t>
        </is>
      </c>
      <c r="J25" s="4" t="inlineStr">
        <is>
          <t>ニトリネット 収納アイデア｜玄関収納のアイデア</t>
        </is>
      </c>
      <c r="K25" s="4" t="inlineStr">
        <is>
          <t>品牌官方</t>
        </is>
      </c>
      <c r="L25" s="5" t="inlineStr">
        <is>
          <t>https://www.nitori-net.jp/ec/feature/storageidea/entrance/</t>
        </is>
      </c>
      <c r="M25" s="4" t="inlineStr">
        <is>
          <t>2023-04-01</t>
        </is>
      </c>
      <c r="N25" s="4" t="inlineStr">
        <is>
          <t>2026-10-26</t>
        </is>
      </c>
      <c r="O25" s="4" t="inlineStr">
        <is>
          <t>ja</t>
        </is>
      </c>
      <c r="P25" s="4" t="inlineStr">
        <is>
          <t>high</t>
        </is>
      </c>
    </row>
    <row r="26">
      <c r="A26" s="4" t="inlineStr">
        <is>
          <t>TB-025</t>
        </is>
      </c>
      <c r="B26" s="4" t="inlineStr">
        <is>
          <t>玄關</t>
        </is>
      </c>
      <c r="C26" s="4" t="inlineStr">
        <is>
          <t>吊掛/磁吸</t>
        </is>
      </c>
      <c r="D26" s="4" t="inlineStr">
        <is>
          <t>玄關門用磁吸掛勾集中外出小物</t>
        </is>
      </c>
      <c r="E26" s="4" t="inlineStr">
        <is>
          <t>鑰匙、環保袋、口罩等帶出門的物品，可用磁吸收納掛在玄關門上集中管理；印章與酒精可放進瓶架或托盤。有小孩的家庭可依孩子拿得到與只有大人拿得到的高度分開收。</t>
        </is>
      </c>
      <c r="F26" s="4" t="inlineStr"/>
      <c r="G26" s="4" t="inlineStr"/>
      <c r="H26" s="4" t="inlineStr">
        <is>
          <t>掛勾/吊掛收納</t>
        </is>
      </c>
      <c r="I26" s="4" t="inlineStr">
        <is>
          <t>NITORI</t>
        </is>
      </c>
      <c r="J26" s="4" t="inlineStr">
        <is>
          <t>ニトリネット 収納アイデア｜玄関収納のアイデア</t>
        </is>
      </c>
      <c r="K26" s="4" t="inlineStr">
        <is>
          <t>品牌官方</t>
        </is>
      </c>
      <c r="L26" s="5" t="inlineStr">
        <is>
          <t>https://www.nitori-net.jp/ec/feature/storageidea/entrance/</t>
        </is>
      </c>
      <c r="M26" s="4" t="inlineStr">
        <is>
          <t>2023-04-01</t>
        </is>
      </c>
      <c r="N26" s="4" t="inlineStr">
        <is>
          <t>2026-10-26</t>
        </is>
      </c>
      <c r="O26" s="4" t="inlineStr">
        <is>
          <t>ja</t>
        </is>
      </c>
      <c r="P26" s="4" t="inlineStr">
        <is>
          <t>high</t>
        </is>
      </c>
    </row>
    <row r="27">
      <c r="A27" s="4" t="inlineStr">
        <is>
          <t>TB-026</t>
        </is>
      </c>
      <c r="B27" s="4" t="inlineStr">
        <is>
          <t>玄關</t>
        </is>
      </c>
      <c r="C27" s="4" t="inlineStr">
        <is>
          <t>網片配件/壁面</t>
        </is>
      </c>
      <c r="D27" s="4" t="inlineStr">
        <is>
          <t>玄關牆面用洞洞板展示收納</t>
        </is>
      </c>
      <c r="E27" s="4" t="inlineStr">
        <is>
          <t>玄關牆面可用有孔板（洞洞板）、自行車架等做「展示型收納」收趣味用品；東西塞太滿會顯得雜亂，建議只放到約八成滿。</t>
        </is>
      </c>
      <c r="F27" s="4" t="inlineStr"/>
      <c r="G27" s="4" t="inlineStr"/>
      <c r="H27" s="4" t="inlineStr">
        <is>
          <t>網片配件</t>
        </is>
      </c>
      <c r="I27" s="4" t="inlineStr">
        <is>
          <t>NITORI</t>
        </is>
      </c>
      <c r="J27" s="4" t="inlineStr">
        <is>
          <t>ニトリネット 収納アイデア｜玄関収納のアイデア</t>
        </is>
      </c>
      <c r="K27" s="4" t="inlineStr">
        <is>
          <t>品牌官方</t>
        </is>
      </c>
      <c r="L27" s="5" t="inlineStr">
        <is>
          <t>https://www.nitori-net.jp/ec/feature/storageidea/entrance/</t>
        </is>
      </c>
      <c r="M27" s="4" t="inlineStr">
        <is>
          <t>2023-04-01</t>
        </is>
      </c>
      <c r="N27" s="4" t="inlineStr">
        <is>
          <t>2026-10-26</t>
        </is>
      </c>
      <c r="O27" s="4" t="inlineStr">
        <is>
          <t>ja</t>
        </is>
      </c>
      <c r="P27" s="4" t="inlineStr">
        <is>
          <t>high</t>
        </is>
      </c>
    </row>
    <row r="28">
      <c r="A28" s="4" t="inlineStr">
        <is>
          <t>TB-027</t>
        </is>
      </c>
      <c r="B28" s="4" t="inlineStr">
        <is>
          <t>壁櫥</t>
        </is>
      </c>
      <c r="C28" s="4" t="inlineStr">
        <is>
          <t>分區</t>
        </is>
      </c>
      <c r="D28" s="4" t="inlineStr">
        <is>
          <t>壁櫥天袋前後分、頂層小分裝</t>
        </is>
      </c>
      <c r="E28" s="4" t="inlineStr">
        <is>
          <t>壁櫥最上層（天袋）不好取用，放低頻物品。因為很深，基本上前後分開：幾乎不拿的放後面、偶爾拿的放前面，並分成小份避免太重，盒子以有蓋款為佳。</t>
        </is>
      </c>
      <c r="F28" s="4" t="inlineStr"/>
      <c r="G28" s="4" t="inlineStr"/>
      <c r="H28" s="4" t="inlineStr"/>
      <c r="I28" s="4" t="inlineStr">
        <is>
          <t>NITORI</t>
        </is>
      </c>
      <c r="J28" s="4" t="inlineStr">
        <is>
          <t>ニトリネット 収納アイデア｜押入れ収納のアイデア</t>
        </is>
      </c>
      <c r="K28" s="4" t="inlineStr">
        <is>
          <t>品牌官方</t>
        </is>
      </c>
      <c r="L28" s="5" t="inlineStr">
        <is>
          <t>https://www.nitori-net.jp/ec/feature/storageidea/oshiire/</t>
        </is>
      </c>
      <c r="M28" s="4" t="inlineStr"/>
      <c r="N28" s="4" t="inlineStr">
        <is>
          <t>2026-10-26</t>
        </is>
      </c>
      <c r="O28" s="4" t="inlineStr">
        <is>
          <t>ja</t>
        </is>
      </c>
      <c r="P28" s="4" t="inlineStr">
        <is>
          <t>high</t>
        </is>
      </c>
    </row>
    <row r="29">
      <c r="A29" s="4" t="inlineStr">
        <is>
          <t>TB-028</t>
        </is>
      </c>
      <c r="B29" s="4" t="inlineStr">
        <is>
          <t>壁櫥</t>
        </is>
      </c>
      <c r="C29" s="4" t="inlineStr">
        <is>
          <t>分區/滾輪</t>
        </is>
      </c>
      <c r="D29" s="4" t="inlineStr">
        <is>
          <t>壁櫥前後分區時，後方用滾輪收納</t>
        </is>
      </c>
      <c r="E29" s="4" t="inlineStr">
        <is>
          <t>壁櫥中下段若前後分開使用，常用物放前面、少用物放後面；前方放層架可搭配各種尺寸收納盒，後方則用附滾輪的衣物箱，讓後面的東西也能隨時拉出來。</t>
        </is>
      </c>
      <c r="F29" s="4" t="inlineStr"/>
      <c r="G29" s="4" t="inlineStr"/>
      <c r="H29" s="4" t="inlineStr">
        <is>
          <t>小型置物架</t>
        </is>
      </c>
      <c r="I29" s="4" t="inlineStr">
        <is>
          <t>NITORI</t>
        </is>
      </c>
      <c r="J29" s="4" t="inlineStr">
        <is>
          <t>ニトリネット 収納アイデア｜押入れ収納のアイデア</t>
        </is>
      </c>
      <c r="K29" s="4" t="inlineStr">
        <is>
          <t>品牌官方</t>
        </is>
      </c>
      <c r="L29" s="5" t="inlineStr">
        <is>
          <t>https://www.nitori-net.jp/ec/feature/storageidea/oshiire/</t>
        </is>
      </c>
      <c r="M29" s="4" t="inlineStr"/>
      <c r="N29" s="4" t="inlineStr">
        <is>
          <t>2026-10-26</t>
        </is>
      </c>
      <c r="O29" s="4" t="inlineStr">
        <is>
          <t>ja</t>
        </is>
      </c>
      <c r="P29" s="4" t="inlineStr">
        <is>
          <t>high</t>
        </is>
      </c>
    </row>
    <row r="30">
      <c r="A30" s="4" t="inlineStr">
        <is>
          <t>TB-029</t>
        </is>
      </c>
      <c r="B30" s="4" t="inlineStr">
        <is>
          <t>壁櫥</t>
        </is>
      </c>
      <c r="C30" s="4" t="inlineStr">
        <is>
          <t>伸縮棒/吊掛</t>
        </is>
      </c>
      <c r="D30" s="4" t="inlineStr">
        <is>
          <t>壁櫥下段用伸縮桿加支撐桿掛童裝</t>
        </is>
      </c>
      <c r="E30" s="4" t="inlineStr">
        <is>
          <t>把壁櫥下段當兒童空間時，用伸縮吊衣桿搭配支撐桿，掛再多衣服也不怕下滑；旁邊放壁櫥用收納箱收換季衣物，玩具與學用品則集中放入收納籃。</t>
        </is>
      </c>
      <c r="F30" s="4" t="inlineStr"/>
      <c r="G30" s="4" t="inlineStr"/>
      <c r="H30" s="4" t="inlineStr">
        <is>
          <t>伸縮棒/吊掛收納</t>
        </is>
      </c>
      <c r="I30" s="4" t="inlineStr">
        <is>
          <t>NITORI</t>
        </is>
      </c>
      <c r="J30" s="4" t="inlineStr">
        <is>
          <t>ニトリネット 収納アイデア｜押入れ収納のアイデア</t>
        </is>
      </c>
      <c r="K30" s="4" t="inlineStr">
        <is>
          <t>品牌官方</t>
        </is>
      </c>
      <c r="L30" s="5" t="inlineStr">
        <is>
          <t>https://www.nitori-net.jp/ec/feature/storageidea/oshiire/</t>
        </is>
      </c>
      <c r="M30" s="4" t="inlineStr"/>
      <c r="N30" s="4" t="inlineStr">
        <is>
          <t>2026-10-26</t>
        </is>
      </c>
      <c r="O30" s="4" t="inlineStr">
        <is>
          <t>ja</t>
        </is>
      </c>
      <c r="P30" s="4" t="inlineStr">
        <is>
          <t>high</t>
        </is>
      </c>
    </row>
    <row r="31">
      <c r="A31" s="4" t="inlineStr">
        <is>
          <t>TB-030</t>
        </is>
      </c>
      <c r="B31" s="4" t="inlineStr">
        <is>
          <t>浴室</t>
        </is>
      </c>
      <c r="C31" s="4" t="inlineStr">
        <is>
          <t>浮空收納/掛勾</t>
        </is>
      </c>
      <c r="D31" s="4" t="inlineStr">
        <is>
          <t>洗臉台上方用磁吸、吸盤、薄膜掛勾</t>
        </is>
      </c>
      <c r="E31" s="4" t="inlineStr">
        <is>
          <t>洗臉台上方放每天用的牙刷、吹風機等；需要瀝水的衛生用品改用磁鐵、吸盤或薄膜掛勾掛起來，比較衛生也更好打掃，可裝在塑膠面或鏡面等平整處。</t>
        </is>
      </c>
      <c r="F31" s="4" t="inlineStr"/>
      <c r="G31" s="4" t="inlineStr"/>
      <c r="H31" s="4" t="inlineStr">
        <is>
          <t>掛勾</t>
        </is>
      </c>
      <c r="I31" s="4" t="inlineStr">
        <is>
          <t>NITORI</t>
        </is>
      </c>
      <c r="J31" s="4" t="inlineStr">
        <is>
          <t>ニトリネット 収納アイデア｜洗面所・脱衣所・トイレの収納アイデア</t>
        </is>
      </c>
      <c r="K31" s="4" t="inlineStr">
        <is>
          <t>品牌官方</t>
        </is>
      </c>
      <c r="L31" s="5" t="inlineStr">
        <is>
          <t>https://www.nitori-net.jp/ec/feature/storageidea/washroom/</t>
        </is>
      </c>
      <c r="M31" s="4" t="inlineStr">
        <is>
          <t>2023-04-01</t>
        </is>
      </c>
      <c r="N31" s="4" t="inlineStr">
        <is>
          <t>2026-10-26</t>
        </is>
      </c>
      <c r="O31" s="4" t="inlineStr">
        <is>
          <t>ja</t>
        </is>
      </c>
      <c r="P31" s="4" t="inlineStr">
        <is>
          <t>high</t>
        </is>
      </c>
    </row>
    <row r="32">
      <c r="A32" s="4" t="inlineStr">
        <is>
          <t>TB-031</t>
        </is>
      </c>
      <c r="B32" s="4" t="inlineStr">
        <is>
          <t>洗手台下</t>
        </is>
      </c>
      <c r="C32" s="4" t="inlineStr">
        <is>
          <t>避開管線/伸縮</t>
        </is>
      </c>
      <c r="D32" s="4" t="inlineStr">
        <is>
          <t>洗手台下用避管架與可伸縮盒</t>
        </is>
      </c>
      <c r="E32" s="4" t="inlineStr">
        <is>
          <t>洗手台下有排水管，可用能繞開管線的層架減少死角；再用符合深度的整理盒，選可伸縮的款式就能拉長到櫃深，連裡面的東西也好拿出。</t>
        </is>
      </c>
      <c r="F32" s="4" t="inlineStr"/>
      <c r="G32" s="4" t="inlineStr"/>
      <c r="H32" s="4" t="inlineStr">
        <is>
          <t>小型置物架</t>
        </is>
      </c>
      <c r="I32" s="4" t="inlineStr">
        <is>
          <t>NITORI</t>
        </is>
      </c>
      <c r="J32" s="4" t="inlineStr">
        <is>
          <t>ニトリネット 収納アイデア｜洗面所・脱衣所・トイレの収納アイデア</t>
        </is>
      </c>
      <c r="K32" s="4" t="inlineStr">
        <is>
          <t>品牌官方</t>
        </is>
      </c>
      <c r="L32" s="5" t="inlineStr">
        <is>
          <t>https://www.nitori-net.jp/ec/feature/storageidea/washroom/</t>
        </is>
      </c>
      <c r="M32" s="4" t="inlineStr">
        <is>
          <t>2023-04-01</t>
        </is>
      </c>
      <c r="N32" s="4" t="inlineStr">
        <is>
          <t>2026-10-26</t>
        </is>
      </c>
      <c r="O32" s="4" t="inlineStr">
        <is>
          <t>ja</t>
        </is>
      </c>
      <c r="P32" s="4" t="inlineStr">
        <is>
          <t>high</t>
        </is>
      </c>
    </row>
    <row r="33">
      <c r="A33" s="4" t="inlineStr">
        <is>
          <t>TB-032</t>
        </is>
      </c>
      <c r="B33" s="4" t="inlineStr">
        <is>
          <t>洗手台下</t>
        </is>
      </c>
      <c r="C33" s="4" t="inlineStr">
        <is>
          <t>門板/掛勾</t>
        </is>
      </c>
      <c r="D33" s="4" t="inlineStr">
        <is>
          <t>洗手台櫃門內外側掛吹風機與日用品</t>
        </is>
      </c>
      <c r="E33" s="4" t="inlineStr">
        <is>
          <t>收納少的洗臉台可用門板：外側做每天用的吹風機掛點，內側用可撕除的薄膜掛勾或吸盤，把日用品藏在鏡櫃或門片裡側，減少生活感。</t>
        </is>
      </c>
      <c r="F33" s="4" t="inlineStr"/>
      <c r="G33" s="4" t="inlineStr"/>
      <c r="H33" s="4" t="inlineStr">
        <is>
          <t>掛勾</t>
        </is>
      </c>
      <c r="I33" s="4" t="inlineStr">
        <is>
          <t>NITORI</t>
        </is>
      </c>
      <c r="J33" s="4" t="inlineStr">
        <is>
          <t>ニトリネット 収納アイデア｜洗面所・脱衣所・トイレの収納アイデア</t>
        </is>
      </c>
      <c r="K33" s="4" t="inlineStr">
        <is>
          <t>品牌官方</t>
        </is>
      </c>
      <c r="L33" s="5" t="inlineStr">
        <is>
          <t>https://www.nitori-net.jp/ec/feature/storageidea/washroom/</t>
        </is>
      </c>
      <c r="M33" s="4" t="inlineStr">
        <is>
          <t>2023-04-01</t>
        </is>
      </c>
      <c r="N33" s="4" t="inlineStr">
        <is>
          <t>2026-10-26</t>
        </is>
      </c>
      <c r="O33" s="4" t="inlineStr">
        <is>
          <t>ja</t>
        </is>
      </c>
      <c r="P33" s="4" t="inlineStr">
        <is>
          <t>high</t>
        </is>
      </c>
    </row>
    <row r="34">
      <c r="A34" s="4" t="inlineStr">
        <is>
          <t>TB-033</t>
        </is>
      </c>
      <c r="B34" s="4" t="inlineStr">
        <is>
          <t>浴室</t>
        </is>
      </c>
      <c r="C34" s="4" t="inlineStr">
        <is>
          <t>伸縮棒/高度利用</t>
        </is>
      </c>
      <c r="D34" s="4" t="inlineStr">
        <is>
          <t>洗衣機上方架伸縮棒放輕物</t>
        </is>
      </c>
      <c r="E34" s="4" t="inlineStr">
        <is>
          <t>洗衣機上方常是死角，可放洗衣機架或裝伸縮棒，放衣架、洗衣精等較輕的物品；設置前先確認伸縮棒長度足夠、耐重沒有問題。</t>
        </is>
      </c>
      <c r="F34" s="4" t="inlineStr"/>
      <c r="G34" s="4" t="inlineStr"/>
      <c r="H34" s="4" t="inlineStr">
        <is>
          <t>伸縮棒/伸縮層架</t>
        </is>
      </c>
      <c r="I34" s="4" t="inlineStr">
        <is>
          <t>NITORI</t>
        </is>
      </c>
      <c r="J34" s="4" t="inlineStr">
        <is>
          <t>ニトリネット 収納アイデア｜洗面所・脱衣所・トイレの収納アイデア</t>
        </is>
      </c>
      <c r="K34" s="4" t="inlineStr">
        <is>
          <t>品牌官方</t>
        </is>
      </c>
      <c r="L34" s="5" t="inlineStr">
        <is>
          <t>https://www.nitori-net.jp/ec/feature/storageidea/washroom/</t>
        </is>
      </c>
      <c r="M34" s="4" t="inlineStr">
        <is>
          <t>2023-04-01</t>
        </is>
      </c>
      <c r="N34" s="4" t="inlineStr">
        <is>
          <t>2026-10-26</t>
        </is>
      </c>
      <c r="O34" s="4" t="inlineStr">
        <is>
          <t>ja</t>
        </is>
      </c>
      <c r="P34" s="4" t="inlineStr">
        <is>
          <t>high</t>
        </is>
      </c>
    </row>
    <row r="35">
      <c r="A35" s="4" t="inlineStr">
        <is>
          <t>TB-034</t>
        </is>
      </c>
      <c r="B35" s="4" t="inlineStr">
        <is>
          <t>浴室</t>
        </is>
      </c>
      <c r="C35" s="4" t="inlineStr">
        <is>
          <t>磁吸/縫隙</t>
        </is>
      </c>
      <c r="D35" s="4" t="inlineStr">
        <is>
          <t>洗衣機側面磁吸架與旁邊縫隙櫃</t>
        </is>
      </c>
      <c r="E35" s="4" t="inlineStr">
        <is>
          <t>洗衣機側面與正面可用磁吸收納掛洗衣球、衣架、毛巾，磁吸架兼有棚板與掛勾，放與掛一次完成；洗手台與洗衣機之間的縫隙則放細長推車或抽屜櫃。</t>
        </is>
      </c>
      <c r="F35" s="4" t="inlineStr"/>
      <c r="G35" s="4" t="inlineStr"/>
      <c r="H35" s="4" t="inlineStr">
        <is>
          <t>掛勾/小型置物架</t>
        </is>
      </c>
      <c r="I35" s="4" t="inlineStr">
        <is>
          <t>NITORI</t>
        </is>
      </c>
      <c r="J35" s="4" t="inlineStr">
        <is>
          <t>ニトリネット 収納アイデア｜洗面所・脱衣所・トイレの収納アイデア</t>
        </is>
      </c>
      <c r="K35" s="4" t="inlineStr">
        <is>
          <t>品牌官方</t>
        </is>
      </c>
      <c r="L35" s="5" t="inlineStr">
        <is>
          <t>https://www.nitori-net.jp/ec/feature/storageidea/washroom/</t>
        </is>
      </c>
      <c r="M35" s="4" t="inlineStr">
        <is>
          <t>2023-04-01</t>
        </is>
      </c>
      <c r="N35" s="4" t="inlineStr">
        <is>
          <t>2026-10-26</t>
        </is>
      </c>
      <c r="O35" s="4" t="inlineStr">
        <is>
          <t>ja</t>
        </is>
      </c>
      <c r="P35" s="4" t="inlineStr">
        <is>
          <t>high</t>
        </is>
      </c>
    </row>
    <row r="36">
      <c r="A36" s="4" t="inlineStr">
        <is>
          <t>TB-035</t>
        </is>
      </c>
      <c r="B36" s="4" t="inlineStr">
        <is>
          <t>浴室</t>
        </is>
      </c>
      <c r="C36" s="4" t="inlineStr">
        <is>
          <t>伸縮棒/壁面</t>
        </is>
      </c>
      <c r="D36" s="4" t="inlineStr">
        <is>
          <t>馬桶後方牆面用伸縮棒做層架</t>
        </is>
      </c>
      <c r="E36" s="4" t="inlineStr">
        <is>
          <t>在馬桶後方牆面加裝伸縮棒或層板做收納，不會有壓迫感，空間小也能裝；沒有固定棚板時，用壁掛層架或伸縮棒就能多出放衛生紙等的位置。</t>
        </is>
      </c>
      <c r="F36" s="4" t="inlineStr"/>
      <c r="G36" s="4" t="inlineStr"/>
      <c r="H36" s="4" t="inlineStr">
        <is>
          <t>伸縮棒/伸縮層架</t>
        </is>
      </c>
      <c r="I36" s="4" t="inlineStr">
        <is>
          <t>NITORI</t>
        </is>
      </c>
      <c r="J36" s="4" t="inlineStr">
        <is>
          <t>ニトリネット 収納アイデア｜洗面所・脱衣所・トイレの収納アイデア</t>
        </is>
      </c>
      <c r="K36" s="4" t="inlineStr">
        <is>
          <t>品牌官方</t>
        </is>
      </c>
      <c r="L36" s="5" t="inlineStr">
        <is>
          <t>https://www.nitori-net.jp/ec/feature/storageidea/washroom/</t>
        </is>
      </c>
      <c r="M36" s="4" t="inlineStr">
        <is>
          <t>2023-04-01</t>
        </is>
      </c>
      <c r="N36" s="4" t="inlineStr">
        <is>
          <t>2026-10-26</t>
        </is>
      </c>
      <c r="O36" s="4" t="inlineStr">
        <is>
          <t>ja</t>
        </is>
      </c>
      <c r="P36" s="4" t="inlineStr">
        <is>
          <t>high</t>
        </is>
      </c>
    </row>
    <row r="37">
      <c r="A37" s="4" t="inlineStr">
        <is>
          <t>TB-036</t>
        </is>
      </c>
      <c r="B37" s="4" t="inlineStr">
        <is>
          <t>桌面</t>
        </is>
      </c>
      <c r="C37" s="4" t="inlineStr">
        <is>
          <t>網片配件/掛勾</t>
        </is>
      </c>
      <c r="D37" s="4" t="inlineStr">
        <is>
          <t>書桌後方加裝洞洞板掛文具線材</t>
        </is>
      </c>
      <c r="E37" s="4" t="inlineStr">
        <is>
          <t>桌面上的東西容易散亂，可在桌子後側加裝洞洞板（パンチングボード），再配合可掛上的掛勾與托盤，把筆、眼鏡、線材等集中掛起，坐著就拿得到。</t>
        </is>
      </c>
      <c r="F37" s="4" t="inlineStr"/>
      <c r="G37" s="4" t="inlineStr"/>
      <c r="H37" s="4" t="inlineStr">
        <is>
          <t>網片配件/掛勾</t>
        </is>
      </c>
      <c r="I37" s="4" t="inlineStr">
        <is>
          <t>NITORI</t>
        </is>
      </c>
      <c r="J37" s="4" t="inlineStr">
        <is>
          <t>ニトリネット 収納アイデア｜ワークスペースの収納アイデア</t>
        </is>
      </c>
      <c r="K37" s="4" t="inlineStr">
        <is>
          <t>品牌官方</t>
        </is>
      </c>
      <c r="L37" s="5" t="inlineStr">
        <is>
          <t>https://www.nitori-net.jp/ec/feature/storageidea/workspace/</t>
        </is>
      </c>
      <c r="M37" s="4" t="inlineStr">
        <is>
          <t>2023-04-01</t>
        </is>
      </c>
      <c r="N37" s="4" t="inlineStr">
        <is>
          <t>2026-10-26</t>
        </is>
      </c>
      <c r="O37" s="4" t="inlineStr">
        <is>
          <t>ja</t>
        </is>
      </c>
      <c r="P37" s="4" t="inlineStr">
        <is>
          <t>high</t>
        </is>
      </c>
    </row>
    <row r="38">
      <c r="A38" s="4" t="inlineStr">
        <is>
          <t>TB-037</t>
        </is>
      </c>
      <c r="B38" s="4" t="inlineStr">
        <is>
          <t>冰箱</t>
        </is>
      </c>
      <c r="C38" s="4" t="inlineStr">
        <is>
          <t>分區/高度利用</t>
        </is>
      </c>
      <c r="D38" s="4" t="inlineStr">
        <is>
          <t>冰箱上層放長期品、中下層放常備菜</t>
        </is>
      </c>
      <c r="E38" s="4" t="inlineStr">
        <is>
          <t>冷藏室上層較難看見與拿取，適合當長期保存的固定品（罐裝飲料、味噌等）的定位，並用有把手的托盤；中下層接近視線高度，放保存期限較短的常備菜與剩菜。</t>
        </is>
      </c>
      <c r="F38" s="4" t="inlineStr"/>
      <c r="G38" s="4" t="inlineStr"/>
      <c r="H38" s="4" t="inlineStr"/>
      <c r="I38" s="4" t="inlineStr">
        <is>
          <t>NITORI</t>
        </is>
      </c>
      <c r="J38" s="4" t="inlineStr">
        <is>
          <t>ニトリネット 特集｜見えるからムダがない！ニトリのおすすめ冷蔵庫収納</t>
        </is>
      </c>
      <c r="K38" s="4" t="inlineStr">
        <is>
          <t>品牌官方</t>
        </is>
      </c>
      <c r="L38" s="5" t="inlineStr">
        <is>
          <t>https://www.nitori-net.jp/ec/feature/refrigerator/</t>
        </is>
      </c>
      <c r="M38" s="4" t="inlineStr">
        <is>
          <t>2023-07-26</t>
        </is>
      </c>
      <c r="N38" s="4" t="inlineStr">
        <is>
          <t>2026-10-26</t>
        </is>
      </c>
      <c r="O38" s="4" t="inlineStr">
        <is>
          <t>ja</t>
        </is>
      </c>
      <c r="P38" s="4" t="inlineStr">
        <is>
          <t>high</t>
        </is>
      </c>
    </row>
    <row r="39">
      <c r="A39" s="4" t="inlineStr">
        <is>
          <t>TB-038</t>
        </is>
      </c>
      <c r="B39" s="4" t="inlineStr">
        <is>
          <t>冰箱</t>
        </is>
      </c>
      <c r="C39" s="4" t="inlineStr">
        <is>
          <t>直立收納</t>
        </is>
      </c>
      <c r="D39" s="4" t="inlineStr">
        <is>
          <t>蔬果室下層用深盤把蔬菜立起來</t>
        </is>
      </c>
      <c r="E39" s="4" t="inlineStr">
        <is>
          <t>蔬果室上層放小東西與用剩的食材，下層用較深的托盤把葉菜、根莖類立起收；大小不一的食材可用可伸縮的托盤或收納盒整理。</t>
        </is>
      </c>
      <c r="F39" s="4" t="inlineStr"/>
      <c r="G39" s="4" t="inlineStr"/>
      <c r="H39" s="4" t="inlineStr"/>
      <c r="I39" s="4" t="inlineStr">
        <is>
          <t>NITORI</t>
        </is>
      </c>
      <c r="J39" s="4" t="inlineStr">
        <is>
          <t>ニトリネット 特集｜見えるからムダがない！ニトリのおすすめ冷蔵庫収納</t>
        </is>
      </c>
      <c r="K39" s="4" t="inlineStr">
        <is>
          <t>品牌官方</t>
        </is>
      </c>
      <c r="L39" s="5" t="inlineStr">
        <is>
          <t>https://www.nitori-net.jp/ec/feature/refrigerator/</t>
        </is>
      </c>
      <c r="M39" s="4" t="inlineStr">
        <is>
          <t>2023-07-26</t>
        </is>
      </c>
      <c r="N39" s="4" t="inlineStr">
        <is>
          <t>2026-10-26</t>
        </is>
      </c>
      <c r="O39" s="4" t="inlineStr">
        <is>
          <t>ja</t>
        </is>
      </c>
      <c r="P39" s="4" t="inlineStr">
        <is>
          <t>high</t>
        </is>
      </c>
    </row>
    <row r="40">
      <c r="A40" s="4" t="inlineStr">
        <is>
          <t>TB-039</t>
        </is>
      </c>
      <c r="B40" s="4" t="inlineStr">
        <is>
          <t>冰箱</t>
        </is>
      </c>
      <c r="C40" s="4" t="inlineStr">
        <is>
          <t>直立收納/標籤</t>
        </is>
      </c>
      <c r="D40" s="4" t="inlineStr">
        <is>
          <t>冷凍庫立放、貼標並用隔板</t>
        </is>
      </c>
      <c r="E40" s="4" t="inlineStr">
        <is>
          <t>冷凍庫較深，冷凍食品不要疊放而是立起來；食材裝保存袋並貼標，方便定期檢查。夾鏈袋或冷凍食品不好站立時，可在托盤裡加隔板，讓家人也找得到。</t>
        </is>
      </c>
      <c r="F40" s="4" t="inlineStr"/>
      <c r="G40" s="4" t="inlineStr"/>
      <c r="H40" s="4" t="inlineStr">
        <is>
          <t>抽屜隔板</t>
        </is>
      </c>
      <c r="I40" s="4" t="inlineStr">
        <is>
          <t>NITORI</t>
        </is>
      </c>
      <c r="J40" s="4" t="inlineStr">
        <is>
          <t>ニトリネット 特集｜見えるからムダがない！ニトリのおすすめ冷蔵庫収納</t>
        </is>
      </c>
      <c r="K40" s="4" t="inlineStr">
        <is>
          <t>品牌官方</t>
        </is>
      </c>
      <c r="L40" s="5" t="inlineStr">
        <is>
          <t>https://www.nitori-net.jp/ec/feature/refrigerator/</t>
        </is>
      </c>
      <c r="M40" s="4" t="inlineStr">
        <is>
          <t>2023-07-26</t>
        </is>
      </c>
      <c r="N40" s="4" t="inlineStr">
        <is>
          <t>2026-10-26</t>
        </is>
      </c>
      <c r="O40" s="4" t="inlineStr">
        <is>
          <t>ja</t>
        </is>
      </c>
      <c r="P40" s="4" t="inlineStr">
        <is>
          <t>high</t>
        </is>
      </c>
    </row>
    <row r="41">
      <c r="A41" s="4" t="inlineStr">
        <is>
          <t>TB-040</t>
        </is>
      </c>
      <c r="B41" s="4" t="inlineStr">
        <is>
          <t>冰箱</t>
        </is>
      </c>
      <c r="C41" s="4" t="inlineStr">
        <is>
          <t>標籤/分區</t>
        </is>
      </c>
      <c r="D41" s="4" t="inlineStr">
        <is>
          <t>冰箱用不同尺寸托盤分裝並寫上分類</t>
        </is>
      </c>
      <c r="E41" s="4" t="inlineStr">
        <is>
          <t>不擅長整理的人，可把買回的食材先依「尺寸」或「種類」（飲料、乳製品、調味料等）分到不同托盤，再用紙膠帶在托盤寫上分類，家人也能維持整齊。</t>
        </is>
      </c>
      <c r="F41" s="4" t="inlineStr"/>
      <c r="G41" s="4" t="inlineStr"/>
      <c r="H41" s="4" t="inlineStr"/>
      <c r="I41" s="4" t="inlineStr">
        <is>
          <t>NITORI</t>
        </is>
      </c>
      <c r="J41" s="4" t="inlineStr">
        <is>
          <t>ニトリネット 特集｜見えるからムダがない！ニトリのおすすめ冷蔵庫収納</t>
        </is>
      </c>
      <c r="K41" s="4" t="inlineStr">
        <is>
          <t>品牌官方</t>
        </is>
      </c>
      <c r="L41" s="5" t="inlineStr">
        <is>
          <t>https://www.nitori-net.jp/ec/feature/refrigerator/</t>
        </is>
      </c>
      <c r="M41" s="4" t="inlineStr">
        <is>
          <t>2023-07-26</t>
        </is>
      </c>
      <c r="N41" s="4" t="inlineStr">
        <is>
          <t>2026-10-26</t>
        </is>
      </c>
      <c r="O41" s="4" t="inlineStr">
        <is>
          <t>ja</t>
        </is>
      </c>
      <c r="P41" s="4" t="inlineStr">
        <is>
          <t>high</t>
        </is>
      </c>
    </row>
    <row r="42">
      <c r="A42" s="4" t="inlineStr">
        <is>
          <t>TB-041</t>
        </is>
      </c>
      <c r="B42" s="4" t="inlineStr">
        <is>
          <t>廚房</t>
        </is>
      </c>
      <c r="C42" s="4" t="inlineStr">
        <is>
          <t>伸縮棒/磁吸</t>
        </is>
      </c>
      <c r="D42" s="4" t="inlineStr">
        <is>
          <t>磁鐵吸不住的牆改用附磁板的伸縮架</t>
        </is>
      </c>
      <c r="E42" s="4" t="inlineStr">
        <is>
          <t>牆面不能吸磁鐵時，可用附磁吸面板的伸縮架做浮空收納；文中的不鏽鋼伸縮架深度約6cm、層板高度可調，鍋具與調理盆可以收上去，收起層板加裝盒子或立架也能邊瀝水邊收砧板與工具。</t>
        </is>
      </c>
      <c r="F42" s="4" t="inlineStr"/>
      <c r="G42" s="4" t="inlineStr"/>
      <c r="H42" s="4" t="inlineStr">
        <is>
          <t>伸縮棒/伸縮層架</t>
        </is>
      </c>
      <c r="I42" s="4" t="inlineStr">
        <is>
          <t>NITORI</t>
        </is>
      </c>
      <c r="J42" s="4" t="inlineStr">
        <is>
          <t>ニトリネット くらし特集｜マグネットだけじゃない！浮かせる収納アイデア15選</t>
        </is>
      </c>
      <c r="K42" s="4" t="inlineStr">
        <is>
          <t>品牌官方</t>
        </is>
      </c>
      <c r="L42" s="5" t="inlineStr">
        <is>
          <t>https://www.nitori-net.jp/ec/feature/kurashi/organize-2240001/</t>
        </is>
      </c>
      <c r="M42" s="4" t="inlineStr"/>
      <c r="N42" s="4" t="inlineStr">
        <is>
          <t>2026-10-26</t>
        </is>
      </c>
      <c r="O42" s="4" t="inlineStr">
        <is>
          <t>ja</t>
        </is>
      </c>
      <c r="P42" s="4" t="inlineStr">
        <is>
          <t>high</t>
        </is>
      </c>
    </row>
    <row r="43">
      <c r="A43" s="4" t="inlineStr">
        <is>
          <t>TB-042</t>
        </is>
      </c>
      <c r="B43" s="4" t="inlineStr">
        <is>
          <t>冰箱</t>
        </is>
      </c>
      <c r="C43" s="4" t="inlineStr">
        <is>
          <t>吊掛/磁吸</t>
        </is>
      </c>
      <c r="D43" s="4" t="inlineStr">
        <is>
          <t>冰箱側面掛保鮮膜、層板下加掛盤</t>
        </is>
      </c>
      <c r="E43" s="4" t="inlineStr">
        <is>
          <t>保鮮膜類可用磁吸收納掛在冰箱側面，順手好拿；冰箱內則可在層板下加掛托盤，集中放容易找不到的小包裝或快到期的食品，減少浪費。</t>
        </is>
      </c>
      <c r="F43" s="4" t="inlineStr"/>
      <c r="G43" s="4" t="inlineStr"/>
      <c r="H43" s="4" t="inlineStr">
        <is>
          <t>吊掛收納</t>
        </is>
      </c>
      <c r="I43" s="4" t="inlineStr">
        <is>
          <t>NITORI</t>
        </is>
      </c>
      <c r="J43" s="4" t="inlineStr">
        <is>
          <t>ニトリネット くらし特集｜マグネットだけじゃない！浮かせる収納アイデア15選</t>
        </is>
      </c>
      <c r="K43" s="4" t="inlineStr">
        <is>
          <t>品牌官方</t>
        </is>
      </c>
      <c r="L43" s="5" t="inlineStr">
        <is>
          <t>https://www.nitori-net.jp/ec/feature/kurashi/organize-2240001/</t>
        </is>
      </c>
      <c r="M43" s="4" t="inlineStr"/>
      <c r="N43" s="4" t="inlineStr">
        <is>
          <t>2026-10-26</t>
        </is>
      </c>
      <c r="O43" s="4" t="inlineStr">
        <is>
          <t>ja</t>
        </is>
      </c>
      <c r="P43" s="4" t="inlineStr">
        <is>
          <t>high</t>
        </is>
      </c>
    </row>
    <row r="44">
      <c r="A44" s="4" t="inlineStr">
        <is>
          <t>TB-043</t>
        </is>
      </c>
      <c r="B44" s="4" t="inlineStr">
        <is>
          <t>浴室</t>
        </is>
      </c>
      <c r="C44" s="4" t="inlineStr">
        <is>
          <t>磁吸/吊掛</t>
        </is>
      </c>
      <c r="D44" s="4" t="inlineStr">
        <is>
          <t>浴室用磁吸讓瓶罐與椅子離地</t>
        </is>
      </c>
      <c r="E44" s="4" t="inlineStr">
        <is>
          <t>沐浴用品擠在內建架上容易滑膩，可換成磁吸瓶或磁吸架、讓浴室椅與水桶也掛上牆；浴室轉角可裝磁吸轉角桿，把清潔劑與刷子吊在一起，架上有空隙水也較易乾。</t>
        </is>
      </c>
      <c r="F44" s="4" t="inlineStr"/>
      <c r="G44" s="4" t="inlineStr"/>
      <c r="H44" s="4" t="inlineStr">
        <is>
          <t>掛勾/吊掛收納</t>
        </is>
      </c>
      <c r="I44" s="4" t="inlineStr">
        <is>
          <t>NITORI</t>
        </is>
      </c>
      <c r="J44" s="4" t="inlineStr">
        <is>
          <t>ニトリネット くらし特集｜マグネットだけじゃない！浮かせる収納アイデア15選</t>
        </is>
      </c>
      <c r="K44" s="4" t="inlineStr">
        <is>
          <t>品牌官方</t>
        </is>
      </c>
      <c r="L44" s="5" t="inlineStr">
        <is>
          <t>https://www.nitori-net.jp/ec/feature/kurashi/organize-2240001/</t>
        </is>
      </c>
      <c r="M44" s="4" t="inlineStr"/>
      <c r="N44" s="4" t="inlineStr">
        <is>
          <t>2026-10-26</t>
        </is>
      </c>
      <c r="O44" s="4" t="inlineStr">
        <is>
          <t>ja</t>
        </is>
      </c>
      <c r="P44" s="4" t="inlineStr">
        <is>
          <t>high</t>
        </is>
      </c>
    </row>
    <row r="45">
      <c r="A45" s="4" t="inlineStr">
        <is>
          <t>TB-044</t>
        </is>
      </c>
      <c r="B45" s="4" t="inlineStr">
        <is>
          <t>玄關</t>
        </is>
      </c>
      <c r="C45" s="4" t="inlineStr">
        <is>
          <t>伸縮棒/吊掛</t>
        </is>
      </c>
      <c r="D45" s="4" t="inlineStr">
        <is>
          <t>玄關用伸縮架掛外套與包包</t>
        </is>
      </c>
      <c r="E45" s="4" t="inlineStr">
        <is>
          <t>外套、包包、孩子的帽子回家後不必帶進客廳，可在玄關附近用伸縮式收納架或屏風收納，出門時直接在玄關完成最後的整裝，也省時間。</t>
        </is>
      </c>
      <c r="F45" s="4" t="inlineStr"/>
      <c r="G45" s="4" t="inlineStr"/>
      <c r="H45" s="4" t="inlineStr">
        <is>
          <t>伸縮棒/伸縮層架</t>
        </is>
      </c>
      <c r="I45" s="4" t="inlineStr">
        <is>
          <t>NITORI</t>
        </is>
      </c>
      <c r="J45" s="4" t="inlineStr">
        <is>
          <t>ニトリネット くらし特集｜マグネットだけじゃない！浮かせる収納アイデア15選</t>
        </is>
      </c>
      <c r="K45" s="4" t="inlineStr">
        <is>
          <t>品牌官方</t>
        </is>
      </c>
      <c r="L45" s="5" t="inlineStr">
        <is>
          <t>https://www.nitori-net.jp/ec/feature/kurashi/organize-2240001/</t>
        </is>
      </c>
      <c r="M45" s="4" t="inlineStr"/>
      <c r="N45" s="4" t="inlineStr">
        <is>
          <t>2026-10-26</t>
        </is>
      </c>
      <c r="O45" s="4" t="inlineStr">
        <is>
          <t>ja</t>
        </is>
      </c>
      <c r="P45" s="4" t="inlineStr">
        <is>
          <t>high</t>
        </is>
      </c>
    </row>
    <row r="46">
      <c r="A46" s="4" t="inlineStr">
        <is>
          <t>TB-045</t>
        </is>
      </c>
      <c r="B46" s="4" t="inlineStr">
        <is>
          <t>洗手台下</t>
        </is>
      </c>
      <c r="C46" s="4" t="inlineStr">
        <is>
          <t>標籤/分區</t>
        </is>
      </c>
      <c r="D46" s="4" t="inlineStr">
        <is>
          <t>洗手台下用盒子依物品分類並貼標</t>
        </is>
      </c>
      <c r="E46" s="4" t="inlineStr">
        <is>
          <t>洗手台下先準備收納盒依物品類別分裝，再貼上寫明內容的標籤，收納位置自然變成家人共同遵守的規則；分類後空間會不夠，再用可伸縮層架加一層。</t>
        </is>
      </c>
      <c r="F46" s="4" t="inlineStr">
        <is>
          <t>分類裝盒並貼標籤；用層架增加層數</t>
        </is>
      </c>
      <c r="G46" s="4" t="inlineStr">
        <is>
          <t>クラネ</t>
        </is>
      </c>
      <c r="H46" s="4" t="inlineStr">
        <is>
          <t>伸縮層架</t>
        </is>
      </c>
      <c r="I46" s="4" t="inlineStr">
        <is>
          <t>NITORI</t>
        </is>
      </c>
      <c r="J46" s="4" t="inlineStr">
        <is>
          <t>ニトリネット くらし特集｜【水回り下の収納】洗面台下の収納</t>
        </is>
      </c>
      <c r="K46" s="4" t="inlineStr">
        <is>
          <t>品牌官方</t>
        </is>
      </c>
      <c r="L46" s="5" t="inlineStr">
        <is>
          <t>https://www.nitori-net.jp/ec/feature/kurashi/organize-2207001/</t>
        </is>
      </c>
      <c r="M46" s="4" t="inlineStr"/>
      <c r="N46" s="4" t="inlineStr">
        <is>
          <t>2026-10-26</t>
        </is>
      </c>
      <c r="O46" s="4" t="inlineStr">
        <is>
          <t>ja</t>
        </is>
      </c>
      <c r="P46" s="4" t="inlineStr">
        <is>
          <t>high</t>
        </is>
      </c>
    </row>
    <row r="47">
      <c r="A47" s="4" t="inlineStr">
        <is>
          <t>TB-046</t>
        </is>
      </c>
      <c r="B47" s="4" t="inlineStr">
        <is>
          <t>浴室</t>
        </is>
      </c>
      <c r="C47" s="4" t="inlineStr">
        <is>
          <t>伸縮層架/窄</t>
        </is>
      </c>
      <c r="D47" s="4" t="inlineStr">
        <is>
          <t>窄浴室或玄關用淺型伸縮收納架</t>
        </is>
      </c>
      <c r="E47" s="4" t="inlineStr">
        <is>
          <t>伸縮收納架利用頂天立地固定，比一般層架省地；深度僅約15cm的淺型款可裝在玄關或浴室等狹窄處，充分利用家中多出來的空間；標準款還可加裝能吸磁的面板，搭配磁吸收納利用側面。</t>
        </is>
      </c>
      <c r="F47" s="4" t="inlineStr"/>
      <c r="G47" s="4" t="inlineStr">
        <is>
          <t>Nポルダ</t>
        </is>
      </c>
      <c r="H47" s="4" t="inlineStr">
        <is>
          <t>伸縮層架</t>
        </is>
      </c>
      <c r="I47" s="4" t="inlineStr">
        <is>
          <t>NITORI</t>
        </is>
      </c>
      <c r="J47" s="4" t="inlineStr">
        <is>
          <t>ニトリネット くらし特集｜【完全攻略】ニトリの突っ張り収納「Nポルダ」の選び方</t>
        </is>
      </c>
      <c r="K47" s="4" t="inlineStr">
        <is>
          <t>品牌官方</t>
        </is>
      </c>
      <c r="L47" s="5" t="inlineStr">
        <is>
          <t>https://www.nitori-net.jp/ec/feature/kurashi/organize-2222001/</t>
        </is>
      </c>
      <c r="M47" s="4" t="inlineStr"/>
      <c r="N47" s="4" t="inlineStr">
        <is>
          <t>2026-10-26</t>
        </is>
      </c>
      <c r="O47" s="4" t="inlineStr">
        <is>
          <t>ja</t>
        </is>
      </c>
      <c r="P47" s="4" t="inlineStr">
        <is>
          <t>high</t>
        </is>
      </c>
    </row>
    <row r="48">
      <c r="A48" s="4" t="inlineStr">
        <is>
          <t>TB-047</t>
        </is>
      </c>
      <c r="B48" s="4" t="inlineStr">
        <is>
          <t>水槽下</t>
        </is>
      </c>
      <c r="C48" s="4" t="inlineStr">
        <is>
          <t>小型置物架/盒子</t>
        </is>
      </c>
      <c r="D48" s="4" t="inlineStr">
        <is>
          <t>水槽下架子配半尺寸檔案盒分類</t>
        </is>
      </c>
      <c r="E48" s="4" t="inlineStr">
        <is>
          <t>水槽下放不鏽鋼水槽下收納架，在架上放半尺寸檔案盒，可把大小不一的保鮮盒、保鮮膜替換品等依種類分開；較高的架子能把高的物品立放，放入檔案盒可遮住內容讓外觀清爽。</t>
        </is>
      </c>
      <c r="F48" s="4" t="inlineStr"/>
      <c r="G48" s="4" t="inlineStr">
        <is>
          <t>ファイルボックス</t>
        </is>
      </c>
      <c r="H48" s="4" t="inlineStr">
        <is>
          <t>小型置物架</t>
        </is>
      </c>
      <c r="I48" s="4" t="inlineStr">
        <is>
          <t>MUJI</t>
        </is>
      </c>
      <c r="J48" s="4" t="inlineStr">
        <is>
          <t>無印良品 ヨークベニマル小牛田 スタッフのおすすめ｜空間の有効活用。ステンレスシンク下収納ラック</t>
        </is>
      </c>
      <c r="K48" s="4" t="inlineStr">
        <is>
          <t>品牌官方</t>
        </is>
      </c>
      <c r="L48" s="5" t="inlineStr">
        <is>
          <t>https://www.muji.com/jp/ja/shop/046868/articles/muji-staff/1247316</t>
        </is>
      </c>
      <c r="M48" s="4" t="inlineStr">
        <is>
          <t>2023-08-17</t>
        </is>
      </c>
      <c r="N48" s="4" t="inlineStr">
        <is>
          <t>2026-10-26</t>
        </is>
      </c>
      <c r="O48" s="4" t="inlineStr">
        <is>
          <t>ja</t>
        </is>
      </c>
      <c r="P48" s="4" t="inlineStr">
        <is>
          <t>high</t>
        </is>
      </c>
    </row>
    <row r="49">
      <c r="A49" s="4" t="inlineStr">
        <is>
          <t>TB-048</t>
        </is>
      </c>
      <c r="B49" s="4" t="inlineStr">
        <is>
          <t>衣櫃</t>
        </is>
      </c>
      <c r="C49" s="4" t="inlineStr">
        <is>
          <t>伸縮棒/吊掛/掛勾</t>
        </is>
      </c>
      <c r="D49" s="4" t="inlineStr">
        <is>
          <t>褲子用S鉤掛在伸縮棒上</t>
        </is>
      </c>
      <c r="E49" s="4" t="inlineStr">
        <is>
          <t>把鋁製S鉤勾在褲子的腰帶環上，再掛到伸縮棒等橫桿上，就能把褲子吊起收納；一眼看得到長度與顏色，比摺好放進收納盒不易起皺、也不用擔心濕氣，適合當季常穿或暫不洗的衣物。</t>
        </is>
      </c>
      <c r="F49" s="4" t="inlineStr">
        <is>
          <t>S鉤勾住褲子腰帶環；把S鉤掛到伸縮棒上</t>
        </is>
      </c>
      <c r="G49" s="4" t="inlineStr"/>
      <c r="H49" s="4" t="inlineStr">
        <is>
          <t>伸縮棒/掛勾</t>
        </is>
      </c>
      <c r="I49" s="4" t="inlineStr">
        <is>
          <t>MUJI</t>
        </is>
      </c>
      <c r="J49" s="4" t="inlineStr">
        <is>
          <t>無印良品 泉中央セルバ スタッフのおすすめ｜ボトムスの収納アイディア</t>
        </is>
      </c>
      <c r="K49" s="4" t="inlineStr">
        <is>
          <t>品牌官方</t>
        </is>
      </c>
      <c r="L49" s="5" t="inlineStr">
        <is>
          <t>https://www.muji.com/jp/ja/shop/045517/articles/muji-staff/561821</t>
        </is>
      </c>
      <c r="M49" s="4" t="inlineStr">
        <is>
          <t>2020-08-21</t>
        </is>
      </c>
      <c r="N49" s="4" t="inlineStr">
        <is>
          <t>2026-10-26</t>
        </is>
      </c>
      <c r="O49" s="4" t="inlineStr">
        <is>
          <t>ja</t>
        </is>
      </c>
      <c r="P49" s="4" t="inlineStr">
        <is>
          <t>high</t>
        </is>
      </c>
    </row>
    <row r="50">
      <c r="A50" s="4" t="inlineStr">
        <is>
          <t>TB-049</t>
        </is>
      </c>
      <c r="B50" s="4" t="inlineStr">
        <is>
          <t>廚房</t>
        </is>
      </c>
      <c r="C50" s="4" t="inlineStr">
        <is>
          <t>伸縮棒/吊掛</t>
        </is>
      </c>
      <c r="D50" s="4" t="inlineStr">
        <is>
          <t>伸縮棒加不鏽鋼掛夾晾抹布與手套</t>
        </is>
      </c>
      <c r="E50" s="4" t="inlineStr">
        <is>
          <t>把不鏽鋼掛夾勾在伸縮棒上，可以夾著吊掛物品；店員在廚房用它晾乾橡膠手套與抹布，也有人用來吊花材做乾燥花。</t>
        </is>
      </c>
      <c r="F50" s="4" t="inlineStr"/>
      <c r="G50" s="4" t="inlineStr"/>
      <c r="H50" s="4" t="inlineStr">
        <is>
          <t>伸縮棒/吊掛收納</t>
        </is>
      </c>
      <c r="I50" s="4" t="inlineStr">
        <is>
          <t>MUJI</t>
        </is>
      </c>
      <c r="J50" s="4" t="inlineStr">
        <is>
          <t>無印良品 イオン八事 スタッフのおすすめ＃103｜吊るしてドライフラワーに</t>
        </is>
      </c>
      <c r="K50" s="4" t="inlineStr">
        <is>
          <t>品牌官方</t>
        </is>
      </c>
      <c r="L50" s="5" t="inlineStr">
        <is>
          <t>https://www.muji.com/jp/ja/shop/045570/articles/muji-staff/523756</t>
        </is>
      </c>
      <c r="M50" s="4" t="inlineStr">
        <is>
          <t>2020-06-26</t>
        </is>
      </c>
      <c r="N50" s="4" t="inlineStr">
        <is>
          <t>2026-10-26</t>
        </is>
      </c>
      <c r="O50" s="4" t="inlineStr">
        <is>
          <t>ja</t>
        </is>
      </c>
      <c r="P50" s="4" t="inlineStr">
        <is>
          <t>high</t>
        </is>
      </c>
    </row>
    <row r="51">
      <c r="A51" s="4" t="inlineStr">
        <is>
          <t>TB-050</t>
        </is>
      </c>
      <c r="B51" s="4" t="inlineStr">
        <is>
          <t>浴室</t>
        </is>
      </c>
      <c r="C51" s="4" t="inlineStr">
        <is>
          <t>吊掛</t>
        </is>
      </c>
      <c r="D51" s="4" t="inlineStr">
        <is>
          <t>浴室把洗面乳夾起倒吊</t>
        </is>
      </c>
      <c r="E51" s="4" t="inlineStr">
        <is>
          <t>不鏽鋼掛夾不易生鏽，適合浴室與廚房；夾住卸妝或洗面乳用完直接吊起，容易乾、可減少發黴，也可吊髮帶或夾便條。</t>
        </is>
      </c>
      <c r="F51" s="4" t="inlineStr"/>
      <c r="G51" s="4" t="inlineStr"/>
      <c r="H51" s="4" t="inlineStr">
        <is>
          <t>吊掛收納</t>
        </is>
      </c>
      <c r="I51" s="4" t="inlineStr">
        <is>
          <t>MUJI</t>
        </is>
      </c>
      <c r="J51" s="4" t="inlineStr">
        <is>
          <t>無印良品 MUJIcomエスカ スタッフのおすすめ｜あると便利なワイヤークリップ</t>
        </is>
      </c>
      <c r="K51" s="4" t="inlineStr">
        <is>
          <t>品牌官方</t>
        </is>
      </c>
      <c r="L51" s="5" t="inlineStr">
        <is>
          <t>https://www.muji.com/jp/ja/shop/045769/articles/muji-staff/459516</t>
        </is>
      </c>
      <c r="M51" s="4" t="inlineStr">
        <is>
          <t>2020-02-22</t>
        </is>
      </c>
      <c r="N51" s="4" t="inlineStr">
        <is>
          <t>2026-10-26</t>
        </is>
      </c>
      <c r="O51" s="4" t="inlineStr">
        <is>
          <t>ja</t>
        </is>
      </c>
      <c r="P51" s="4" t="inlineStr">
        <is>
          <t>high</t>
        </is>
      </c>
    </row>
    <row r="52">
      <c r="A52" s="4" t="inlineStr">
        <is>
          <t>TB-051</t>
        </is>
      </c>
      <c r="B52" s="4" t="inlineStr">
        <is>
          <t>抽屜</t>
        </is>
      </c>
      <c r="C52" s="4" t="inlineStr">
        <is>
          <t>分區/盒子</t>
        </is>
      </c>
      <c r="D52" s="4" t="inlineStr">
        <is>
          <t>餐具抽屜用小整理盒分類並可整盒端上桌</t>
        </is>
      </c>
      <c r="E52" s="4" t="inlineStr">
        <is>
          <t>在抽屜裡用不同尺寸的PP整理盒，把精選後的餐具依種類分開，一眼就知道位置；整理盒可直接整盒拿到餐桌，也能收廚房常用的文具、體溫計等，髒了可整個水洗。</t>
        </is>
      </c>
      <c r="F52" s="4" t="inlineStr"/>
      <c r="G52" s="4" t="inlineStr">
        <is>
          <t>PP整理ボックス</t>
        </is>
      </c>
      <c r="H52" s="4" t="inlineStr">
        <is>
          <t>抽屜隔板</t>
        </is>
      </c>
      <c r="I52" s="4" t="inlineStr">
        <is>
          <t>MUJI</t>
        </is>
      </c>
      <c r="J52" s="4" t="inlineStr">
        <is>
          <t>無印良品 イオン八事 スタッフの愛用品#9｜私の愛用品 ポリプロピレン整理ボックス</t>
        </is>
      </c>
      <c r="K52" s="4" t="inlineStr">
        <is>
          <t>品牌官方</t>
        </is>
      </c>
      <c r="L52" s="5" t="inlineStr">
        <is>
          <t>https://www.muji.com/jp/ja/shop/045570/articles/muji-staff/573416</t>
        </is>
      </c>
      <c r="M52" s="4" t="inlineStr">
        <is>
          <t>2020-09-05</t>
        </is>
      </c>
      <c r="N52" s="4" t="inlineStr">
        <is>
          <t>2026-10-26</t>
        </is>
      </c>
      <c r="O52" s="4" t="inlineStr">
        <is>
          <t>ja</t>
        </is>
      </c>
      <c r="P52" s="4" t="inlineStr">
        <is>
          <t>high</t>
        </is>
      </c>
    </row>
    <row r="53">
      <c r="A53" s="4" t="inlineStr">
        <is>
          <t>TB-052</t>
        </is>
      </c>
      <c r="B53" s="4" t="inlineStr">
        <is>
          <t>冰箱</t>
        </is>
      </c>
      <c r="C53" s="4" t="inlineStr">
        <is>
          <t>分區/盒子</t>
        </is>
      </c>
      <c r="D53" s="4" t="inlineStr">
        <is>
          <t>冰箱用小盒做「早餐組」「味噌組」</t>
        </is>
      </c>
      <c r="E53" s="4" t="inlineStr">
        <is>
          <t>在冰箱裡用PP整理盒依用途做成「早餐組」「味噌組」等套組集中收納，要用時整盒拿出；較深的化妝盒半尺寸則適合放烘焙材料。</t>
        </is>
      </c>
      <c r="F53" s="4" t="inlineStr"/>
      <c r="G53" s="4" t="inlineStr">
        <is>
          <t>PP整理ボックス</t>
        </is>
      </c>
      <c r="H53" s="4" t="inlineStr"/>
      <c r="I53" s="4" t="inlineStr">
        <is>
          <t>MUJI</t>
        </is>
      </c>
      <c r="J53" s="4" t="inlineStr">
        <is>
          <t>無印良品 イオン八事 スタッフの愛用品#9｜私の愛用品 ポリプロピレン整理ボックス</t>
        </is>
      </c>
      <c r="K53" s="4" t="inlineStr">
        <is>
          <t>品牌官方</t>
        </is>
      </c>
      <c r="L53" s="5" t="inlineStr">
        <is>
          <t>https://www.muji.com/jp/ja/shop/045570/articles/muji-staff/573416</t>
        </is>
      </c>
      <c r="M53" s="4" t="inlineStr">
        <is>
          <t>2020-09-05</t>
        </is>
      </c>
      <c r="N53" s="4" t="inlineStr">
        <is>
          <t>2026-10-26</t>
        </is>
      </c>
      <c r="O53" s="4" t="inlineStr">
        <is>
          <t>ja</t>
        </is>
      </c>
      <c r="P53" s="4" t="inlineStr">
        <is>
          <t>high</t>
        </is>
      </c>
    </row>
    <row r="54">
      <c r="A54" s="4" t="inlineStr">
        <is>
          <t>TB-053</t>
        </is>
      </c>
      <c r="B54" s="4" t="inlineStr">
        <is>
          <t>廚房</t>
        </is>
      </c>
      <c r="C54" s="4" t="inlineStr">
        <is>
          <t>直立收納</t>
        </is>
      </c>
      <c r="D54" s="4" t="inlineStr">
        <is>
          <t>平底鍋與鍋蓋放檔案盒立起來</t>
        </is>
      </c>
      <c r="E54" s="4" t="inlineStr">
        <is>
          <t>尺寸大、不好收的平底鍋與鍋蓋，可放進檔案盒立著收，在層架或抽屜裡都能提高空間利用率；檔案盒有寬10cm、15cm及半高等尺寸可依鍋具選擇。</t>
        </is>
      </c>
      <c r="F54" s="4" t="inlineStr"/>
      <c r="G54" s="4" t="inlineStr">
        <is>
          <t>ファイルボックス</t>
        </is>
      </c>
      <c r="H54" s="4" t="inlineStr"/>
      <c r="I54" s="4" t="inlineStr">
        <is>
          <t>MUJI</t>
        </is>
      </c>
      <c r="J54" s="4" t="inlineStr">
        <is>
          <t>無印良品 特集｜無印良品の収納用品・部屋ごとの収納</t>
        </is>
      </c>
      <c r="K54" s="4" t="inlineStr">
        <is>
          <t>品牌官方</t>
        </is>
      </c>
      <c r="L54" s="5" t="inlineStr">
        <is>
          <t>https://www.muji.com/jp/ja/special-feature/furniture/storage-supplies/</t>
        </is>
      </c>
      <c r="M54" s="4" t="inlineStr"/>
      <c r="N54" s="4" t="inlineStr">
        <is>
          <t>2026-10-26</t>
        </is>
      </c>
      <c r="O54" s="4" t="inlineStr">
        <is>
          <t>ja</t>
        </is>
      </c>
      <c r="P54" s="4" t="inlineStr">
        <is>
          <t>high</t>
        </is>
      </c>
    </row>
    <row r="55">
      <c r="A55" s="4" t="inlineStr">
        <is>
          <t>TB-054</t>
        </is>
      </c>
      <c r="B55" s="4" t="inlineStr">
        <is>
          <t>水槽下</t>
        </is>
      </c>
      <c r="C55" s="4" t="inlineStr">
        <is>
          <t>高度利用/盒子</t>
        </is>
      </c>
      <c r="D55" s="4" t="inlineStr">
        <is>
          <t>水槽下用可堆疊的收納架用到頂</t>
        </is>
      </c>
      <c r="E55" s="4" t="inlineStr">
        <is>
          <t>水槽下高度高，容易浪費上方空間；用可以往上疊的收納架與收納盒，一路疊到接近頂部的高度。（原文提醒：不要放剛離火的熱鍋）</t>
        </is>
      </c>
      <c r="F55" s="4" t="inlineStr"/>
      <c r="G55" s="4" t="inlineStr">
        <is>
          <t>PP収納ラック</t>
        </is>
      </c>
      <c r="H55" s="4" t="inlineStr">
        <is>
          <t>小型置物架</t>
        </is>
      </c>
      <c r="I55" s="4" t="inlineStr">
        <is>
          <t>MUJI</t>
        </is>
      </c>
      <c r="J55" s="4" t="inlineStr">
        <is>
          <t>無印良品 特集｜無印良品の収納用品・部屋ごとの収納</t>
        </is>
      </c>
      <c r="K55" s="4" t="inlineStr">
        <is>
          <t>品牌官方</t>
        </is>
      </c>
      <c r="L55" s="5" t="inlineStr">
        <is>
          <t>https://www.muji.com/jp/ja/special-feature/furniture/storage-supplies/</t>
        </is>
      </c>
      <c r="M55" s="4" t="inlineStr"/>
      <c r="N55" s="4" t="inlineStr">
        <is>
          <t>2026-10-26</t>
        </is>
      </c>
      <c r="O55" s="4" t="inlineStr">
        <is>
          <t>ja</t>
        </is>
      </c>
      <c r="P55" s="4" t="inlineStr">
        <is>
          <t>high</t>
        </is>
      </c>
    </row>
    <row r="56">
      <c r="A56" s="4" t="inlineStr">
        <is>
          <t>TB-055</t>
        </is>
      </c>
      <c r="B56" s="4" t="inlineStr">
        <is>
          <t>浴室</t>
        </is>
      </c>
      <c r="C56" s="4" t="inlineStr">
        <is>
          <t>吊掛/薄型</t>
        </is>
      </c>
      <c r="D56" s="4" t="inlineStr">
        <is>
          <t>洗手台邊用可吊掛的薄型收納盒</t>
        </is>
      </c>
      <c r="E56" s="4" t="inlineStr">
        <is>
          <t>可吊掛的薄型收納盒很窄，用掛勾掛著也能用；材質不怕水與冷氣，適合收定不了位置的消耗品，以及吹風機、離子夾等較長的工具。</t>
        </is>
      </c>
      <c r="F56" s="4" t="inlineStr"/>
      <c r="G56" s="4" t="inlineStr">
        <is>
          <t>薄型収納ケース</t>
        </is>
      </c>
      <c r="H56" s="4" t="inlineStr">
        <is>
          <t>掛勾/吊掛收納</t>
        </is>
      </c>
      <c r="I56" s="4" t="inlineStr">
        <is>
          <t>MUJI</t>
        </is>
      </c>
      <c r="J56" s="4" t="inlineStr">
        <is>
          <t>無印良品 特集｜無印良品の収納用品・部屋ごとの収納</t>
        </is>
      </c>
      <c r="K56" s="4" t="inlineStr">
        <is>
          <t>品牌官方</t>
        </is>
      </c>
      <c r="L56" s="5" t="inlineStr">
        <is>
          <t>https://www.muji.com/jp/ja/special-feature/furniture/storage-supplies/</t>
        </is>
      </c>
      <c r="M56" s="4" t="inlineStr"/>
      <c r="N56" s="4" t="inlineStr">
        <is>
          <t>2026-10-26</t>
        </is>
      </c>
      <c r="O56" s="4" t="inlineStr">
        <is>
          <t>ja</t>
        </is>
      </c>
      <c r="P56" s="4" t="inlineStr">
        <is>
          <t>high</t>
        </is>
      </c>
    </row>
    <row r="57">
      <c r="A57" s="4" t="inlineStr">
        <is>
          <t>TB-056</t>
        </is>
      </c>
      <c r="B57" s="4" t="inlineStr">
        <is>
          <t>浴室</t>
        </is>
      </c>
      <c r="C57" s="4" t="inlineStr">
        <is>
          <t>盒子/壁面</t>
        </is>
      </c>
      <c r="D57" s="4" t="inlineStr">
        <is>
          <t>洗衣用品用不透明盒收並搭配壁掛鉤</t>
        </is>
      </c>
      <c r="E57" s="4" t="inlineStr">
        <is>
          <t>洗衣精、柔軟精、漂白劑等瓶罐容易雜亂，用灰白色的軟質聚乙烯收納盒裝起來，可遮住商品標籤顯得清爽；旁邊可加磁吸式不鏽鋼壁掛鉤吊掛小物。</t>
        </is>
      </c>
      <c r="F57" s="4" t="inlineStr"/>
      <c r="G57" s="4" t="inlineStr">
        <is>
          <t>やわらかポリエチレンケース</t>
        </is>
      </c>
      <c r="H57" s="4" t="inlineStr">
        <is>
          <t>掛勾</t>
        </is>
      </c>
      <c r="I57" s="4" t="inlineStr">
        <is>
          <t>MUJI</t>
        </is>
      </c>
      <c r="J57" s="4" t="inlineStr">
        <is>
          <t>無印良品 特集｜無印良品の収納用品・部屋ごとの収納</t>
        </is>
      </c>
      <c r="K57" s="4" t="inlineStr">
        <is>
          <t>品牌官方</t>
        </is>
      </c>
      <c r="L57" s="5" t="inlineStr">
        <is>
          <t>https://www.muji.com/jp/ja/special-feature/furniture/storage-supplies/</t>
        </is>
      </c>
      <c r="M57" s="4" t="inlineStr"/>
      <c r="N57" s="4" t="inlineStr">
        <is>
          <t>2026-10-26</t>
        </is>
      </c>
      <c r="O57" s="4" t="inlineStr">
        <is>
          <t>ja</t>
        </is>
      </c>
      <c r="P57" s="4" t="inlineStr">
        <is>
          <t>high</t>
        </is>
      </c>
    </row>
    <row r="58">
      <c r="A58" s="4" t="inlineStr">
        <is>
          <t>TB-057</t>
        </is>
      </c>
      <c r="B58" s="4" t="inlineStr">
        <is>
          <t>通用</t>
        </is>
      </c>
      <c r="C58" s="4" t="inlineStr">
        <is>
          <t>分區</t>
        </is>
      </c>
      <c r="D58" s="4" t="inlineStr">
        <is>
          <t>收納位置依「在哪裡用、做什麼用」決定</t>
        </is>
      </c>
      <c r="E58" s="4" t="inlineStr">
        <is>
          <t>收納的基本是依使用目的、使用地點與頻率決定位置：同用途的物品放一起、放在使用地點附近、常用的放最好拿處。站直時視線到指尖之間是最好取放的「黃金區」，日常碗盤優先放這裡。</t>
        </is>
      </c>
      <c r="F58" s="4" t="inlineStr"/>
      <c r="G58" s="4" t="inlineStr"/>
      <c r="H58" s="4" t="inlineStr"/>
      <c r="I58" s="4" t="inlineStr">
        <is>
          <t>MUJI</t>
        </is>
      </c>
      <c r="J58" s="4" t="inlineStr">
        <is>
          <t>無印良品の家 住まいのコラム｜無印良品のインテリアアドバイザーに聞く「使いやすいキッチン収納」</t>
        </is>
      </c>
      <c r="K58" s="4" t="inlineStr">
        <is>
          <t>品牌官方</t>
        </is>
      </c>
      <c r="L58" s="5" t="inlineStr">
        <is>
          <t>https://house.muji.com/life/clmn/tebiki/tebiki_250731/</t>
        </is>
      </c>
      <c r="M58" s="4" t="inlineStr">
        <is>
          <t>2025-07-31</t>
        </is>
      </c>
      <c r="N58" s="4" t="inlineStr">
        <is>
          <t>2026-10-26</t>
        </is>
      </c>
      <c r="O58" s="4" t="inlineStr">
        <is>
          <t>ja</t>
        </is>
      </c>
      <c r="P58" s="4" t="inlineStr">
        <is>
          <t>high</t>
        </is>
      </c>
    </row>
    <row r="59">
      <c r="A59" s="4" t="inlineStr">
        <is>
          <t>TB-058</t>
        </is>
      </c>
      <c r="B59" s="4" t="inlineStr">
        <is>
          <t>廚房</t>
        </is>
      </c>
      <c r="C59" s="4" t="inlineStr">
        <is>
          <t>分區</t>
        </is>
      </c>
      <c r="D59" s="4" t="inlineStr">
        <is>
          <t>消耗品分「使用中」與「庫存」兩區</t>
        </is>
      </c>
      <c r="E59" s="4" t="inlineStr">
        <is>
          <t>保鮮膜、鋁箔等先分成已開封使用中與未開封庫存；使用中且常用的放黃金區，少用的消耗品與庫存集中起來，較輕的可放高處。常溫食材則已開封放手邊，未開封放視線以下。</t>
        </is>
      </c>
      <c r="F59" s="4" t="inlineStr"/>
      <c r="G59" s="4" t="inlineStr"/>
      <c r="H59" s="4" t="inlineStr"/>
      <c r="I59" s="4" t="inlineStr">
        <is>
          <t>MUJI</t>
        </is>
      </c>
      <c r="J59" s="4" t="inlineStr">
        <is>
          <t>無印良品の家 住まいのコラム｜無印良品のインテリアアドバイザーに聞く「使いやすいキッチン収納」</t>
        </is>
      </c>
      <c r="K59" s="4" t="inlineStr">
        <is>
          <t>品牌官方</t>
        </is>
      </c>
      <c r="L59" s="5" t="inlineStr">
        <is>
          <t>https://house.muji.com/life/clmn/tebiki/tebiki_250731/</t>
        </is>
      </c>
      <c r="M59" s="4" t="inlineStr">
        <is>
          <t>2025-07-31</t>
        </is>
      </c>
      <c r="N59" s="4" t="inlineStr">
        <is>
          <t>2026-10-26</t>
        </is>
      </c>
      <c r="O59" s="4" t="inlineStr">
        <is>
          <t>ja</t>
        </is>
      </c>
      <c r="P59" s="4" t="inlineStr">
        <is>
          <t>high</t>
        </is>
      </c>
    </row>
    <row r="60">
      <c r="A60" s="4" t="inlineStr">
        <is>
          <t>TB-059</t>
        </is>
      </c>
      <c r="B60" s="4" t="inlineStr">
        <is>
          <t>水槽下</t>
        </is>
      </c>
      <c r="C60" s="4" t="inlineStr">
        <is>
          <t>分區/防潮</t>
        </is>
      </c>
      <c r="D60" s="4" t="inlineStr">
        <is>
          <t>水槽下不放蔬菜，改放清潔用品</t>
        </is>
      </c>
      <c r="E60" s="4" t="inlineStr">
        <is>
          <t>水槽下濕氣重，不建議放蔬菜；不得已時要裝進可密封的容器。水槽下適合放清潔用品；鍋子與平底鍋則放在使用位置附近的爐台下。</t>
        </is>
      </c>
      <c r="F60" s="4" t="inlineStr"/>
      <c r="G60" s="4" t="inlineStr"/>
      <c r="H60" s="4" t="inlineStr"/>
      <c r="I60" s="4" t="inlineStr">
        <is>
          <t>MUJI</t>
        </is>
      </c>
      <c r="J60" s="4" t="inlineStr">
        <is>
          <t>無印良品の家 住まいのコラム｜無印良品のインテリアアドバイザーに聞く「使いやすいキッチン収納」</t>
        </is>
      </c>
      <c r="K60" s="4" t="inlineStr">
        <is>
          <t>品牌官方</t>
        </is>
      </c>
      <c r="L60" s="5" t="inlineStr">
        <is>
          <t>https://house.muji.com/life/clmn/tebiki/tebiki_250731/</t>
        </is>
      </c>
      <c r="M60" s="4" t="inlineStr">
        <is>
          <t>2025-07-31</t>
        </is>
      </c>
      <c r="N60" s="4" t="inlineStr">
        <is>
          <t>2026-10-26</t>
        </is>
      </c>
      <c r="O60" s="4" t="inlineStr">
        <is>
          <t>ja</t>
        </is>
      </c>
      <c r="P60" s="4" t="inlineStr">
        <is>
          <t>high</t>
        </is>
      </c>
    </row>
    <row r="61">
      <c r="A61" s="4" t="inlineStr">
        <is>
          <t>TB-060</t>
        </is>
      </c>
      <c r="B61" s="4" t="inlineStr">
        <is>
          <t>洗手台下</t>
        </is>
      </c>
      <c r="C61" s="4" t="inlineStr">
        <is>
          <t>精簡/避開管線</t>
        </is>
      </c>
      <c r="D61" s="4" t="inlineStr">
        <is>
          <t>洗手台下把盒裝品換成袋裝縮小體積</t>
        </is>
      </c>
      <c r="E61" s="4" t="inlineStr">
        <is>
          <t>原本有外盒的物品（例如OK繃）改裝進袋子，可以不必連同盒子的空間一起收；這個「縮小體積」的做法特別適合有管線凹凸的洗手台下。</t>
        </is>
      </c>
      <c r="F61" s="4" t="inlineStr"/>
      <c r="G61" s="4" t="inlineStr"/>
      <c r="H61" s="4" t="inlineStr"/>
      <c r="I61" s="4" t="inlineStr">
        <is>
          <t>MUJI</t>
        </is>
      </c>
      <c r="J61" s="4" t="inlineStr">
        <is>
          <t>無印良品の家 住まいのコラム｜無印良品のインテリアアドバイザーに聞く「デッドスペースの使い方」</t>
        </is>
      </c>
      <c r="K61" s="4" t="inlineStr">
        <is>
          <t>品牌官方</t>
        </is>
      </c>
      <c r="L61" s="5" t="inlineStr">
        <is>
          <t>https://house.muji.com/life/clmn/tebiki/tebiki_250828/</t>
        </is>
      </c>
      <c r="M61" s="4" t="inlineStr">
        <is>
          <t>2025-08-28</t>
        </is>
      </c>
      <c r="N61" s="4" t="inlineStr">
        <is>
          <t>2026-10-26</t>
        </is>
      </c>
      <c r="O61" s="4" t="inlineStr">
        <is>
          <t>ja</t>
        </is>
      </c>
      <c r="P61" s="4" t="inlineStr">
        <is>
          <t>high</t>
        </is>
      </c>
    </row>
    <row r="62">
      <c r="A62" s="4" t="inlineStr">
        <is>
          <t>TB-061</t>
        </is>
      </c>
      <c r="B62" s="4" t="inlineStr">
        <is>
          <t>廚房</t>
        </is>
      </c>
      <c r="C62" s="4" t="inlineStr">
        <is>
          <t>吊掛/掛勾</t>
        </is>
      </c>
      <c r="D62" s="4" t="inlineStr">
        <is>
          <t>廚房牆上橫桿掛S鉤吊湯勺</t>
        </is>
      </c>
      <c r="E62" s="4" t="inlineStr">
        <is>
          <t>在廚房牆面裝一支橫桿，掛上鋁製S鉤，就能把湯勺、鍋鏟等調理器具吊起收納；直接「掛起來」也不必煩惱收納盒尺寸合不合。</t>
        </is>
      </c>
      <c r="F62" s="4" t="inlineStr"/>
      <c r="G62" s="4" t="inlineStr"/>
      <c r="H62" s="4" t="inlineStr">
        <is>
          <t>掛勾/吊掛收納</t>
        </is>
      </c>
      <c r="I62" s="4" t="inlineStr">
        <is>
          <t>MUJI</t>
        </is>
      </c>
      <c r="J62" s="4" t="inlineStr">
        <is>
          <t>無印良品の家 住まいのコラム｜無印良品のインテリアアドバイザーに聞く「デッドスペースの使い方」</t>
        </is>
      </c>
      <c r="K62" s="4" t="inlineStr">
        <is>
          <t>品牌官方</t>
        </is>
      </c>
      <c r="L62" s="5" t="inlineStr">
        <is>
          <t>https://house.muji.com/life/clmn/tebiki/tebiki_250828/</t>
        </is>
      </c>
      <c r="M62" s="4" t="inlineStr">
        <is>
          <t>2025-08-28</t>
        </is>
      </c>
      <c r="N62" s="4" t="inlineStr">
        <is>
          <t>2026-10-26</t>
        </is>
      </c>
      <c r="O62" s="4" t="inlineStr">
        <is>
          <t>ja</t>
        </is>
      </c>
      <c r="P62" s="4" t="inlineStr">
        <is>
          <t>high</t>
        </is>
      </c>
    </row>
    <row r="63">
      <c r="A63" s="4" t="inlineStr">
        <is>
          <t>TB-062</t>
        </is>
      </c>
      <c r="B63" s="4" t="inlineStr">
        <is>
          <t>通用</t>
        </is>
      </c>
      <c r="C63" s="4" t="inlineStr">
        <is>
          <t>直立收納/縫隙</t>
        </is>
      </c>
      <c r="D63" s="4" t="inlineStr">
        <is>
          <t>細縫用來立放長條物</t>
        </is>
      </c>
      <c r="E63" s="4" t="inlineStr">
        <is>
          <t>衣櫃門邊等細窄的死角，適合立放細長物品，例如雨傘、掃把、地板拖把等清潔用具，或彼此重疊也好拿的東西。</t>
        </is>
      </c>
      <c r="F63" s="4" t="inlineStr"/>
      <c r="G63" s="4" t="inlineStr"/>
      <c r="H63" s="4" t="inlineStr"/>
      <c r="I63" s="4" t="inlineStr">
        <is>
          <t>MUJI</t>
        </is>
      </c>
      <c r="J63" s="4" t="inlineStr">
        <is>
          <t>無印良品の家 住まいのコラム｜無印良品のインテリアアドバイザーに聞く「デッドスペースの使い方」</t>
        </is>
      </c>
      <c r="K63" s="4" t="inlineStr">
        <is>
          <t>品牌官方</t>
        </is>
      </c>
      <c r="L63" s="5" t="inlineStr">
        <is>
          <t>https://house.muji.com/life/clmn/tebiki/tebiki_250828/</t>
        </is>
      </c>
      <c r="M63" s="4" t="inlineStr">
        <is>
          <t>2025-08-28</t>
        </is>
      </c>
      <c r="N63" s="4" t="inlineStr">
        <is>
          <t>2026-10-26</t>
        </is>
      </c>
      <c r="O63" s="4" t="inlineStr">
        <is>
          <t>ja</t>
        </is>
      </c>
      <c r="P63" s="4" t="inlineStr">
        <is>
          <t>high</t>
        </is>
      </c>
    </row>
    <row r="64">
      <c r="A64" s="4" t="inlineStr">
        <is>
          <t>TB-063</t>
        </is>
      </c>
      <c r="B64" s="4" t="inlineStr">
        <is>
          <t>冰箱</t>
        </is>
      </c>
      <c r="C64" s="4" t="inlineStr">
        <is>
          <t>精簡</t>
        </is>
      </c>
      <c r="D64" s="4" t="inlineStr">
        <is>
          <t>食材放進冰箱前先拆外包裝</t>
        </is>
      </c>
      <c r="E64" s="4" t="inlineStr">
        <is>
          <t>買回的食材在放進冰箱前，先拆掉外層包裝（如優格的套裝膜、起司外盒），只把內容物集中到容器裡，形狀整齊更好拿；有期限的就寫在容器或貼標，防乾燥用的包裝則不要硬拆。</t>
        </is>
      </c>
      <c r="F64" s="4" t="inlineStr"/>
      <c r="G64" s="4" t="inlineStr"/>
      <c r="H64" s="4" t="inlineStr"/>
      <c r="I64" s="4" t="inlineStr">
        <is>
          <t>MUJI</t>
        </is>
      </c>
      <c r="J64" s="4" t="inlineStr">
        <is>
          <t>無印良品の家 住まいのコラム｜無印良品のインテリアアドバイザーに聞く「冷蔵庫の整理収納術」</t>
        </is>
      </c>
      <c r="K64" s="4" t="inlineStr">
        <is>
          <t>品牌官方</t>
        </is>
      </c>
      <c r="L64" s="5" t="inlineStr">
        <is>
          <t>https://house.muji.com/life/clmn/tebiki/tebiki_260918/</t>
        </is>
      </c>
      <c r="M64" s="4" t="inlineStr">
        <is>
          <t>2026-09-18</t>
        </is>
      </c>
      <c r="N64" s="4" t="inlineStr">
        <is>
          <t>2026-10-26</t>
        </is>
      </c>
      <c r="O64" s="4" t="inlineStr">
        <is>
          <t>ja</t>
        </is>
      </c>
      <c r="P64" s="4" t="inlineStr">
        <is>
          <t>high</t>
        </is>
      </c>
    </row>
    <row r="65">
      <c r="A65" s="4" t="inlineStr">
        <is>
          <t>TB-064</t>
        </is>
      </c>
      <c r="B65" s="4" t="inlineStr">
        <is>
          <t>冰箱</t>
        </is>
      </c>
      <c r="C65" s="4" t="inlineStr">
        <is>
          <t>高度利用</t>
        </is>
      </c>
      <c r="D65" s="4" t="inlineStr">
        <is>
          <t>調整冰箱棚板高度並往上疊</t>
        </is>
      </c>
      <c r="E65" s="4" t="inlineStr">
        <is>
          <t>多數冰箱可以調棚板高度，依常買的物品與常用容器高度調整，減少上方多餘空隙；能直立的就直立，小容器可疊兩三層，用高度補足，不必占用太多橫向空間。</t>
        </is>
      </c>
      <c r="F65" s="4" t="inlineStr"/>
      <c r="G65" s="4" t="inlineStr"/>
      <c r="H65" s="4" t="inlineStr"/>
      <c r="I65" s="4" t="inlineStr">
        <is>
          <t>MUJI</t>
        </is>
      </c>
      <c r="J65" s="4" t="inlineStr">
        <is>
          <t>無印良品の家 住まいのコラム｜無印良品のインテリアアドバイザーに聞く「冷蔵庫の整理収納術」</t>
        </is>
      </c>
      <c r="K65" s="4" t="inlineStr">
        <is>
          <t>品牌官方</t>
        </is>
      </c>
      <c r="L65" s="5" t="inlineStr">
        <is>
          <t>https://house.muji.com/life/clmn/tebiki/tebiki_260918/</t>
        </is>
      </c>
      <c r="M65" s="4" t="inlineStr">
        <is>
          <t>2026-09-18</t>
        </is>
      </c>
      <c r="N65" s="4" t="inlineStr">
        <is>
          <t>2026-10-26</t>
        </is>
      </c>
      <c r="O65" s="4" t="inlineStr">
        <is>
          <t>ja</t>
        </is>
      </c>
      <c r="P65" s="4" t="inlineStr">
        <is>
          <t>high</t>
        </is>
      </c>
    </row>
    <row r="66">
      <c r="A66" s="4" t="inlineStr">
        <is>
          <t>TB-065</t>
        </is>
      </c>
      <c r="B66" s="4" t="inlineStr">
        <is>
          <t>冰箱</t>
        </is>
      </c>
      <c r="C66" s="4" t="inlineStr">
        <is>
          <t>直立收納/分區</t>
        </is>
      </c>
      <c r="D66" s="4" t="inlineStr">
        <is>
          <t>冷凍室直立並依種類分角落</t>
        </is>
      </c>
      <c r="E66" s="4" t="inlineStr">
        <is>
          <t>視線以下的冷凍室與蔬果室不易看清，改成直立收納較好拿，會倒就用隔板撐住；冷凍室再依冰品、冷凍蔬菜、冷凍食品等分出角落，一眼找到。</t>
        </is>
      </c>
      <c r="F66" s="4" t="inlineStr"/>
      <c r="G66" s="4" t="inlineStr"/>
      <c r="H66" s="4" t="inlineStr">
        <is>
          <t>抽屜隔板</t>
        </is>
      </c>
      <c r="I66" s="4" t="inlineStr">
        <is>
          <t>MUJI</t>
        </is>
      </c>
      <c r="J66" s="4" t="inlineStr">
        <is>
          <t>無印良品の家 住まいのコラム｜無印良品のインテリアアドバイザーに聞く「冷蔵庫の整理収納術」</t>
        </is>
      </c>
      <c r="K66" s="4" t="inlineStr">
        <is>
          <t>品牌官方</t>
        </is>
      </c>
      <c r="L66" s="5" t="inlineStr">
        <is>
          <t>https://house.muji.com/life/clmn/tebiki/tebiki_260918/</t>
        </is>
      </c>
      <c r="M66" s="4" t="inlineStr">
        <is>
          <t>2026-09-18</t>
        </is>
      </c>
      <c r="N66" s="4" t="inlineStr">
        <is>
          <t>2026-10-26</t>
        </is>
      </c>
      <c r="O66" s="4" t="inlineStr">
        <is>
          <t>ja</t>
        </is>
      </c>
      <c r="P66" s="4" t="inlineStr">
        <is>
          <t>high</t>
        </is>
      </c>
    </row>
    <row r="67">
      <c r="A67" s="4" t="inlineStr">
        <is>
          <t>TB-066</t>
        </is>
      </c>
      <c r="B67" s="4" t="inlineStr">
        <is>
          <t>冰箱</t>
        </is>
      </c>
      <c r="C67" s="4" t="inlineStr">
        <is>
          <t>分區</t>
        </is>
      </c>
      <c r="D67" s="4" t="inlineStr">
        <is>
          <t>冰箱門架依高度分，雙排時高的放後排</t>
        </is>
      </c>
      <c r="E67" s="4" t="inlineStr">
        <is>
          <t>門架依物品高度分配：牛奶、寶特瓶等高的放下層，小瓶調味料放上層矮的格子；雙排門架後排不易看見，不要塞太多，後排放較高的物品。</t>
        </is>
      </c>
      <c r="F67" s="4" t="inlineStr"/>
      <c r="G67" s="4" t="inlineStr"/>
      <c r="H67" s="4" t="inlineStr"/>
      <c r="I67" s="4" t="inlineStr">
        <is>
          <t>MUJI</t>
        </is>
      </c>
      <c r="J67" s="4" t="inlineStr">
        <is>
          <t>無印良品の家 住まいのコラム｜無印良品のインテリアアドバイザーに聞く「冷蔵庫の整理収納術」</t>
        </is>
      </c>
      <c r="K67" s="4" t="inlineStr">
        <is>
          <t>品牌官方</t>
        </is>
      </c>
      <c r="L67" s="5" t="inlineStr">
        <is>
          <t>https://house.muji.com/life/clmn/tebiki/tebiki_260918/</t>
        </is>
      </c>
      <c r="M67" s="4" t="inlineStr">
        <is>
          <t>2026-09-18</t>
        </is>
      </c>
      <c r="N67" s="4" t="inlineStr">
        <is>
          <t>2026-10-26</t>
        </is>
      </c>
      <c r="O67" s="4" t="inlineStr">
        <is>
          <t>ja</t>
        </is>
      </c>
      <c r="P67" s="4" t="inlineStr">
        <is>
          <t>high</t>
        </is>
      </c>
    </row>
    <row r="68">
      <c r="A68" s="4" t="inlineStr">
        <is>
          <t>TB-067</t>
        </is>
      </c>
      <c r="B68" s="4" t="inlineStr">
        <is>
          <t>冰箱</t>
        </is>
      </c>
      <c r="C68" s="4" t="inlineStr">
        <is>
          <t>先進先出/抽屜</t>
        </is>
      </c>
      <c r="D68" s="4" t="inlineStr">
        <is>
          <t>冰箱抽屜式托盤，新品放後面</t>
        </is>
      </c>
      <c r="E68" s="4" t="inlineStr">
        <is>
          <t>抽屜式的冰箱托盤可以一路看到底，舊東西不易被埋沒；新買的放到托盤後側，接近期限的自然留在前面，可預防過期。用透明容器裝也能一眼看出內容。</t>
        </is>
      </c>
      <c r="F68" s="4" t="inlineStr"/>
      <c r="G68" s="4" t="inlineStr">
        <is>
          <t>冷蔵庫内整理トレー</t>
        </is>
      </c>
      <c r="H68" s="4" t="inlineStr"/>
      <c r="I68" s="4" t="inlineStr">
        <is>
          <t>MUJI</t>
        </is>
      </c>
      <c r="J68" s="4" t="inlineStr">
        <is>
          <t>無印良品の家 住まいのコラム｜無印良品のインテリアアドバイザーに聞く「冷蔵庫の整理収納術」</t>
        </is>
      </c>
      <c r="K68" s="4" t="inlineStr">
        <is>
          <t>品牌官方</t>
        </is>
      </c>
      <c r="L68" s="5" t="inlineStr">
        <is>
          <t>https://house.muji.com/life/clmn/tebiki/tebiki_260918/</t>
        </is>
      </c>
      <c r="M68" s="4" t="inlineStr">
        <is>
          <t>2026-09-18</t>
        </is>
      </c>
      <c r="N68" s="4" t="inlineStr">
        <is>
          <t>2026-10-26</t>
        </is>
      </c>
      <c r="O68" s="4" t="inlineStr">
        <is>
          <t>ja</t>
        </is>
      </c>
      <c r="P68" s="4" t="inlineStr">
        <is>
          <t>high</t>
        </is>
      </c>
    </row>
    <row r="69">
      <c r="A69" s="4" t="inlineStr">
        <is>
          <t>TB-068</t>
        </is>
      </c>
      <c r="B69" s="4" t="inlineStr">
        <is>
          <t>洗手台下</t>
        </is>
      </c>
      <c r="C69" s="4" t="inlineStr">
        <is>
          <t>防潮</t>
        </is>
      </c>
      <c r="D69" s="4" t="inlineStr">
        <is>
          <t>洗手台下不放毛巾，改放清潔劑庫存</t>
        </is>
      </c>
      <c r="E69" s="4" t="inlineStr">
        <is>
          <t>洗手台下有管線，是洗手間最容易悶濕的地方，毛巾與內衣等布類不要放這裡，改放洗劑庫存等不怕濕氣的物品；收納用品選不易生鏽的不鏽鋼或好擦拭的PP、PE材質。</t>
        </is>
      </c>
      <c r="F69" s="4" t="inlineStr"/>
      <c r="G69" s="4" t="inlineStr"/>
      <c r="H69" s="4" t="inlineStr"/>
      <c r="I69" s="4" t="inlineStr">
        <is>
          <t>MUJI</t>
        </is>
      </c>
      <c r="J69" s="4" t="inlineStr">
        <is>
          <t>無印良品の家 住まいのコラム｜無印良品のインテリアアドバイザーに聞く、すっきり心地よい「洗面所の収納術」</t>
        </is>
      </c>
      <c r="K69" s="4" t="inlineStr">
        <is>
          <t>品牌官方</t>
        </is>
      </c>
      <c r="L69" s="5" t="inlineStr">
        <is>
          <t>https://house.muji.com/life/clmn/tebiki/tebiki_261023/</t>
        </is>
      </c>
      <c r="M69" s="4" t="inlineStr">
        <is>
          <t>2026-10-23</t>
        </is>
      </c>
      <c r="N69" s="4" t="inlineStr">
        <is>
          <t>2026-10-26</t>
        </is>
      </c>
      <c r="O69" s="4" t="inlineStr">
        <is>
          <t>ja</t>
        </is>
      </c>
      <c r="P69" s="4" t="inlineStr">
        <is>
          <t>high</t>
        </is>
      </c>
    </row>
    <row r="70">
      <c r="A70" s="4" t="inlineStr">
        <is>
          <t>TB-069</t>
        </is>
      </c>
      <c r="B70" s="4" t="inlineStr">
        <is>
          <t>浴室</t>
        </is>
      </c>
      <c r="C70" s="4" t="inlineStr">
        <is>
          <t>壁面/掛勾</t>
        </is>
      </c>
      <c r="D70" s="4" t="inlineStr">
        <is>
          <t>洗手間沒地方放家具時用牆面</t>
        </is>
      </c>
      <c r="E70" s="4" t="inlineStr">
        <is>
          <t>洗手間放不下家具時，可在牆上裝掛勾或層架增加收納；裝在洗臉時手伸得到的高度、洗衣機旁等實際使用位置附近，配合生活動線會更方便。</t>
        </is>
      </c>
      <c r="F70" s="4" t="inlineStr"/>
      <c r="G70" s="4" t="inlineStr"/>
      <c r="H70" s="4" t="inlineStr">
        <is>
          <t>掛勾</t>
        </is>
      </c>
      <c r="I70" s="4" t="inlineStr">
        <is>
          <t>MUJI</t>
        </is>
      </c>
      <c r="J70" s="4" t="inlineStr">
        <is>
          <t>無印良品の家 住まいのコラム｜無印良品のインテリアアドバイザーに聞く、すっきり心地よい「洗面所の収納術」</t>
        </is>
      </c>
      <c r="K70" s="4" t="inlineStr">
        <is>
          <t>品牌官方</t>
        </is>
      </c>
      <c r="L70" s="5" t="inlineStr">
        <is>
          <t>https://house.muji.com/life/clmn/tebiki/tebiki_261023/</t>
        </is>
      </c>
      <c r="M70" s="4" t="inlineStr">
        <is>
          <t>2026-10-23</t>
        </is>
      </c>
      <c r="N70" s="4" t="inlineStr">
        <is>
          <t>2026-10-26</t>
        </is>
      </c>
      <c r="O70" s="4" t="inlineStr">
        <is>
          <t>ja</t>
        </is>
      </c>
      <c r="P70" s="4" t="inlineStr">
        <is>
          <t>high</t>
        </is>
      </c>
    </row>
    <row r="71">
      <c r="A71" s="4" t="inlineStr">
        <is>
          <t>TB-070</t>
        </is>
      </c>
      <c r="B71" s="4" t="inlineStr">
        <is>
          <t>浴室</t>
        </is>
      </c>
      <c r="C71" s="4" t="inlineStr">
        <is>
          <t>分區</t>
        </is>
      </c>
      <c r="D71" s="4" t="inlineStr">
        <is>
          <t>洗手台收納依用途分，不依高度分</t>
        </is>
      </c>
      <c r="E71" s="4" t="inlineStr">
        <is>
          <t>洗手台收納不要只依物品高矮分層，而是依用途成組：保養、護髮、口腔清潔等大致分類即可，例如「保養品在右邊門內」這種粗略分法，同時使用的物品就不會分散在不同層。</t>
        </is>
      </c>
      <c r="F71" s="4" t="inlineStr"/>
      <c r="G71" s="4" t="inlineStr"/>
      <c r="H71" s="4" t="inlineStr"/>
      <c r="I71" s="4" t="inlineStr">
        <is>
          <t>MUJI</t>
        </is>
      </c>
      <c r="J71" s="4" t="inlineStr">
        <is>
          <t>無印良品の家 住まいのコラム｜無印良品のインテリアアドバイザーに聞く、すっきり心地よい「洗面所の収納術」</t>
        </is>
      </c>
      <c r="K71" s="4" t="inlineStr">
        <is>
          <t>品牌官方</t>
        </is>
      </c>
      <c r="L71" s="5" t="inlineStr">
        <is>
          <t>https://house.muji.com/life/clmn/tebiki/tebiki_261023/</t>
        </is>
      </c>
      <c r="M71" s="4" t="inlineStr">
        <is>
          <t>2026-10-23</t>
        </is>
      </c>
      <c r="N71" s="4" t="inlineStr">
        <is>
          <t>2026-10-26</t>
        </is>
      </c>
      <c r="O71" s="4" t="inlineStr">
        <is>
          <t>ja</t>
        </is>
      </c>
      <c r="P71" s="4" t="inlineStr">
        <is>
          <t>high</t>
        </is>
      </c>
    </row>
    <row r="72">
      <c r="A72" s="4" t="inlineStr">
        <is>
          <t>TB-071</t>
        </is>
      </c>
      <c r="B72" s="4" t="inlineStr">
        <is>
          <t>洗手台下</t>
        </is>
      </c>
      <c r="C72" s="4" t="inlineStr">
        <is>
          <t>量尺寸/滾輪</t>
        </is>
      </c>
      <c r="D72" s="4" t="inlineStr">
        <is>
          <t>開放式洗手台下先量可用尺寸</t>
        </is>
      </c>
      <c r="E72" s="4" t="inlineStr">
        <is>
          <t>開放式洗手台下有管線凸出，隨意擺放會多出死角；先量出避開管線後的左右寬、深度與高度，再依尺寸組合收納用品。想要整齊就對齊縱向線條，也可放附滾輪的台子方便移出打掃。</t>
        </is>
      </c>
      <c r="F72" s="4" t="inlineStr"/>
      <c r="G72" s="4" t="inlineStr"/>
      <c r="H72" s="4" t="inlineStr"/>
      <c r="I72" s="4" t="inlineStr">
        <is>
          <t>MUJI</t>
        </is>
      </c>
      <c r="J72" s="4" t="inlineStr">
        <is>
          <t>無印良品の家 住まいのコラム｜無印良品のインテリアアドバイザーに聞く、すっきり心地よい「洗面所の収納術」</t>
        </is>
      </c>
      <c r="K72" s="4" t="inlineStr">
        <is>
          <t>品牌官方</t>
        </is>
      </c>
      <c r="L72" s="5" t="inlineStr">
        <is>
          <t>https://house.muji.com/life/clmn/tebiki/tebiki_261023/</t>
        </is>
      </c>
      <c r="M72" s="4" t="inlineStr">
        <is>
          <t>2026-10-23</t>
        </is>
      </c>
      <c r="N72" s="4" t="inlineStr">
        <is>
          <t>2026-10-26</t>
        </is>
      </c>
      <c r="O72" s="4" t="inlineStr">
        <is>
          <t>ja</t>
        </is>
      </c>
      <c r="P72" s="4" t="inlineStr">
        <is>
          <t>high</t>
        </is>
      </c>
    </row>
    <row r="73">
      <c r="A73" s="4" t="inlineStr">
        <is>
          <t>TB-072</t>
        </is>
      </c>
      <c r="B73" s="4" t="inlineStr">
        <is>
          <t>浴室</t>
        </is>
      </c>
      <c r="C73" s="4" t="inlineStr">
        <is>
          <t>分區</t>
        </is>
      </c>
      <c r="D73" s="4" t="inlineStr">
        <is>
          <t>脫衣間的睡衣內衣一人一格</t>
        </is>
      </c>
      <c r="E73" s="4" t="inlineStr">
        <is>
          <t>家人多時，睡衣與內衣分配成每人一個抽屜或一層層架（例如由上而下爸爸、媽媽、孩子），收衣與取用都方便、庫存也好掌握；獨居或人少則改依種類（睡衣、內衣、襪子）分。</t>
        </is>
      </c>
      <c r="F73" s="4" t="inlineStr"/>
      <c r="G73" s="4" t="inlineStr"/>
      <c r="H73" s="4" t="inlineStr"/>
      <c r="I73" s="4" t="inlineStr">
        <is>
          <t>MUJI</t>
        </is>
      </c>
      <c r="J73" s="4" t="inlineStr">
        <is>
          <t>無印良品の家 住まいのコラム｜無印良品のインテリアアドバイザーに聞く、すっきり心地よい「洗面所の収納術」</t>
        </is>
      </c>
      <c r="K73" s="4" t="inlineStr">
        <is>
          <t>品牌官方</t>
        </is>
      </c>
      <c r="L73" s="5" t="inlineStr">
        <is>
          <t>https://house.muji.com/life/clmn/tebiki/tebiki_261023/</t>
        </is>
      </c>
      <c r="M73" s="4" t="inlineStr">
        <is>
          <t>2026-10-23</t>
        </is>
      </c>
      <c r="N73" s="4" t="inlineStr">
        <is>
          <t>2026-10-26</t>
        </is>
      </c>
      <c r="O73" s="4" t="inlineStr">
        <is>
          <t>ja</t>
        </is>
      </c>
      <c r="P73" s="4" t="inlineStr">
        <is>
          <t>high</t>
        </is>
      </c>
    </row>
    <row r="74">
      <c r="A74" s="4" t="inlineStr">
        <is>
          <t>TB-073</t>
        </is>
      </c>
      <c r="B74" s="4" t="inlineStr">
        <is>
          <t>浴室</t>
        </is>
      </c>
      <c r="C74" s="4" t="inlineStr">
        <is>
          <t>掛勾/吊掛</t>
        </is>
      </c>
      <c r="D74" s="4" t="inlineStr">
        <is>
          <t>曬衣夾架用兩個S鉤掛成菱形</t>
        </is>
      </c>
      <c r="E74" s="4" t="inlineStr">
        <is>
          <t>洗衣用品只放用得到的數量，衣架可放進檔案盒收整齊；多夾曬衣架容易纏在一起，可摺起後斜放成菱形，在角上勾S鉤掛到牆上的掛勾，就不會互相糾結。</t>
        </is>
      </c>
      <c r="F74" s="4" t="inlineStr">
        <is>
          <t>把曬衣夾架摺起斜放成菱形；在菱形角上裝S鉤掛到牆面掛勾</t>
        </is>
      </c>
      <c r="G74" s="4" t="inlineStr">
        <is>
          <t>ファイルボックス</t>
        </is>
      </c>
      <c r="H74" s="4" t="inlineStr">
        <is>
          <t>掛勾</t>
        </is>
      </c>
      <c r="I74" s="4" t="inlineStr">
        <is>
          <t>MUJI</t>
        </is>
      </c>
      <c r="J74" s="4" t="inlineStr">
        <is>
          <t>無印良品の家 住まいのコラム｜無印良品のインテリアアドバイザーに聞く、すっきり心地よい「洗面所の収納術」</t>
        </is>
      </c>
      <c r="K74" s="4" t="inlineStr">
        <is>
          <t>品牌官方</t>
        </is>
      </c>
      <c r="L74" s="5" t="inlineStr">
        <is>
          <t>https://house.muji.com/life/clmn/tebiki/tebiki_261023/</t>
        </is>
      </c>
      <c r="M74" s="4" t="inlineStr">
        <is>
          <t>2026-10-23</t>
        </is>
      </c>
      <c r="N74" s="4" t="inlineStr">
        <is>
          <t>2026-10-26</t>
        </is>
      </c>
      <c r="O74" s="4" t="inlineStr">
        <is>
          <t>ja</t>
        </is>
      </c>
      <c r="P74" s="4" t="inlineStr">
        <is>
          <t>high</t>
        </is>
      </c>
    </row>
    <row r="75">
      <c r="A75" s="4" t="inlineStr">
        <is>
          <t>TB-074</t>
        </is>
      </c>
      <c r="B75" s="4" t="inlineStr">
        <is>
          <t>衣櫃</t>
        </is>
      </c>
      <c r="C75" s="4" t="inlineStr">
        <is>
          <t>吊掛</t>
        </is>
      </c>
      <c r="D75" s="4" t="inlineStr">
        <is>
          <t>衣櫃以吊掛為主並依頻率排列</t>
        </is>
      </c>
      <c r="E75" s="4" t="inlineStr">
        <is>
          <t>空間允許時盡量用一個動作就能取放的吊掛收納；由前到後依「當季常穿＞週末穿＞婚喪喜慶等特殊場合」排列，同種類的衣服排在一起可縮短挑衣時間。厚毛衣易被撐變形，可改為摺放。</t>
        </is>
      </c>
      <c r="F75" s="4" t="inlineStr"/>
      <c r="G75" s="4" t="inlineStr"/>
      <c r="H75" s="4" t="inlineStr">
        <is>
          <t>吊掛收納</t>
        </is>
      </c>
      <c r="I75" s="4" t="inlineStr">
        <is>
          <t>MUJI</t>
        </is>
      </c>
      <c r="J75" s="4" t="inlineStr">
        <is>
          <t>無印良品の家 住まいのコラム｜無印良品のインテリアアドバイザーに聞く「クローゼットの整理収納術」②収納編</t>
        </is>
      </c>
      <c r="K75" s="4" t="inlineStr">
        <is>
          <t>品牌官方</t>
        </is>
      </c>
      <c r="L75" s="5" t="inlineStr">
        <is>
          <t>https://house.muji.com/life/clmn/tebiki/tebiki_251027/</t>
        </is>
      </c>
      <c r="M75" s="4" t="inlineStr">
        <is>
          <t>2025-10-27</t>
        </is>
      </c>
      <c r="N75" s="4" t="inlineStr">
        <is>
          <t>2026-10-26</t>
        </is>
      </c>
      <c r="O75" s="4" t="inlineStr">
        <is>
          <t>ja</t>
        </is>
      </c>
      <c r="P75" s="4" t="inlineStr">
        <is>
          <t>high</t>
        </is>
      </c>
    </row>
    <row r="76">
      <c r="A76" s="4" t="inlineStr">
        <is>
          <t>TB-075</t>
        </is>
      </c>
      <c r="B76" s="4" t="inlineStr">
        <is>
          <t>衣櫃</t>
        </is>
      </c>
      <c r="C76" s="4" t="inlineStr">
        <is>
          <t>標籤</t>
        </is>
      </c>
      <c r="D76" s="4" t="inlineStr">
        <is>
          <t>衣架與抽屜做記號，共用衣櫃標示是誰的</t>
        </is>
      </c>
      <c r="E76" s="4" t="inlineStr">
        <is>
          <t>在衣架或抽屜標上衣物種類與季節，讓用途與歸位處一目了然；多人共用的家庭衣櫃可用彩色紙膠帶等標示「是誰的」，有助於維持整齊。</t>
        </is>
      </c>
      <c r="F76" s="4" t="inlineStr"/>
      <c r="G76" s="4" t="inlineStr"/>
      <c r="H76" s="4" t="inlineStr"/>
      <c r="I76" s="4" t="inlineStr">
        <is>
          <t>MUJI</t>
        </is>
      </c>
      <c r="J76" s="4" t="inlineStr">
        <is>
          <t>無印良品の家 住まいのコラム｜無印良品のインテリアアドバイザーに聞く「クローゼットの整理収納術」②収納編</t>
        </is>
      </c>
      <c r="K76" s="4" t="inlineStr">
        <is>
          <t>品牌官方</t>
        </is>
      </c>
      <c r="L76" s="5" t="inlineStr">
        <is>
          <t>https://house.muji.com/life/clmn/tebiki/tebiki_251027/</t>
        </is>
      </c>
      <c r="M76" s="4" t="inlineStr">
        <is>
          <t>2025-10-27</t>
        </is>
      </c>
      <c r="N76" s="4" t="inlineStr">
        <is>
          <t>2026-10-26</t>
        </is>
      </c>
      <c r="O76" s="4" t="inlineStr">
        <is>
          <t>ja</t>
        </is>
      </c>
      <c r="P76" s="4" t="inlineStr">
        <is>
          <t>high</t>
        </is>
      </c>
    </row>
    <row r="77">
      <c r="A77" s="4" t="inlineStr">
        <is>
          <t>TB-076</t>
        </is>
      </c>
      <c r="B77" s="4" t="inlineStr">
        <is>
          <t>抽屜</t>
        </is>
      </c>
      <c r="C77" s="4" t="inlineStr">
        <is>
          <t>直立收納</t>
        </is>
      </c>
      <c r="D77" s="4" t="inlineStr">
        <is>
          <t>摺好的衣服在抽屜裡直立排放</t>
        </is>
      </c>
      <c r="E77" s="4" t="inlineStr">
        <is>
          <t>衣物摺好放抽屜時，與其平放往上疊，不如直立排列，好拿且收納量更大；T恤、牛仔褲等有厚度的衣物會互相撐住，若仍會倒可加擋板。</t>
        </is>
      </c>
      <c r="F77" s="4" t="inlineStr"/>
      <c r="G77" s="4" t="inlineStr"/>
      <c r="H77" s="4" t="inlineStr">
        <is>
          <t>抽屜隔板</t>
        </is>
      </c>
      <c r="I77" s="4" t="inlineStr">
        <is>
          <t>MUJI</t>
        </is>
      </c>
      <c r="J77" s="4" t="inlineStr">
        <is>
          <t>無印良品の家 住まいのコラム｜無印良品のインテリアアドバイザーに聞く「クローゼットの整理収納術」②収納編</t>
        </is>
      </c>
      <c r="K77" s="4" t="inlineStr">
        <is>
          <t>品牌官方</t>
        </is>
      </c>
      <c r="L77" s="5" t="inlineStr">
        <is>
          <t>https://house.muji.com/life/clmn/tebiki/tebiki_251027/</t>
        </is>
      </c>
      <c r="M77" s="4" t="inlineStr">
        <is>
          <t>2025-10-27</t>
        </is>
      </c>
      <c r="N77" s="4" t="inlineStr">
        <is>
          <t>2026-10-26</t>
        </is>
      </c>
      <c r="O77" s="4" t="inlineStr">
        <is>
          <t>ja</t>
        </is>
      </c>
      <c r="P77" s="4" t="inlineStr">
        <is>
          <t>high</t>
        </is>
      </c>
    </row>
    <row r="78">
      <c r="A78" s="4" t="inlineStr">
        <is>
          <t>TB-077</t>
        </is>
      </c>
      <c r="B78" s="4" t="inlineStr">
        <is>
          <t>衣櫃</t>
        </is>
      </c>
      <c r="C78" s="4" t="inlineStr">
        <is>
          <t>掛勾/吊掛</t>
        </is>
      </c>
      <c r="D78" s="4" t="inlineStr">
        <is>
          <t>皮帶領帶用掛勾掛在衣桿上</t>
        </is>
      </c>
      <c r="E78" s="4" t="inlineStr">
        <is>
          <t>皮帶、領帶等細長物，在衣桿上加掛勾掛起來最好拿，皮帶把扣頭勾在掛勾上就不會掉；包包可放入寬檔案盒隔開收納，布包捲成棒狀可縮小體積。</t>
        </is>
      </c>
      <c r="F78" s="4" t="inlineStr"/>
      <c r="G78" s="4" t="inlineStr">
        <is>
          <t>ファイルボックス</t>
        </is>
      </c>
      <c r="H78" s="4" t="inlineStr">
        <is>
          <t>掛勾</t>
        </is>
      </c>
      <c r="I78" s="4" t="inlineStr">
        <is>
          <t>MUJI</t>
        </is>
      </c>
      <c r="J78" s="4" t="inlineStr">
        <is>
          <t>無印良品の家 住まいのコラム｜無印良品のインテリアアドバイザーに聞く「クローゼットの整理収納術」②収納編</t>
        </is>
      </c>
      <c r="K78" s="4" t="inlineStr">
        <is>
          <t>品牌官方</t>
        </is>
      </c>
      <c r="L78" s="5" t="inlineStr">
        <is>
          <t>https://house.muji.com/life/clmn/tebiki/tebiki_251027/</t>
        </is>
      </c>
      <c r="M78" s="4" t="inlineStr">
        <is>
          <t>2025-10-27</t>
        </is>
      </c>
      <c r="N78" s="4" t="inlineStr">
        <is>
          <t>2026-10-26</t>
        </is>
      </c>
      <c r="O78" s="4" t="inlineStr">
        <is>
          <t>ja</t>
        </is>
      </c>
      <c r="P78" s="4" t="inlineStr">
        <is>
          <t>high</t>
        </is>
      </c>
    </row>
    <row r="79">
      <c r="A79" s="4" t="inlineStr">
        <is>
          <t>TB-078</t>
        </is>
      </c>
      <c r="B79" s="4" t="inlineStr">
        <is>
          <t>衣櫃</t>
        </is>
      </c>
      <c r="C79" s="4" t="inlineStr">
        <is>
          <t>掛勾/壁面</t>
        </is>
      </c>
      <c r="D79" s="4" t="inlineStr">
        <is>
          <t>帽子掛在衣櫃旁牆面的掛勾</t>
        </is>
      </c>
      <c r="E79" s="4" t="inlineStr">
        <is>
          <t>可摺的帽子摺起收，有帽簷的棒球帽等掛在掛勾上不易變形；掛在衣桿上會占空間，可在衣櫃旁的牆面裝掛勾掛帽子，節省衣桿位置。</t>
        </is>
      </c>
      <c r="F79" s="4" t="inlineStr"/>
      <c r="G79" s="4" t="inlineStr"/>
      <c r="H79" s="4" t="inlineStr">
        <is>
          <t>掛勾</t>
        </is>
      </c>
      <c r="I79" s="4" t="inlineStr">
        <is>
          <t>MUJI</t>
        </is>
      </c>
      <c r="J79" s="4" t="inlineStr">
        <is>
          <t>無印良品の家 住まいのコラム｜無印良品のインテリアアドバイザーに聞く「クローゼットの整理収納術」②収納編</t>
        </is>
      </c>
      <c r="K79" s="4" t="inlineStr">
        <is>
          <t>品牌官方</t>
        </is>
      </c>
      <c r="L79" s="5" t="inlineStr">
        <is>
          <t>https://house.muji.com/life/clmn/tebiki/tebiki_251027/</t>
        </is>
      </c>
      <c r="M79" s="4" t="inlineStr">
        <is>
          <t>2025-10-27</t>
        </is>
      </c>
      <c r="N79" s="4" t="inlineStr">
        <is>
          <t>2026-10-26</t>
        </is>
      </c>
      <c r="O79" s="4" t="inlineStr">
        <is>
          <t>ja</t>
        </is>
      </c>
      <c r="P79" s="4" t="inlineStr">
        <is>
          <t>high</t>
        </is>
      </c>
    </row>
    <row r="80">
      <c r="A80" s="4" t="inlineStr">
        <is>
          <t>TB-079</t>
        </is>
      </c>
      <c r="B80" s="4" t="inlineStr">
        <is>
          <t>玄關</t>
        </is>
      </c>
      <c r="C80" s="4" t="inlineStr">
        <is>
          <t>掛勾/壁面</t>
        </is>
      </c>
      <c r="D80" s="4" t="inlineStr">
        <is>
          <t>玄關牆面裝掛勾並配合孩子身高</t>
        </is>
      </c>
      <c r="E80" s="4" t="inlineStr">
        <is>
          <t>回家就丟在地上的帽子、外套、包包是玄關亂的主因；在玄關裝可上牆的掛勾、橫木或層架，脫下立刻掛上。依孩子身高安裝，小朋友也能自己收好。</t>
        </is>
      </c>
      <c r="F80" s="4" t="inlineStr"/>
      <c r="G80" s="4" t="inlineStr">
        <is>
          <t>壁に付けられる家具</t>
        </is>
      </c>
      <c r="H80" s="4" t="inlineStr">
        <is>
          <t>掛勾</t>
        </is>
      </c>
      <c r="I80" s="4" t="inlineStr">
        <is>
          <t>MUJI</t>
        </is>
      </c>
      <c r="J80" s="4" t="inlineStr">
        <is>
          <t>無印良品 読みもの まとめ｜玄関がすっきり片付く収納アイデア4選</t>
        </is>
      </c>
      <c r="K80" s="4" t="inlineStr">
        <is>
          <t>品牌官方</t>
        </is>
      </c>
      <c r="L80" s="5" t="inlineStr">
        <is>
          <t>https://www.muji.com/jp/ja/store/articles/staff-blog/summary/1587002</t>
        </is>
      </c>
      <c r="M80" s="4" t="inlineStr">
        <is>
          <t>2025-05-07</t>
        </is>
      </c>
      <c r="N80" s="4" t="inlineStr">
        <is>
          <t>2026-10-26</t>
        </is>
      </c>
      <c r="O80" s="4" t="inlineStr">
        <is>
          <t>ja</t>
        </is>
      </c>
      <c r="P80" s="4" t="inlineStr">
        <is>
          <t>high</t>
        </is>
      </c>
    </row>
    <row r="81">
      <c r="A81" s="4" t="inlineStr">
        <is>
          <t>TB-080</t>
        </is>
      </c>
      <c r="B81" s="4" t="inlineStr">
        <is>
          <t>玄關</t>
        </is>
      </c>
      <c r="C81" s="4" t="inlineStr">
        <is>
          <t>分類/盒子</t>
        </is>
      </c>
      <c r="D81" s="4" t="inlineStr">
        <is>
          <t>外出用小物依類別放不透明盒</t>
        </is>
      </c>
      <c r="E81" s="4" t="inlineStr">
        <is>
          <t>外玩用具、摺疊傘、雨衣、自行車用品、防蚊液等在家不用的東西，在玄關附近設收納位，用可遮住內容的軟質收納盒或檔案盒依類別分裝，家人也不再問「放哪裡」。</t>
        </is>
      </c>
      <c r="F81" s="4" t="inlineStr"/>
      <c r="G81" s="4" t="inlineStr">
        <is>
          <t>やわらかポリエチレンケース/ファイルボックス</t>
        </is>
      </c>
      <c r="H81" s="4" t="inlineStr"/>
      <c r="I81" s="4" t="inlineStr">
        <is>
          <t>MUJI</t>
        </is>
      </c>
      <c r="J81" s="4" t="inlineStr">
        <is>
          <t>無印良品 読みもの まとめ｜玄関がすっきり片付く収納アイデア4選</t>
        </is>
      </c>
      <c r="K81" s="4" t="inlineStr">
        <is>
          <t>品牌官方</t>
        </is>
      </c>
      <c r="L81" s="5" t="inlineStr">
        <is>
          <t>https://www.muji.com/jp/ja/store/articles/staff-blog/summary/1587002</t>
        </is>
      </c>
      <c r="M81" s="4" t="inlineStr">
        <is>
          <t>2025-05-07</t>
        </is>
      </c>
      <c r="N81" s="4" t="inlineStr">
        <is>
          <t>2026-10-26</t>
        </is>
      </c>
      <c r="O81" s="4" t="inlineStr">
        <is>
          <t>ja</t>
        </is>
      </c>
      <c r="P81" s="4" t="inlineStr">
        <is>
          <t>high</t>
        </is>
      </c>
    </row>
    <row r="82">
      <c r="A82" s="4" t="inlineStr">
        <is>
          <t>TB-081</t>
        </is>
      </c>
      <c r="B82" s="4" t="inlineStr">
        <is>
          <t>浴室</t>
        </is>
      </c>
      <c r="C82" s="4" t="inlineStr">
        <is>
          <t>盒子/統一</t>
        </is>
      </c>
      <c r="D82" s="4" t="inlineStr">
        <is>
          <t>洗手間並排同款盒子，毛巾放鐵線籃</t>
        </is>
      </c>
      <c r="E82" s="4" t="inlineStr">
        <is>
          <t>毛巾與庫存品用中身看不見的軟質收納盒並排放，整體就顯得清爽，盒子輕且耐水也能當洗衣籃；想要「看得見」的收納則用不鏽鋼鐵線籃，一個動作就能取放毛巾。</t>
        </is>
      </c>
      <c r="F82" s="4" t="inlineStr"/>
      <c r="G82" s="4" t="inlineStr">
        <is>
          <t>やわらかポリエチレンケース/ステンレスワイヤーバスケット</t>
        </is>
      </c>
      <c r="H82" s="4" t="inlineStr"/>
      <c r="I82" s="4" t="inlineStr">
        <is>
          <t>MUJI</t>
        </is>
      </c>
      <c r="J82" s="4" t="inlineStr">
        <is>
          <t>無印良品 読みもの まとめ｜狭くてもごちゃつかず、すっきり。洗面所の収納アイデア</t>
        </is>
      </c>
      <c r="K82" s="4" t="inlineStr">
        <is>
          <t>品牌官方</t>
        </is>
      </c>
      <c r="L82" s="5" t="inlineStr">
        <is>
          <t>https://www.muji.com/jp/ja/store/articles/staff-blog/summary/1598364</t>
        </is>
      </c>
      <c r="M82" s="4" t="inlineStr">
        <is>
          <t>2025-06-11</t>
        </is>
      </c>
      <c r="N82" s="4" t="inlineStr">
        <is>
          <t>2026-10-26</t>
        </is>
      </c>
      <c r="O82" s="4" t="inlineStr">
        <is>
          <t>ja</t>
        </is>
      </c>
      <c r="P82" s="4" t="inlineStr">
        <is>
          <t>high</t>
        </is>
      </c>
    </row>
    <row r="83">
      <c r="A83" s="4" t="inlineStr">
        <is>
          <t>TB-082</t>
        </is>
      </c>
      <c r="B83" s="4" t="inlineStr">
        <is>
          <t>水槽下</t>
        </is>
      </c>
      <c r="C83" s="4" t="inlineStr">
        <is>
          <t>小型置物架</t>
        </is>
      </c>
      <c r="D83" s="4" t="inlineStr">
        <is>
          <t>管線在後方時，層架放在管線前面</t>
        </is>
      </c>
      <c r="E83" s="4" t="inlineStr">
        <is>
          <t>水槽下的排水管若位在較裡面，可把低矮的不鏽鋼層架放在管線前方，上面再放小物收納盒；爐台下也可用同樣最矮的側板組成層架。</t>
        </is>
      </c>
      <c r="F83" s="4" t="inlineStr"/>
      <c r="G83" s="4" t="inlineStr">
        <is>
          <t>ステンレスユニットシェルフ/小物収納ケース</t>
        </is>
      </c>
      <c r="H83" s="4" t="inlineStr">
        <is>
          <t>小型置物架</t>
        </is>
      </c>
      <c r="I83" s="4" t="inlineStr">
        <is>
          <t>MUJI</t>
        </is>
      </c>
      <c r="J83" s="4" t="inlineStr">
        <is>
          <t>無印良品 読みもの まとめ｜無印良品スタッフの住まいから、収納家具の取り入れかたを集めました</t>
        </is>
      </c>
      <c r="K83" s="4" t="inlineStr">
        <is>
          <t>品牌官方</t>
        </is>
      </c>
      <c r="L83" s="5" t="inlineStr">
        <is>
          <t>https://www.muji.com/jp/ja/store/articles/staff-blog/summary/1679425</t>
        </is>
      </c>
      <c r="M83" s="4" t="inlineStr">
        <is>
          <t>2026-06-15</t>
        </is>
      </c>
      <c r="N83" s="4" t="inlineStr">
        <is>
          <t>2026-10-26</t>
        </is>
      </c>
      <c r="O83" s="4" t="inlineStr">
        <is>
          <t>ja</t>
        </is>
      </c>
      <c r="P83" s="4" t="inlineStr">
        <is>
          <t>medium</t>
        </is>
      </c>
    </row>
    <row r="84">
      <c r="A84" s="4" t="inlineStr">
        <is>
          <t>TB-083</t>
        </is>
      </c>
      <c r="B84" s="4" t="inlineStr">
        <is>
          <t>玄關</t>
        </is>
      </c>
      <c r="C84" s="4" t="inlineStr">
        <is>
          <t>掛勾/吊掛</t>
        </is>
      </c>
      <c r="D84" s="4" t="inlineStr">
        <is>
          <t>玄關層架側板掛不鏽鋼掛勾與夾子</t>
        </is>
      </c>
      <c r="E84" s="4" t="inlineStr">
        <is>
          <t>玄關用淺型層架當鞋櫃時，可在層架側板加掛不鏽鋼掛勾與掛夾，做出吊掛收納；上層再用半尺寸檔案盒分裝小物。</t>
        </is>
      </c>
      <c r="F84" s="4" t="inlineStr"/>
      <c r="G84" s="4" t="inlineStr">
        <is>
          <t>ファイルボックス</t>
        </is>
      </c>
      <c r="H84" s="4" t="inlineStr">
        <is>
          <t>掛勾/吊掛收納</t>
        </is>
      </c>
      <c r="I84" s="4" t="inlineStr">
        <is>
          <t>MUJI</t>
        </is>
      </c>
      <c r="J84" s="4" t="inlineStr">
        <is>
          <t>無印良品 読みもの まとめ｜無印良品スタッフの住まいから、収納家具の取り入れかたを集めました</t>
        </is>
      </c>
      <c r="K84" s="4" t="inlineStr">
        <is>
          <t>品牌官方</t>
        </is>
      </c>
      <c r="L84" s="5" t="inlineStr">
        <is>
          <t>https://www.muji.com/jp/ja/store/articles/staff-blog/summary/1679425</t>
        </is>
      </c>
      <c r="M84" s="4" t="inlineStr">
        <is>
          <t>2026-06-15</t>
        </is>
      </c>
      <c r="N84" s="4" t="inlineStr">
        <is>
          <t>2026-10-26</t>
        </is>
      </c>
      <c r="O84" s="4" t="inlineStr">
        <is>
          <t>ja</t>
        </is>
      </c>
      <c r="P84" s="4" t="inlineStr">
        <is>
          <t>medium</t>
        </is>
      </c>
    </row>
    <row r="85">
      <c r="A85" s="4" t="inlineStr">
        <is>
          <t>TB-084</t>
        </is>
      </c>
      <c r="B85" s="4" t="inlineStr">
        <is>
          <t>衣櫃</t>
        </is>
      </c>
      <c r="C85" s="4" t="inlineStr">
        <is>
          <t>並排/盒子</t>
        </is>
      </c>
      <c r="D85" s="4" t="inlineStr">
        <is>
          <t>依衣櫃深度選衣物收納箱並排</t>
        </is>
      </c>
      <c r="E85" s="4" t="inlineStr">
        <is>
          <t>依衣櫃尺寸選收納箱：寬40cm的款式可並排使用把空間用滿；橫式寬55cm的款可並排放兩件襯衫或毛衣；狹窄處則用較小的收納盒與橫式款並排。</t>
        </is>
      </c>
      <c r="F85" s="4" t="inlineStr"/>
      <c r="G85" s="4" t="inlineStr">
        <is>
          <t>PP收納盒</t>
        </is>
      </c>
      <c r="H85" s="4" t="inlineStr"/>
      <c r="I85" s="4" t="inlineStr">
        <is>
          <t>MUJI</t>
        </is>
      </c>
      <c r="J85" s="4" t="inlineStr">
        <is>
          <t>無印良品 台灣 MUJI Journal｜收納用品特集</t>
        </is>
      </c>
      <c r="K85" s="4" t="inlineStr">
        <is>
          <t>品牌官方</t>
        </is>
      </c>
      <c r="L85" s="5" t="inlineStr">
        <is>
          <t>https://www.muji.tw/muji-journal/feature/24ss/storage-supplies/</t>
        </is>
      </c>
      <c r="M85" s="4" t="inlineStr"/>
      <c r="N85" s="4" t="inlineStr">
        <is>
          <t>2026-10-26</t>
        </is>
      </c>
      <c r="O85" s="4" t="inlineStr">
        <is>
          <t>zh-TW</t>
        </is>
      </c>
      <c r="P85" s="4" t="inlineStr">
        <is>
          <t>high</t>
        </is>
      </c>
    </row>
    <row r="86">
      <c r="A86" s="4" t="inlineStr">
        <is>
          <t>TB-085</t>
        </is>
      </c>
      <c r="B86" s="4" t="inlineStr">
        <is>
          <t>冰箱</t>
        </is>
      </c>
      <c r="C86" s="4" t="inlineStr">
        <is>
          <t>盒子/分區</t>
        </is>
      </c>
      <c r="D86" s="4" t="inlineStr">
        <is>
          <t>冰箱用耐冷耐水的軟質盒，散物用小尺寸</t>
        </is>
      </c>
      <c r="E86" s="4" t="inlineStr">
        <is>
          <t>軟質聚乙烯收納盒耐冷、耐水，可用在冰箱或會碰水的地方，也能互相堆疊；零散物品用小尺寸或半尺寸，大件物品用深型。</t>
        </is>
      </c>
      <c r="F86" s="4" t="inlineStr"/>
      <c r="G86" s="4" t="inlineStr">
        <is>
          <t>軟質聚乙烯收納盒</t>
        </is>
      </c>
      <c r="H86" s="4" t="inlineStr"/>
      <c r="I86" s="4" t="inlineStr">
        <is>
          <t>MUJI</t>
        </is>
      </c>
      <c r="J86" s="4" t="inlineStr">
        <is>
          <t>無印良品 台灣 MUJI Journal｜收納用品特集</t>
        </is>
      </c>
      <c r="K86" s="4" t="inlineStr">
        <is>
          <t>品牌官方</t>
        </is>
      </c>
      <c r="L86" s="5" t="inlineStr">
        <is>
          <t>https://www.muji.tw/muji-journal/feature/24ss/storage-supplies/</t>
        </is>
      </c>
      <c r="M86" s="4" t="inlineStr"/>
      <c r="N86" s="4" t="inlineStr">
        <is>
          <t>2026-10-26</t>
        </is>
      </c>
      <c r="O86" s="4" t="inlineStr">
        <is>
          <t>zh-TW</t>
        </is>
      </c>
      <c r="P86" s="4" t="inlineStr">
        <is>
          <t>high</t>
        </is>
      </c>
    </row>
    <row r="87">
      <c r="A87" s="4" t="inlineStr">
        <is>
          <t>TB-086</t>
        </is>
      </c>
      <c r="B87" s="4" t="inlineStr">
        <is>
          <t>層架</t>
        </is>
      </c>
      <c r="C87" s="4" t="inlineStr">
        <is>
          <t>防災/先進先出</t>
        </is>
      </c>
      <c r="D87" s="4" t="inlineStr">
        <is>
          <t>用收納箱存調理包，吃多少補多少</t>
        </is>
      </c>
      <c r="E87" s="4" t="inlineStr">
        <is>
          <t>把調理包與寶特瓶等放進收納箱存放，平時吃掉多少就補多少，緊急時就能當作防災儲備食品；收納箱蓋子的凸面與凹面可互相嵌合，疊放與搬運都方便。</t>
        </is>
      </c>
      <c r="F87" s="4" t="inlineStr"/>
      <c r="G87" s="4" t="inlineStr">
        <is>
          <t>PP收納箱</t>
        </is>
      </c>
      <c r="H87" s="4" t="inlineStr"/>
      <c r="I87" s="4" t="inlineStr">
        <is>
          <t>MUJI</t>
        </is>
      </c>
      <c r="J87" s="4" t="inlineStr">
        <is>
          <t>無印良品 台灣 MUJI Journal｜收納用品特集</t>
        </is>
      </c>
      <c r="K87" s="4" t="inlineStr">
        <is>
          <t>品牌官方</t>
        </is>
      </c>
      <c r="L87" s="5" t="inlineStr">
        <is>
          <t>https://www.muji.tw/muji-journal/feature/24ss/storage-supplies/</t>
        </is>
      </c>
      <c r="M87" s="4" t="inlineStr"/>
      <c r="N87" s="4" t="inlineStr">
        <is>
          <t>2026-10-26</t>
        </is>
      </c>
      <c r="O87" s="4" t="inlineStr">
        <is>
          <t>zh-TW</t>
        </is>
      </c>
      <c r="P87" s="4" t="inlineStr">
        <is>
          <t>high</t>
        </is>
      </c>
    </row>
    <row r="88">
      <c r="A88" s="4" t="inlineStr">
        <is>
          <t>TB-087</t>
        </is>
      </c>
      <c r="B88" s="4" t="inlineStr">
        <is>
          <t>水槽下</t>
        </is>
      </c>
      <c r="C88" s="4" t="inlineStr">
        <is>
          <t>避開管線/高度利用</t>
        </is>
      </c>
      <c r="D88" s="4" t="inlineStr">
        <is>
          <t>水槽下用模組盒繞管線，加小層架與轉盤</t>
        </is>
      </c>
      <c r="E88" s="4" t="inlineStr">
        <is>
          <t>水槽下常因管線形狀不規則，用可彈性配置的模組收納盒繞開管線；再加小層架或轉盤，把洗碗精、海綿與清潔用品放在不同高度。只放必要的物品，容器貼標籤方便歸位。</t>
        </is>
      </c>
      <c r="F88" s="4" t="inlineStr"/>
      <c r="G88" s="4" t="inlineStr">
        <is>
          <t>HÅLLBAR</t>
        </is>
      </c>
      <c r="H88" s="4" t="inlineStr">
        <is>
          <t>小型置物架</t>
        </is>
      </c>
      <c r="I88" s="4" t="inlineStr">
        <is>
          <t>IKEA</t>
        </is>
      </c>
      <c r="J88" s="4" t="inlineStr">
        <is>
          <t>IKEA US｜Organize under the kitchen sink: 6 smart storage ideas</t>
        </is>
      </c>
      <c r="K88" s="4" t="inlineStr">
        <is>
          <t>品牌官方</t>
        </is>
      </c>
      <c r="L88" s="5" t="inlineStr">
        <is>
          <t>https://www.ikea.com/us/en/rooms/kitchen/how-to/organize-under-the-kitchen-sink-6-smart-storage-ideas-pubacf6ec70/</t>
        </is>
      </c>
      <c r="M88" s="4" t="inlineStr"/>
      <c r="N88" s="4" t="inlineStr">
        <is>
          <t>2026-10-26</t>
        </is>
      </c>
      <c r="O88" s="4" t="inlineStr">
        <is>
          <t>en</t>
        </is>
      </c>
      <c r="P88" s="4" t="inlineStr">
        <is>
          <t>high</t>
        </is>
      </c>
    </row>
    <row r="89">
      <c r="A89" s="4" t="inlineStr">
        <is>
          <t>TB-088</t>
        </is>
      </c>
      <c r="B89" s="4" t="inlineStr">
        <is>
          <t>水槽下</t>
        </is>
      </c>
      <c r="C89" s="4" t="inlineStr">
        <is>
          <t>直立收納/防潮</t>
        </is>
      </c>
      <c r="D89" s="4" t="inlineStr">
        <is>
          <t>瓶罐直立放在容器裡並鋪防護墊</t>
        </is>
      </c>
      <c r="E89" s="4" t="inlineStr">
        <is>
          <t>清潔劑等瓶罐直立放進收納容器，可在漏出前先擋住；櫃底鋪防護墊或抽屜墊接住滴水、保持乾淨。洗碗精與海綿放在轉盤上更好拿。</t>
        </is>
      </c>
      <c r="F89" s="4" t="inlineStr"/>
      <c r="G89" s="4" t="inlineStr">
        <is>
          <t>VARIERA</t>
        </is>
      </c>
      <c r="H89" s="4" t="inlineStr"/>
      <c r="I89" s="4" t="inlineStr">
        <is>
          <t>IKEA</t>
        </is>
      </c>
      <c r="J89" s="4" t="inlineStr">
        <is>
          <t>IKEA US｜Organize under the kitchen sink: 6 smart storage ideas</t>
        </is>
      </c>
      <c r="K89" s="4" t="inlineStr">
        <is>
          <t>品牌官方</t>
        </is>
      </c>
      <c r="L89" s="5" t="inlineStr">
        <is>
          <t>https://www.ikea.com/us/en/rooms/kitchen/how-to/organize-under-the-kitchen-sink-6-smart-storage-ideas-pubacf6ec70/</t>
        </is>
      </c>
      <c r="M89" s="4" t="inlineStr"/>
      <c r="N89" s="4" t="inlineStr">
        <is>
          <t>2026-10-26</t>
        </is>
      </c>
      <c r="O89" s="4" t="inlineStr">
        <is>
          <t>en</t>
        </is>
      </c>
      <c r="P89" s="4" t="inlineStr">
        <is>
          <t>high</t>
        </is>
      </c>
    </row>
    <row r="90">
      <c r="A90" s="4" t="inlineStr">
        <is>
          <t>TB-089</t>
        </is>
      </c>
      <c r="B90" s="4" t="inlineStr">
        <is>
          <t>水槽下</t>
        </is>
      </c>
      <c r="C90" s="4" t="inlineStr">
        <is>
          <t>分區/拉出</t>
        </is>
      </c>
      <c r="D90" s="4" t="inlineStr">
        <is>
          <t>水槽下依清潔、垃圾、工具分區並加拉出盤</t>
        </is>
      </c>
      <c r="E90" s="4" t="inlineStr">
        <is>
          <t>櫃子深處的東西不好拿，可加裝拉出式托盤或拉出框，整個櫃深都看得到；版面維持簡單，依「清潔、垃圾、工具」分區，備用品放到別處，避免水槽下過度擁擠。</t>
        </is>
      </c>
      <c r="F90" s="4" t="inlineStr"/>
      <c r="G90" s="4" t="inlineStr">
        <is>
          <t>HÅLLBAR/VARIERA</t>
        </is>
      </c>
      <c r="H90" s="4" t="inlineStr"/>
      <c r="I90" s="4" t="inlineStr">
        <is>
          <t>IKEA</t>
        </is>
      </c>
      <c r="J90" s="4" t="inlineStr">
        <is>
          <t>IKEA US｜Organize under the kitchen sink: 6 smart storage ideas</t>
        </is>
      </c>
      <c r="K90" s="4" t="inlineStr">
        <is>
          <t>品牌官方</t>
        </is>
      </c>
      <c r="L90" s="5" t="inlineStr">
        <is>
          <t>https://www.ikea.com/us/en/rooms/kitchen/how-to/organize-under-the-kitchen-sink-6-smart-storage-ideas-pubacf6ec70/</t>
        </is>
      </c>
      <c r="M90" s="4" t="inlineStr"/>
      <c r="N90" s="4" t="inlineStr">
        <is>
          <t>2026-10-26</t>
        </is>
      </c>
      <c r="O90" s="4" t="inlineStr">
        <is>
          <t>en</t>
        </is>
      </c>
      <c r="P90" s="4" t="inlineStr">
        <is>
          <t>high</t>
        </is>
      </c>
    </row>
    <row r="91">
      <c r="A91" s="4" t="inlineStr">
        <is>
          <t>TB-090</t>
        </is>
      </c>
      <c r="B91" s="4" t="inlineStr">
        <is>
          <t>洗手台下</t>
        </is>
      </c>
      <c r="C91" s="4" t="inlineStr">
        <is>
          <t>盒子/透明</t>
        </is>
      </c>
      <c r="D91" s="4" t="inlineStr">
        <is>
          <t>洗手台下用可疊透明盒與轉盤</t>
        </is>
      </c>
      <c r="E91" s="4" t="inlineStr">
        <is>
          <t>洗手台下若是層板，不像抽屜好檢視，可把物品分到可堆疊的透明容器裡就找得到；日常保養用的瓶罐放在轉盤上，轉一下就能拿到後方的東西。</t>
        </is>
      </c>
      <c r="F91" s="4" t="inlineStr"/>
      <c r="G91" s="4" t="inlineStr">
        <is>
          <t>KUGGIS/SAMLA</t>
        </is>
      </c>
      <c r="H91" s="4" t="inlineStr"/>
      <c r="I91" s="4" t="inlineStr">
        <is>
          <t>IKEA</t>
        </is>
      </c>
      <c r="J91" s="4" t="inlineStr">
        <is>
          <t>IKEA UK｜Under sink bathroom storage ideas</t>
        </is>
      </c>
      <c r="K91" s="4" t="inlineStr">
        <is>
          <t>品牌官方</t>
        </is>
      </c>
      <c r="L91" s="5" t="inlineStr">
        <is>
          <t>https://www.ikea.com/gb/en/rooms/bathroom/how-to/under-sink-bathroom-storage-ideas-pub7bb1a450/</t>
        </is>
      </c>
      <c r="M91" s="4" t="inlineStr"/>
      <c r="N91" s="4" t="inlineStr">
        <is>
          <t>2026-10-26</t>
        </is>
      </c>
      <c r="O91" s="4" t="inlineStr">
        <is>
          <t>en</t>
        </is>
      </c>
      <c r="P91" s="4" t="inlineStr">
        <is>
          <t>high</t>
        </is>
      </c>
    </row>
    <row r="92">
      <c r="A92" s="4" t="inlineStr">
        <is>
          <t>TB-091</t>
        </is>
      </c>
      <c r="B92" s="4" t="inlineStr">
        <is>
          <t>抽屜</t>
        </is>
      </c>
      <c r="C92" s="4" t="inlineStr">
        <is>
          <t>分區</t>
        </is>
      </c>
      <c r="D92" s="4" t="inlineStr">
        <is>
          <t>浴室抽屜依類別或家人分隔</t>
        </is>
      </c>
      <c r="E92" s="4" t="inlineStr">
        <is>
          <t>封閉式洗手台櫃把內部整理好，就能讓浴室顯得平靜；用抽屜分隔盒把物品依類別或家庭成員分開，每次打開都清楚。</t>
        </is>
      </c>
      <c r="F92" s="4" t="inlineStr"/>
      <c r="G92" s="4" t="inlineStr">
        <is>
          <t>NOJIG</t>
        </is>
      </c>
      <c r="H92" s="4" t="inlineStr">
        <is>
          <t>抽屜隔板</t>
        </is>
      </c>
      <c r="I92" s="4" t="inlineStr">
        <is>
          <t>IKEA</t>
        </is>
      </c>
      <c r="J92" s="4" t="inlineStr">
        <is>
          <t>IKEA UK｜Under sink bathroom storage ideas</t>
        </is>
      </c>
      <c r="K92" s="4" t="inlineStr">
        <is>
          <t>品牌官方</t>
        </is>
      </c>
      <c r="L92" s="5" t="inlineStr">
        <is>
          <t>https://www.ikea.com/gb/en/rooms/bathroom/how-to/under-sink-bathroom-storage-ideas-pub7bb1a450/</t>
        </is>
      </c>
      <c r="M92" s="4" t="inlineStr"/>
      <c r="N92" s="4" t="inlineStr">
        <is>
          <t>2026-10-26</t>
        </is>
      </c>
      <c r="O92" s="4" t="inlineStr">
        <is>
          <t>en</t>
        </is>
      </c>
      <c r="P92" s="4" t="inlineStr">
        <is>
          <t>high</t>
        </is>
      </c>
    </row>
    <row r="93">
      <c r="A93" s="4" t="inlineStr">
        <is>
          <t>TB-092</t>
        </is>
      </c>
      <c r="B93" s="4" t="inlineStr">
        <is>
          <t>冰箱</t>
        </is>
      </c>
      <c r="C93" s="4" t="inlineStr">
        <is>
          <t>分區/盒子</t>
        </is>
      </c>
      <c r="D93" s="4" t="inlineStr">
        <is>
          <t>冰箱依需要的溫度把物品分箱</t>
        </is>
      </c>
      <c r="E93" s="4" t="inlineStr">
        <is>
          <t>把需要相近溫度的物品放進較大的箱子分組：冰箱下層較冷，適合生肉與乳製品；上層適合抹醬與即食品。用箱子裝，萬一漏出來也比較好清理。</t>
        </is>
      </c>
      <c r="F93" s="4" t="inlineStr"/>
      <c r="G93" s="4" t="inlineStr">
        <is>
          <t>KLIPPKAKTUS</t>
        </is>
      </c>
      <c r="H93" s="4" t="inlineStr"/>
      <c r="I93" s="4" t="inlineStr">
        <is>
          <t>IKEA</t>
        </is>
      </c>
      <c r="J93" s="4" t="inlineStr">
        <is>
          <t>IKEA US｜Easy ways to organize your fridge</t>
        </is>
      </c>
      <c r="K93" s="4" t="inlineStr">
        <is>
          <t>品牌官方</t>
        </is>
      </c>
      <c r="L93" s="5" t="inlineStr">
        <is>
          <t>https://www.ikea.com/us/en/rooms/kitchen/how-to/easy-ways-to-organize-your-fridge-pubaec7aa90/</t>
        </is>
      </c>
      <c r="M93" s="4" t="inlineStr"/>
      <c r="N93" s="4" t="inlineStr">
        <is>
          <t>2026-10-26</t>
        </is>
      </c>
      <c r="O93" s="4" t="inlineStr">
        <is>
          <t>en</t>
        </is>
      </c>
      <c r="P93" s="4" t="inlineStr">
        <is>
          <t>high</t>
        </is>
      </c>
    </row>
    <row r="94">
      <c r="A94" s="4" t="inlineStr">
        <is>
          <t>TB-093</t>
        </is>
      </c>
      <c r="B94" s="4" t="inlineStr">
        <is>
          <t>冰箱</t>
        </is>
      </c>
      <c r="C94" s="4" t="inlineStr">
        <is>
          <t>透明/堆疊</t>
        </is>
      </c>
      <c r="D94" s="4" t="inlineStr">
        <is>
          <t>冰箱用同尺寸蓋的透明容器堆疊</t>
        </is>
      </c>
      <c r="E94" s="4" t="inlineStr">
        <is>
          <t>透明容器一看就知道內容，有助於減少食物浪費；選擇蓋子尺寸共通的容器系列就能堆疊。番茄、酪梨、洋蔥、香蕉等不必冷藏的食材，改放吊掛網袋或檯面的碗裡，讓冰箱不擠。</t>
        </is>
      </c>
      <c r="F94" s="4" t="inlineStr"/>
      <c r="G94" s="4" t="inlineStr">
        <is>
          <t>IKEA 365+/KLIPPKAKTUS</t>
        </is>
      </c>
      <c r="H94" s="4" t="inlineStr">
        <is>
          <t>吊掛收納</t>
        </is>
      </c>
      <c r="I94" s="4" t="inlineStr">
        <is>
          <t>IKEA</t>
        </is>
      </c>
      <c r="J94" s="4" t="inlineStr">
        <is>
          <t>IKEA US｜Easy ways to organize your fridge</t>
        </is>
      </c>
      <c r="K94" s="4" t="inlineStr">
        <is>
          <t>品牌官方</t>
        </is>
      </c>
      <c r="L94" s="5" t="inlineStr">
        <is>
          <t>https://www.ikea.com/us/en/rooms/kitchen/how-to/easy-ways-to-organize-your-fridge-pubaec7aa90/</t>
        </is>
      </c>
      <c r="M94" s="4" t="inlineStr"/>
      <c r="N94" s="4" t="inlineStr">
        <is>
          <t>2026-10-26</t>
        </is>
      </c>
      <c r="O94" s="4" t="inlineStr">
        <is>
          <t>en</t>
        </is>
      </c>
      <c r="P94" s="4" t="inlineStr">
        <is>
          <t>high</t>
        </is>
      </c>
    </row>
    <row r="95">
      <c r="A95" s="4" t="inlineStr">
        <is>
          <t>TB-094</t>
        </is>
      </c>
      <c r="B95" s="4" t="inlineStr">
        <is>
          <t>抽屜</t>
        </is>
      </c>
      <c r="C95" s="4" t="inlineStr">
        <is>
          <t>抽屜隔板</t>
        </is>
      </c>
      <c r="D95" s="4" t="inlineStr">
        <is>
          <t>廚房抽屜用隔板分開工具並收捲狀品</t>
        </is>
      </c>
      <c r="E95" s="4" t="inlineStr">
        <is>
          <t>在抽屜插入可調整的隔板，把打蛋器、鍋鏟與湯匙分開；烘焙紙、保鮮膜、鋁箔捲則用可調式內盒收整齊。抽屜底鋪防滑墊可避免東西滑動刮傷，也好擦拭。</t>
        </is>
      </c>
      <c r="F95" s="4" t="inlineStr"/>
      <c r="G95" s="4" t="inlineStr">
        <is>
          <t>VARIERA/UPPDATERA</t>
        </is>
      </c>
      <c r="H95" s="4" t="inlineStr">
        <is>
          <t>抽屜隔板</t>
        </is>
      </c>
      <c r="I95" s="4" t="inlineStr">
        <is>
          <t>IKEA</t>
        </is>
      </c>
      <c r="J95" s="4" t="inlineStr">
        <is>
          <t>IKEA US｜How to organize kitchen cabinets and drawers: 8 ideas that save time and space</t>
        </is>
      </c>
      <c r="K95" s="4" t="inlineStr">
        <is>
          <t>品牌官方</t>
        </is>
      </c>
      <c r="L95" s="5" t="inlineStr">
        <is>
          <t>https://www.ikea.com/us/en/rooms/kitchen/how-to/how-to-organize-kitchen-cabinets-and-drawers-8-ideas-that-save-time-and-space-pube8ed7a50/</t>
        </is>
      </c>
      <c r="M95" s="4" t="inlineStr"/>
      <c r="N95" s="4" t="inlineStr">
        <is>
          <t>2026-10-26</t>
        </is>
      </c>
      <c r="O95" s="4" t="inlineStr">
        <is>
          <t>en</t>
        </is>
      </c>
      <c r="P95" s="4" t="inlineStr">
        <is>
          <t>high</t>
        </is>
      </c>
    </row>
    <row r="96">
      <c r="A96" s="4" t="inlineStr">
        <is>
          <t>TB-095</t>
        </is>
      </c>
      <c r="B96" s="4" t="inlineStr">
        <is>
          <t>廚房</t>
        </is>
      </c>
      <c r="C96" s="4" t="inlineStr">
        <is>
          <t>分區/盒子</t>
        </is>
      </c>
      <c r="D96" s="4" t="inlineStr">
        <is>
          <t>沒有抽屜就用盒子依功能分組</t>
        </is>
      </c>
      <c r="E96" s="4" t="inlineStr">
        <is>
          <t>廚房沒有抽屜時，用較小的容器與盒子依功能分組，例如鍋具放一起並加鍋蓋架，深櫃裡也能一眼看清；烤箱下方的抽屜適合收烤盤、托盤與餐墊等扁平物，能整齊疊放。</t>
        </is>
      </c>
      <c r="F96" s="4" t="inlineStr"/>
      <c r="G96" s="4" t="inlineStr"/>
      <c r="H96" s="4" t="inlineStr">
        <is>
          <t>抽屜隔板</t>
        </is>
      </c>
      <c r="I96" s="4" t="inlineStr">
        <is>
          <t>IKEA</t>
        </is>
      </c>
      <c r="J96" s="4" t="inlineStr">
        <is>
          <t>IKEA US｜How to organize kitchen cabinets and drawers: 8 ideas that save time and space</t>
        </is>
      </c>
      <c r="K96" s="4" t="inlineStr">
        <is>
          <t>品牌官方</t>
        </is>
      </c>
      <c r="L96" s="5" t="inlineStr">
        <is>
          <t>https://www.ikea.com/us/en/rooms/kitchen/how-to/how-to-organize-kitchen-cabinets-and-drawers-8-ideas-that-save-time-and-space-pube8ed7a50/</t>
        </is>
      </c>
      <c r="M96" s="4" t="inlineStr"/>
      <c r="N96" s="4" t="inlineStr">
        <is>
          <t>2026-10-26</t>
        </is>
      </c>
      <c r="O96" s="4" t="inlineStr">
        <is>
          <t>en</t>
        </is>
      </c>
      <c r="P96" s="4" t="inlineStr">
        <is>
          <t>high</t>
        </is>
      </c>
    </row>
    <row r="97">
      <c r="A97" s="4" t="inlineStr">
        <is>
          <t>TB-096</t>
        </is>
      </c>
      <c r="B97" s="4" t="inlineStr">
        <is>
          <t>廚房</t>
        </is>
      </c>
      <c r="C97" s="4" t="inlineStr">
        <is>
          <t>網片配件/門板</t>
        </is>
      </c>
      <c r="D97" s="4" t="inlineStr">
        <is>
          <t>櫃門內側裝洞洞板做香料架</t>
        </is>
      </c>
      <c r="E97" s="4" t="inlineStr">
        <is>
          <t>用洞洞板組合做簡單的香料架，可裝在廚櫃門內側或爐台附近方便的位置，節省櫃內與檯面空間，找調味料也更快。</t>
        </is>
      </c>
      <c r="F97" s="4" t="inlineStr"/>
      <c r="G97" s="4" t="inlineStr">
        <is>
          <t>SKÅDIS</t>
        </is>
      </c>
      <c r="H97" s="4" t="inlineStr">
        <is>
          <t>網片配件</t>
        </is>
      </c>
      <c r="I97" s="4" t="inlineStr">
        <is>
          <t>IKEA</t>
        </is>
      </c>
      <c r="J97" s="4" t="inlineStr">
        <is>
          <t>IKEA Philippines｜Custom walls with IKEA pegboards</t>
        </is>
      </c>
      <c r="K97" s="4" t="inlineStr">
        <is>
          <t>品牌官方</t>
        </is>
      </c>
      <c r="L97" s="5" t="inlineStr">
        <is>
          <t>https://www.ikea.com/ph/en/ideas/custom-walls-with-ikea-pegboards-pubcd140fa0/</t>
        </is>
      </c>
      <c r="M97" s="4" t="inlineStr"/>
      <c r="N97" s="4" t="inlineStr">
        <is>
          <t>2026-10-26</t>
        </is>
      </c>
      <c r="O97" s="4" t="inlineStr">
        <is>
          <t>en</t>
        </is>
      </c>
      <c r="P97" s="4" t="inlineStr">
        <is>
          <t>high</t>
        </is>
      </c>
    </row>
    <row r="98">
      <c r="A98" s="4" t="inlineStr">
        <is>
          <t>TB-097</t>
        </is>
      </c>
      <c r="B98" s="4" t="inlineStr">
        <is>
          <t>浴室</t>
        </is>
      </c>
      <c r="C98" s="4" t="inlineStr">
        <is>
          <t>網片配件/壁面</t>
        </is>
      </c>
      <c r="D98" s="4" t="inlineStr">
        <is>
          <t>小浴室牆上裝洞洞板加層板與小盒</t>
        </is>
      </c>
      <c r="E98" s="4" t="inlineStr">
        <is>
          <t>小浴室可在牆上裝有層板的洞洞板，收護髮與美妝品；洞洞板用的小收納盒可放牙膏、牙刷，連不方便的小角落也能利用。</t>
        </is>
      </c>
      <c r="F98" s="4" t="inlineStr"/>
      <c r="G98" s="4" t="inlineStr">
        <is>
          <t>SKÅDIS</t>
        </is>
      </c>
      <c r="H98" s="4" t="inlineStr">
        <is>
          <t>網片配件</t>
        </is>
      </c>
      <c r="I98" s="4" t="inlineStr">
        <is>
          <t>IKEA</t>
        </is>
      </c>
      <c r="J98" s="4" t="inlineStr">
        <is>
          <t>IKEA Philippines｜Custom walls with IKEA pegboards</t>
        </is>
      </c>
      <c r="K98" s="4" t="inlineStr">
        <is>
          <t>品牌官方</t>
        </is>
      </c>
      <c r="L98" s="5" t="inlineStr">
        <is>
          <t>https://www.ikea.com/ph/en/ideas/custom-walls-with-ikea-pegboards-pubcd140fa0/</t>
        </is>
      </c>
      <c r="M98" s="4" t="inlineStr"/>
      <c r="N98" s="4" t="inlineStr">
        <is>
          <t>2026-10-26</t>
        </is>
      </c>
      <c r="O98" s="4" t="inlineStr">
        <is>
          <t>en</t>
        </is>
      </c>
      <c r="P98" s="4" t="inlineStr">
        <is>
          <t>high</t>
        </is>
      </c>
    </row>
    <row r="99">
      <c r="A99" s="4" t="inlineStr">
        <is>
          <t>TB-098</t>
        </is>
      </c>
      <c r="B99" s="4" t="inlineStr">
        <is>
          <t>浴室</t>
        </is>
      </c>
      <c r="C99" s="4" t="inlineStr">
        <is>
          <t>免打孔/吊掛</t>
        </is>
      </c>
      <c r="D99" s="4" t="inlineStr">
        <is>
          <t>洗衣間用門後衣架與吸盤掛籃</t>
        </is>
      </c>
      <c r="E99" s="4" t="inlineStr">
        <is>
          <t>狹小的洗衣間可用門後衣架、夾式衣架、附吸盤的掛籃與掛勾，不必在牆上打洞，可隨需要放置、移動與換位置；畚箕與清潔刷掛到牆上，洗衣精倒入透明瓶罐。</t>
        </is>
      </c>
      <c r="F99" s="4" t="inlineStr"/>
      <c r="G99" s="4" t="inlineStr">
        <is>
          <t>PÅLYCKE</t>
        </is>
      </c>
      <c r="H99" s="4" t="inlineStr">
        <is>
          <t>掛勾/吊掛收納</t>
        </is>
      </c>
      <c r="I99" s="4" t="inlineStr">
        <is>
          <t>IKEA</t>
        </is>
      </c>
      <c r="J99" s="4" t="inlineStr">
        <is>
          <t>IKEA 台灣 佈置靈感｜整理洗衣房的聰明巧思</t>
        </is>
      </c>
      <c r="K99" s="4" t="inlineStr">
        <is>
          <t>品牌官方</t>
        </is>
      </c>
      <c r="L99" s="5" t="inlineStr">
        <is>
          <t>https://www.ikea.com.tw/zh/inspirations/clever-ideas-to-organise-your-laundry-room</t>
        </is>
      </c>
      <c r="M99" s="4" t="inlineStr"/>
      <c r="N99" s="4" t="inlineStr">
        <is>
          <t>2026-10-26</t>
        </is>
      </c>
      <c r="O99" s="4" t="inlineStr">
        <is>
          <t>zh-TW</t>
        </is>
      </c>
      <c r="P99" s="4" t="inlineStr">
        <is>
          <t>high</t>
        </is>
      </c>
    </row>
    <row r="100">
      <c r="A100" s="4" t="inlineStr">
        <is>
          <t>TB-099</t>
        </is>
      </c>
      <c r="B100" s="4" t="inlineStr">
        <is>
          <t>抽屜</t>
        </is>
      </c>
      <c r="C100" s="4" t="inlineStr">
        <is>
          <t>分區/盒子</t>
        </is>
      </c>
      <c r="D100" s="4" t="inlineStr">
        <is>
          <t>抽屜混搭不同尺寸收納盒</t>
        </is>
      </c>
      <c r="E100" s="4" t="inlineStr">
        <is>
          <t>在抽屜裡混搭不同尺寸的儲物盒，所有物件一目瞭然，需要時整盒拿出即可；書桌、廚房檯面或玄關的雜物也可用分隔式儲物格收納。</t>
        </is>
      </c>
      <c r="F100" s="4" t="inlineStr"/>
      <c r="G100" s="4" t="inlineStr">
        <is>
          <t>NOJIG/KUGGIS</t>
        </is>
      </c>
      <c r="H100" s="4" t="inlineStr">
        <is>
          <t>抽屜隔板</t>
        </is>
      </c>
      <c r="I100" s="4" t="inlineStr">
        <is>
          <t>IKEA</t>
        </is>
      </c>
      <c r="J100" s="4" t="inlineStr">
        <is>
          <t>IKEA 台灣 空間靈感｜7個收納小秘訣，讓生活更輕鬆便利</t>
        </is>
      </c>
      <c r="K100" s="4" t="inlineStr">
        <is>
          <t>品牌官方</t>
        </is>
      </c>
      <c r="L100" s="5" t="inlineStr">
        <is>
          <t>https://www.ikea.com.tw/zh/galleries/7-home-organisation-ideas-for-a-smoother-everyday-flow</t>
        </is>
      </c>
      <c r="M100" s="4" t="inlineStr"/>
      <c r="N100" s="4" t="inlineStr">
        <is>
          <t>2026-10-26</t>
        </is>
      </c>
      <c r="O100" s="4" t="inlineStr">
        <is>
          <t>zh-TW</t>
        </is>
      </c>
      <c r="P100" s="4" t="inlineStr">
        <is>
          <t>high</t>
        </is>
      </c>
    </row>
    <row r="101">
      <c r="A101" s="4" t="inlineStr">
        <is>
          <t>TB-100</t>
        </is>
      </c>
      <c r="B101" s="4" t="inlineStr">
        <is>
          <t>玄關</t>
        </is>
      </c>
      <c r="C101" s="4" t="inlineStr">
        <is>
          <t>掛桿/掛勾</t>
        </is>
      </c>
      <c r="D101" s="4" t="inlineStr">
        <is>
          <t>玄關裝掛桿並加一排兒童高度掛鉤</t>
        </is>
      </c>
      <c r="E101" s="4" t="inlineStr">
        <is>
          <t>玄關衣物堆積時，掛桿是最實用的收納小物，貼上標籤更清楚；再安裝一排符合小朋友身高的掛鉤，讓孩子養成順手收好的習慣。</t>
        </is>
      </c>
      <c r="F101" s="4" t="inlineStr"/>
      <c r="G101" s="4" t="inlineStr"/>
      <c r="H101" s="4" t="inlineStr">
        <is>
          <t>掛勾/吊掛收納</t>
        </is>
      </c>
      <c r="I101" s="4" t="inlineStr">
        <is>
          <t>IKEA</t>
        </is>
      </c>
      <c r="J101" s="4" t="inlineStr">
        <is>
          <t>IKEA 台灣 空間靈感｜7個收納小秘訣，讓生活更輕鬆便利</t>
        </is>
      </c>
      <c r="K101" s="4" t="inlineStr">
        <is>
          <t>品牌官方</t>
        </is>
      </c>
      <c r="L101" s="5" t="inlineStr">
        <is>
          <t>https://www.ikea.com.tw/zh/galleries/7-home-organisation-ideas-for-a-smoother-everyday-flow</t>
        </is>
      </c>
      <c r="M101" s="4" t="inlineStr"/>
      <c r="N101" s="4" t="inlineStr">
        <is>
          <t>2026-10-26</t>
        </is>
      </c>
      <c r="O101" s="4" t="inlineStr">
        <is>
          <t>zh-TW</t>
        </is>
      </c>
      <c r="P101" s="4" t="inlineStr">
        <is>
          <t>high</t>
        </is>
      </c>
    </row>
    <row r="102">
      <c r="A102" s="4" t="inlineStr">
        <is>
          <t>TB-101</t>
        </is>
      </c>
      <c r="B102" s="4" t="inlineStr">
        <is>
          <t>衣櫃</t>
        </is>
      </c>
      <c r="C102" s="4" t="inlineStr">
        <is>
          <t>吊掛</t>
        </is>
      </c>
      <c r="D102" s="4" t="inlineStr">
        <is>
          <t>吊衣桿配掛袋分類配件</t>
        </is>
      </c>
      <c r="E102" s="4" t="inlineStr">
        <is>
          <t>懶得摺的衣物用吊衣桿直接掛起；帽子、襪子、圍巾等配件依類別放入掛袋，視覺上立刻清爽，適合椅子常被當成掛衣架、衣物堆成小山的情況。</t>
        </is>
      </c>
      <c r="F102" s="4" t="inlineStr"/>
      <c r="G102" s="4" t="inlineStr">
        <is>
          <t>RIGGA/STUK</t>
        </is>
      </c>
      <c r="H102" s="4" t="inlineStr">
        <is>
          <t>吊掛收納</t>
        </is>
      </c>
      <c r="I102" s="4" t="inlineStr">
        <is>
          <t>IKEA</t>
        </is>
      </c>
      <c r="J102" s="4" t="inlineStr">
        <is>
          <t>IKEA 台灣 佈置靈感｜破解收納難題：兩大直覺系收納術</t>
        </is>
      </c>
      <c r="K102" s="4" t="inlineStr">
        <is>
          <t>品牌官方</t>
        </is>
      </c>
      <c r="L102" s="5" t="inlineStr">
        <is>
          <t>https://www.ikea.com.tw/zh/inspirations/two-simple-habits-to-reclaim-your-space</t>
        </is>
      </c>
      <c r="M102" s="4" t="inlineStr"/>
      <c r="N102" s="4" t="inlineStr">
        <is>
          <t>2026-10-26</t>
        </is>
      </c>
      <c r="O102" s="4" t="inlineStr">
        <is>
          <t>zh-TW</t>
        </is>
      </c>
      <c r="P102" s="4" t="inlineStr">
        <is>
          <t>high</t>
        </is>
      </c>
    </row>
    <row r="103">
      <c r="A103" s="4" t="inlineStr">
        <is>
          <t>TB-102</t>
        </is>
      </c>
      <c r="B103" s="4" t="inlineStr">
        <is>
          <t>玄關</t>
        </is>
      </c>
      <c r="C103" s="4" t="inlineStr">
        <is>
          <t>門板/掛勾</t>
        </is>
      </c>
      <c r="D103" s="4" t="inlineStr">
        <is>
          <t>不想釘牆就用門後掛勾</t>
        </is>
      </c>
      <c r="E103" s="4" t="inlineStr">
        <is>
          <t>回家脫下的外套、鑰匙容易亂放，可用多高度掛鉤的衣帽架；若不想在牆上釘釘子，門後掛勾可隨手掛包包與外套，不佔空間，適合租屋族。</t>
        </is>
      </c>
      <c r="F103" s="4" t="inlineStr"/>
      <c r="G103" s="4" t="inlineStr">
        <is>
          <t>ENUDDEN</t>
        </is>
      </c>
      <c r="H103" s="4" t="inlineStr">
        <is>
          <t>掛勾</t>
        </is>
      </c>
      <c r="I103" s="4" t="inlineStr">
        <is>
          <t>IKEA</t>
        </is>
      </c>
      <c r="J103" s="4" t="inlineStr">
        <is>
          <t>IKEA 台灣 佈置靈感｜破解收納難題：兩大直覺系收納術</t>
        </is>
      </c>
      <c r="K103" s="4" t="inlineStr">
        <is>
          <t>品牌官方</t>
        </is>
      </c>
      <c r="L103" s="5" t="inlineStr">
        <is>
          <t>https://www.ikea.com.tw/zh/inspirations/two-simple-habits-to-reclaim-your-space</t>
        </is>
      </c>
      <c r="M103" s="4" t="inlineStr"/>
      <c r="N103" s="4" t="inlineStr">
        <is>
          <t>2026-10-26</t>
        </is>
      </c>
      <c r="O103" s="4" t="inlineStr">
        <is>
          <t>zh-TW</t>
        </is>
      </c>
      <c r="P103" s="4" t="inlineStr">
        <is>
          <t>high</t>
        </is>
      </c>
    </row>
    <row r="104">
      <c r="A104" s="4" t="inlineStr">
        <is>
          <t>TB-103</t>
        </is>
      </c>
      <c r="B104" s="4" t="inlineStr">
        <is>
          <t>通用</t>
        </is>
      </c>
      <c r="C104" s="4" t="inlineStr">
        <is>
          <t>透明/堆疊</t>
        </is>
      </c>
      <c r="D104" s="4" t="inlineStr">
        <is>
          <t>季節物品用可堆疊透明盒</t>
        </is>
      </c>
      <c r="E104" s="4" t="inlineStr">
        <is>
          <t>可堆疊的收納盒適合收季節性物品或需防塵防潮的作品；透明塑膠材質一目瞭然，不貼標也能找到。小物則集中在淺盒或透明盒，一眼看到。</t>
        </is>
      </c>
      <c r="F104" s="4" t="inlineStr"/>
      <c r="G104" s="4" t="inlineStr"/>
      <c r="H104" s="4" t="inlineStr"/>
      <c r="I104" s="4" t="inlineStr">
        <is>
          <t>IKEA</t>
        </is>
      </c>
      <c r="J104" s="4" t="inlineStr">
        <is>
          <t>IKEA 台灣 佈置靈感｜適用整個家的收納小創意</t>
        </is>
      </c>
      <c r="K104" s="4" t="inlineStr">
        <is>
          <t>品牌官方</t>
        </is>
      </c>
      <c r="L104" s="5" t="inlineStr">
        <is>
          <t>https://www.ikea.com.tw/zh/inspirations/small-storage-ideas-across-the-home</t>
        </is>
      </c>
      <c r="M104" s="4" t="inlineStr"/>
      <c r="N104" s="4" t="inlineStr">
        <is>
          <t>2026-10-26</t>
        </is>
      </c>
      <c r="O104" s="4" t="inlineStr">
        <is>
          <t>zh-TW</t>
        </is>
      </c>
      <c r="P104" s="4" t="inlineStr">
        <is>
          <t>high</t>
        </is>
      </c>
    </row>
    <row r="105">
      <c r="A105" s="4" t="inlineStr">
        <is>
          <t>TB-104</t>
        </is>
      </c>
      <c r="B105" s="4" t="inlineStr">
        <is>
          <t>通用</t>
        </is>
      </c>
      <c r="C105" s="4" t="inlineStr">
        <is>
          <t>縫隙/閒置空間</t>
        </is>
      </c>
      <c r="D105" s="4" t="inlineStr">
        <is>
          <t>門後、角落與沙發下都能收納</t>
        </is>
      </c>
      <c r="E105" s="4" t="inlineStr">
        <is>
          <t>小公寓也能利用門後、閒置角落或沙發下這些意想不到的位置做收納；門窗上方的閒置空間，也可用小收納盒變成放物品的地方。</t>
        </is>
      </c>
      <c r="F105" s="4" t="inlineStr"/>
      <c r="G105" s="4" t="inlineStr"/>
      <c r="H105" s="4" t="inlineStr"/>
      <c r="I105" s="4" t="inlineStr">
        <is>
          <t>IKEA</t>
        </is>
      </c>
      <c r="J105" s="4" t="inlineStr">
        <is>
          <t>IKEA 台灣 佈置靈感｜適用整個家的收納小創意</t>
        </is>
      </c>
      <c r="K105" s="4" t="inlineStr">
        <is>
          <t>品牌官方</t>
        </is>
      </c>
      <c r="L105" s="5" t="inlineStr">
        <is>
          <t>https://www.ikea.com.tw/zh/inspirations/small-storage-ideas-across-the-home</t>
        </is>
      </c>
      <c r="M105" s="4" t="inlineStr"/>
      <c r="N105" s="4" t="inlineStr">
        <is>
          <t>2026-10-26</t>
        </is>
      </c>
      <c r="O105" s="4" t="inlineStr">
        <is>
          <t>zh-TW</t>
        </is>
      </c>
      <c r="P105" s="4" t="inlineStr">
        <is>
          <t>high</t>
        </is>
      </c>
    </row>
    <row r="106">
      <c r="A106" s="4" t="inlineStr">
        <is>
          <t>TB-105</t>
        </is>
      </c>
      <c r="B106" s="4" t="inlineStr">
        <is>
          <t>衣櫃</t>
        </is>
      </c>
      <c r="C106" s="4" t="inlineStr">
        <is>
          <t>捲收/床下</t>
        </is>
      </c>
      <c r="D106" s="4" t="inlineStr">
        <is>
          <t>衣物捲起放收納盒再塞床下或衣櫃</t>
        </is>
      </c>
      <c r="E106" s="4" t="inlineStr">
        <is>
          <t>把衣物捲起收納，能完整利用空間並減少摺痕；換季衣物或寢具捲好放入收納盒，再放到床下或衣櫃裡，需要時整盒拉出。</t>
        </is>
      </c>
      <c r="F106" s="4" t="inlineStr"/>
      <c r="G106" s="4" t="inlineStr">
        <is>
          <t>SKUBB</t>
        </is>
      </c>
      <c r="H106" s="4" t="inlineStr"/>
      <c r="I106" s="4" t="inlineStr">
        <is>
          <t>IKEA</t>
        </is>
      </c>
      <c r="J106" s="4" t="inlineStr">
        <is>
          <t>IKEA 台灣 佈置靈感｜通通裝得下：小空間的收納秘訣</t>
        </is>
      </c>
      <c r="K106" s="4" t="inlineStr">
        <is>
          <t>品牌官方</t>
        </is>
      </c>
      <c r="L106" s="5" t="inlineStr">
        <is>
          <t>https://www.ikea.com.tw/zh/inspirations/storage-ideas-for-small-spaces</t>
        </is>
      </c>
      <c r="M106" s="4" t="inlineStr"/>
      <c r="N106" s="4" t="inlineStr">
        <is>
          <t>2026-10-26</t>
        </is>
      </c>
      <c r="O106" s="4" t="inlineStr">
        <is>
          <t>zh-TW</t>
        </is>
      </c>
      <c r="P106" s="4" t="inlineStr">
        <is>
          <t>high</t>
        </is>
      </c>
    </row>
    <row r="107">
      <c r="A107" s="4" t="inlineStr">
        <is>
          <t>TB-106</t>
        </is>
      </c>
      <c r="B107" s="4" t="inlineStr">
        <is>
          <t>衣櫃</t>
        </is>
      </c>
      <c r="C107" s="4" t="inlineStr">
        <is>
          <t>吊掛</t>
        </is>
      </c>
      <c r="D107" s="4" t="inlineStr">
        <is>
          <t>圍巾皮帶用掛式收納</t>
        </is>
      </c>
      <c r="E107" s="4" t="inlineStr">
        <is>
          <t>把物件掛起來能騰出收納空間：襯衫、裙子、長褲掛起防皺，依顏色排列更好找；圍巾、皮帶等配件也能用掛式收納存放，方便找取又省空間。</t>
        </is>
      </c>
      <c r="F107" s="4" t="inlineStr"/>
      <c r="G107" s="4" t="inlineStr"/>
      <c r="H107" s="4" t="inlineStr">
        <is>
          <t>吊掛收納</t>
        </is>
      </c>
      <c r="I107" s="4" t="inlineStr">
        <is>
          <t>IKEA</t>
        </is>
      </c>
      <c r="J107" s="4" t="inlineStr">
        <is>
          <t>IKEA 台灣｜五個整理衣櫃的小妙招</t>
        </is>
      </c>
      <c r="K107" s="4" t="inlineStr">
        <is>
          <t>品牌官方</t>
        </is>
      </c>
      <c r="L107" s="5" t="inlineStr">
        <is>
          <t>https://www.ikea.com.tw/zh/rooms/bedroom/how-to/getting-the-best-from-a-wardrobe</t>
        </is>
      </c>
      <c r="M107" s="4" t="inlineStr"/>
      <c r="N107" s="4" t="inlineStr">
        <is>
          <t>2026-10-26</t>
        </is>
      </c>
      <c r="O107" s="4" t="inlineStr">
        <is>
          <t>zh-TW</t>
        </is>
      </c>
      <c r="P107" s="4" t="inlineStr">
        <is>
          <t>high</t>
        </is>
      </c>
    </row>
    <row r="108">
      <c r="A108" s="4" t="inlineStr">
        <is>
          <t>TB-107</t>
        </is>
      </c>
      <c r="B108" s="4" t="inlineStr">
        <is>
          <t>廚房</t>
        </is>
      </c>
      <c r="C108" s="4" t="inlineStr">
        <is>
          <t>掛桿/掛勾</t>
        </is>
      </c>
      <c r="D108" s="4" t="inlineStr">
        <is>
          <t>壁掛桿加S形掛鉤與層板</t>
        </is>
      </c>
      <c r="E108" s="4" t="inlineStr">
        <is>
          <t>在廚房牆面結合層架與壁掛桿，掛上S形掛鉤與收納筒，平底鍋、湯鍋、小湯匙與調味料都隨手可得；壁掛桿、層板與掛鉤可自由搭配成適合自家的收納。</t>
        </is>
      </c>
      <c r="F108" s="4" t="inlineStr"/>
      <c r="G108" s="4" t="inlineStr">
        <is>
          <t>KUNGSFORS/HULTARP</t>
        </is>
      </c>
      <c r="H108" s="4" t="inlineStr">
        <is>
          <t>掛勾/吊掛收納</t>
        </is>
      </c>
      <c r="I108" s="4" t="inlineStr">
        <is>
          <t>IKEA</t>
        </is>
      </c>
      <c r="J108" s="4" t="inlineStr">
        <is>
          <t>IKEA 台灣｜廚房層架：創造收納空間，還能兼顧風格</t>
        </is>
      </c>
      <c r="K108" s="4" t="inlineStr">
        <is>
          <t>品牌官方</t>
        </is>
      </c>
      <c r="L108" s="5" t="inlineStr">
        <is>
          <t>https://www.ikea.com.tw/zh/rooms/kitchen/how-to/kitchen-shelf-ideas-to-maximise-storage-and-style</t>
        </is>
      </c>
      <c r="M108" s="4" t="inlineStr"/>
      <c r="N108" s="4" t="inlineStr">
        <is>
          <t>2026-10-26</t>
        </is>
      </c>
      <c r="O108" s="4" t="inlineStr">
        <is>
          <t>zh-TW</t>
        </is>
      </c>
      <c r="P108" s="4" t="inlineStr">
        <is>
          <t>high</t>
        </is>
      </c>
    </row>
    <row r="109">
      <c r="A109" s="4" t="inlineStr">
        <is>
          <t>TB-108</t>
        </is>
      </c>
      <c r="B109" s="4" t="inlineStr">
        <is>
          <t>玄關</t>
        </is>
      </c>
      <c r="C109" s="4" t="inlineStr">
        <is>
          <t>網片配件/掛勾</t>
        </is>
      </c>
      <c r="D109" s="4" t="inlineStr">
        <is>
          <t>玄關收納壁板放鑰匙眼鏡充電器</t>
        </is>
      </c>
      <c r="E109" s="4" t="inlineStr">
        <is>
          <t>玄關的收納壁板組適合放鑰匙、眼鏡、充電器等日常小物，可隨意加上掛鉤、收納筒、層架、磁夾與置物籃，再留一點空間貼便條；壁掛桿連掛鉤也能掛耳機、帽子、安全帽。</t>
        </is>
      </c>
      <c r="F109" s="4" t="inlineStr"/>
      <c r="G109" s="4" t="inlineStr"/>
      <c r="H109" s="4" t="inlineStr">
        <is>
          <t>網片配件/掛勾</t>
        </is>
      </c>
      <c r="I109" s="4" t="inlineStr">
        <is>
          <t>IKEA</t>
        </is>
      </c>
      <c r="J109" s="4" t="inlineStr">
        <is>
          <t>IKEA 台灣 佈置靈感｜以小朋友優先的家庭玄關收納法</t>
        </is>
      </c>
      <c r="K109" s="4" t="inlineStr">
        <is>
          <t>品牌官方</t>
        </is>
      </c>
      <c r="L109" s="5" t="inlineStr">
        <is>
          <t>https://www.ikea.com.tw/zh/inspirations/family-hallway-storage-ideas-putting-the-kids-first</t>
        </is>
      </c>
      <c r="M109" s="4" t="inlineStr"/>
      <c r="N109" s="4" t="inlineStr">
        <is>
          <t>2026-10-26</t>
        </is>
      </c>
      <c r="O109" s="4" t="inlineStr">
        <is>
          <t>zh-TW</t>
        </is>
      </c>
      <c r="P109" s="4" t="inlineStr">
        <is>
          <t>high</t>
        </is>
      </c>
    </row>
    <row r="110">
      <c r="A110" s="4" t="inlineStr">
        <is>
          <t>TB-109</t>
        </is>
      </c>
      <c r="B110" s="4" t="inlineStr">
        <is>
          <t>玄關</t>
        </is>
      </c>
      <c r="C110" s="4" t="inlineStr">
        <is>
          <t>窄牆/淺櫃</t>
        </is>
      </c>
      <c r="D110" s="4" t="inlineStr">
        <is>
          <t>門邊窄牆放淺型鞋櫃</t>
        </is>
      </c>
      <c r="E110" s="4" t="inlineStr">
        <is>
          <t>被門包圍的窄牆可以放深度僅18公分的淺型鞋櫃，收納不少鞋子，櫃頂還能當小擺飾層架；這類常被浪費的窄牆，也適合掛鑰匙或放留言板。</t>
        </is>
      </c>
      <c r="F110" s="4" t="inlineStr"/>
      <c r="G110" s="4" t="inlineStr">
        <is>
          <t>TRONES</t>
        </is>
      </c>
      <c r="H110" s="4" t="inlineStr"/>
      <c r="I110" s="4" t="inlineStr">
        <is>
          <t>IKEA</t>
        </is>
      </c>
      <c r="J110" s="4" t="inlineStr">
        <is>
          <t>IKEA 台灣 佈置靈感｜小空間也能有大創意，打造親子友善玄關</t>
        </is>
      </c>
      <c r="K110" s="4" t="inlineStr">
        <is>
          <t>品牌官方</t>
        </is>
      </c>
      <c r="L110" s="5" t="inlineStr">
        <is>
          <t>https://www.ikea.com.tw/zh/inspirations/kid-friendly-hallway-ideas-that-work-for-all-ages</t>
        </is>
      </c>
      <c r="M110" s="4" t="inlineStr"/>
      <c r="N110" s="4" t="inlineStr">
        <is>
          <t>2026-10-26</t>
        </is>
      </c>
      <c r="O110" s="4" t="inlineStr">
        <is>
          <t>zh-TW</t>
        </is>
      </c>
      <c r="P110" s="4" t="inlineStr">
        <is>
          <t>high</t>
        </is>
      </c>
    </row>
    <row r="111">
      <c r="A111" s="4" t="inlineStr">
        <is>
          <t>TB-110</t>
        </is>
      </c>
      <c r="B111" s="4" t="inlineStr">
        <is>
          <t>浴室</t>
        </is>
      </c>
      <c r="C111" s="4" t="inlineStr">
        <is>
          <t>免打孔/吸盤</t>
        </is>
      </c>
      <c r="D111" s="4" t="inlineStr">
        <is>
          <t>小浴室用吸盤置物籃與吸盤毛巾架</t>
        </is>
      </c>
      <c r="E111" s="4" t="inlineStr">
        <is>
          <t>小浴室可利用每個角落：吸盤式置物籃與毛巾架不必鑽孔，可放在任何想要的位置；附蓋玻璃容器可收原本散落的小物。空間不足時加一台推車，底層放衛生紙與清潔用品。</t>
        </is>
      </c>
      <c r="F111" s="4" t="inlineStr"/>
      <c r="G111" s="4" t="inlineStr">
        <is>
          <t>TISKEN</t>
        </is>
      </c>
      <c r="H111" s="4" t="inlineStr">
        <is>
          <t>吊掛收納</t>
        </is>
      </c>
      <c r="I111" s="4" t="inlineStr">
        <is>
          <t>IKEA</t>
        </is>
      </c>
      <c r="J111" s="4" t="inlineStr">
        <is>
          <t>IKEA 台灣 佈置靈感｜將趣味與和諧感融合進一間井然有序的浴室裡</t>
        </is>
      </c>
      <c r="K111" s="4" t="inlineStr">
        <is>
          <t>品牌官方</t>
        </is>
      </c>
      <c r="L111" s="5" t="inlineStr">
        <is>
          <t>https://www.ikea.com.tw/zh/inspirations/playful-harmony-in-a-super-organised-bathroom</t>
        </is>
      </c>
      <c r="M111" s="4" t="inlineStr"/>
      <c r="N111" s="4" t="inlineStr">
        <is>
          <t>2026-10-26</t>
        </is>
      </c>
      <c r="O111" s="4" t="inlineStr">
        <is>
          <t>zh-TW</t>
        </is>
      </c>
      <c r="P111" s="4" t="inlineStr">
        <is>
          <t>high</t>
        </is>
      </c>
    </row>
    <row r="112">
      <c r="A112" s="4" t="inlineStr">
        <is>
          <t>TB-111</t>
        </is>
      </c>
      <c r="B112" s="4" t="inlineStr">
        <is>
          <t>玄關</t>
        </is>
      </c>
      <c r="C112" s="4" t="inlineStr">
        <is>
          <t>伸縮棒</t>
        </is>
      </c>
      <c r="D112" s="4" t="inlineStr">
        <is>
          <t>兩支伸縮棒加鞋架做鞋子層</t>
        </is>
      </c>
      <c r="E112" s="4" t="inlineStr">
        <is>
          <t>把兩支伸縮棒調成相同長度，架上專用鞋架就能做出一層放鞋的空間，可疊兩層。伸縮棒要在各尺寸可伸縮範圍的一半以內使用。</t>
        </is>
      </c>
      <c r="F112" s="4" t="inlineStr">
        <is>
          <t>把兩支伸縮棒調到與設置處同寬且長度一致；將伸縮棒端蓋由上往下嵌入鞋架凹槽</t>
        </is>
      </c>
      <c r="G112" s="4" t="inlineStr"/>
      <c r="H112" s="4" t="inlineStr">
        <is>
          <t>伸縮棒/伸縮層架</t>
        </is>
      </c>
      <c r="I112" s="4" t="inlineStr">
        <is>
          <t>DAISO</t>
        </is>
      </c>
      <c r="J112" s="4" t="inlineStr">
        <is>
          <t>ダイソーネットストア【公式】｜つっぱり棒用シューズラック（２個）商品ページ 使用例</t>
        </is>
      </c>
      <c r="K112" s="4" t="inlineStr">
        <is>
          <t>品牌官方</t>
        </is>
      </c>
      <c r="L112" s="5" t="inlineStr">
        <is>
          <t>https://jp.daisonet.com/products/4550480280226</t>
        </is>
      </c>
      <c r="M112" s="4" t="inlineStr"/>
      <c r="N112" s="4" t="inlineStr">
        <is>
          <t>2026-10-26</t>
        </is>
      </c>
      <c r="O112" s="4" t="inlineStr">
        <is>
          <t>ja</t>
        </is>
      </c>
      <c r="P112" s="4" t="inlineStr">
        <is>
          <t>high</t>
        </is>
      </c>
    </row>
    <row r="113">
      <c r="A113" s="4" t="inlineStr">
        <is>
          <t>TB-112</t>
        </is>
      </c>
      <c r="B113" s="4" t="inlineStr">
        <is>
          <t>通用</t>
        </is>
      </c>
      <c r="C113" s="4" t="inlineStr">
        <is>
          <t>伸縮棒/伸縮層架</t>
        </is>
      </c>
      <c r="D113" s="4" t="inlineStr">
        <is>
          <t>兩支伸縮桿架板做貼牆層架</t>
        </is>
      </c>
      <c r="E113" s="4" t="inlineStr">
        <is>
          <t>用兩支伸縮桿搭配專用棚板，就能在廚房、廁所或衣櫃做出貼牆的層架；耐重取決於所用伸縮桿。想更牢固可用束帶固定棚板與桿子，安裝時保持水平，不要放貴重或易碎物。</t>
        </is>
      </c>
      <c r="F113" s="4" t="inlineStr">
        <is>
          <t>把棚板貼在預定位置，在左右牆面標記；依標記裝上兩支伸縮桿；棚板鉤面朝上塞到前桿，再轉過來掛到後桿並調整水平</t>
        </is>
      </c>
      <c r="G113" s="4" t="inlineStr"/>
      <c r="H113" s="4" t="inlineStr">
        <is>
          <t>伸縮棒/伸縮層架</t>
        </is>
      </c>
      <c r="I113" s="4" t="inlineStr">
        <is>
          <t>DAISO</t>
        </is>
      </c>
      <c r="J113" s="4" t="inlineStr">
        <is>
          <t>ダイソーネットストア【公式】｜棚（つっぱりポール用）商品ページ 使用例・取付方法</t>
        </is>
      </c>
      <c r="K113" s="4" t="inlineStr">
        <is>
          <t>品牌官方</t>
        </is>
      </c>
      <c r="L113" s="5" t="inlineStr">
        <is>
          <t>https://jp.daisonet.com/products/4549131532456</t>
        </is>
      </c>
      <c r="M113" s="4" t="inlineStr"/>
      <c r="N113" s="4" t="inlineStr">
        <is>
          <t>2026-10-26</t>
        </is>
      </c>
      <c r="O113" s="4" t="inlineStr">
        <is>
          <t>ja</t>
        </is>
      </c>
      <c r="P113" s="4" t="inlineStr">
        <is>
          <t>high</t>
        </is>
      </c>
    </row>
    <row r="114">
      <c r="A114" s="4" t="inlineStr">
        <is>
          <t>TB-113</t>
        </is>
      </c>
      <c r="B114" s="4" t="inlineStr">
        <is>
          <t>通用</t>
        </is>
      </c>
      <c r="C114" s="4" t="inlineStr">
        <is>
          <t>伸縮棒/伸縮層架</t>
        </is>
      </c>
      <c r="D114" s="4" t="inlineStr">
        <is>
          <t>在現有伸縮層架上加掛一片棚板</t>
        </is>
      </c>
      <c r="E114" s="4" t="inlineStr">
        <is>
          <t>專用棚板除了可架在兩支伸縮桿上，也能掛到已安裝好的伸縮層架上增加一層；先確認伸縮層架已牢固，再把棚板鉤面朝上壓進最前面的桿子並轉過來掛上。</t>
        </is>
      </c>
      <c r="F114" s="4" t="inlineStr">
        <is>
          <t>確認伸縮層架已固定；棚板鉤面朝上壓進最前方的桿；轉動棚板掛到層架上</t>
        </is>
      </c>
      <c r="G114" s="4" t="inlineStr"/>
      <c r="H114" s="4" t="inlineStr">
        <is>
          <t>伸縮棒/伸縮層架</t>
        </is>
      </c>
      <c r="I114" s="4" t="inlineStr">
        <is>
          <t>DAISO</t>
        </is>
      </c>
      <c r="J114" s="4" t="inlineStr">
        <is>
          <t>ダイソーネットストア【公式】｜つっぱり棒用棚 商品ページ 取付方法</t>
        </is>
      </c>
      <c r="K114" s="4" t="inlineStr">
        <is>
          <t>品牌官方</t>
        </is>
      </c>
      <c r="L114" s="5" t="inlineStr">
        <is>
          <t>https://jp.daisonet.com/products/4550480910543</t>
        </is>
      </c>
      <c r="M114" s="4" t="inlineStr"/>
      <c r="N114" s="4" t="inlineStr">
        <is>
          <t>2026-10-26</t>
        </is>
      </c>
      <c r="O114" s="4" t="inlineStr">
        <is>
          <t>ja</t>
        </is>
      </c>
      <c r="P114" s="4" t="inlineStr">
        <is>
          <t>high</t>
        </is>
      </c>
    </row>
    <row r="115">
      <c r="A115" s="4" t="inlineStr">
        <is>
          <t>TB-114</t>
        </is>
      </c>
      <c r="B115" s="4" t="inlineStr">
        <is>
          <t>通用</t>
        </is>
      </c>
      <c r="C115" s="4" t="inlineStr">
        <is>
          <t>伸縮棒/掛勾</t>
        </is>
      </c>
      <c r="D115" s="4" t="inlineStr">
        <is>
          <t>伸縮棒加J型掛勾吊小物</t>
        </is>
      </c>
      <c r="E115" s="4" t="inlineStr">
        <is>
          <t>在伸縮棒上裝J型掛勾（需另購專用底座），就能吊掛各種小物、利用空間；每個掛勾耐重約500g（實測值、非保證值）。</t>
        </is>
      </c>
      <c r="F115" s="4" t="inlineStr"/>
      <c r="G115" s="4" t="inlineStr"/>
      <c r="H115" s="4" t="inlineStr">
        <is>
          <t>伸縮棒/掛勾</t>
        </is>
      </c>
      <c r="I115" s="4" t="inlineStr">
        <is>
          <t>DAISO</t>
        </is>
      </c>
      <c r="J115" s="4" t="inlineStr">
        <is>
          <t>ダイソーネットストア【公式】｜つっぱり棒収納（Ｊフック、５個）商品ページ</t>
        </is>
      </c>
      <c r="K115" s="4" t="inlineStr">
        <is>
          <t>品牌官方</t>
        </is>
      </c>
      <c r="L115" s="5" t="inlineStr">
        <is>
          <t>https://jp.daisonet.com/products/4550480131320</t>
        </is>
      </c>
      <c r="M115" s="4" t="inlineStr"/>
      <c r="N115" s="4" t="inlineStr">
        <is>
          <t>2026-10-26</t>
        </is>
      </c>
      <c r="O115" s="4" t="inlineStr">
        <is>
          <t>ja</t>
        </is>
      </c>
      <c r="P115" s="4" t="inlineStr">
        <is>
          <t>high</t>
        </is>
      </c>
    </row>
    <row r="116">
      <c r="A116" s="4" t="inlineStr">
        <is>
          <t>TB-115</t>
        </is>
      </c>
      <c r="B116" s="4" t="inlineStr">
        <is>
          <t>廚房</t>
        </is>
      </c>
      <c r="C116" s="4" t="inlineStr">
        <is>
          <t>鐵網/掛勾</t>
        </is>
      </c>
      <c r="D116" s="4" t="inlineStr">
        <is>
          <t>鐵網掛在廚房或浴室牆面再加掛勾籃子</t>
        </is>
      </c>
      <c r="E116" s="4" t="inlineStr">
        <is>
          <t>把鐵網掛在廚房或浴室牆上，加裝專用掛勾或籃子就能收小物；鐵網也能用束帶或專用連接件互相連結，組成盒子或架子。</t>
        </is>
      </c>
      <c r="F116" s="4" t="inlineStr"/>
      <c r="G116" s="4" t="inlineStr"/>
      <c r="H116" s="4" t="inlineStr">
        <is>
          <t>鐵網/掛勾/網片配件</t>
        </is>
      </c>
      <c r="I116" s="4" t="inlineStr">
        <is>
          <t>DAISO</t>
        </is>
      </c>
      <c r="J116" s="4" t="inlineStr">
        <is>
          <t>ダイソーオンラインショップ【公式】｜ワイヤーネット（約80cm×29.5cm、ホワイト）商品説明</t>
        </is>
      </c>
      <c r="K116" s="4" t="inlineStr">
        <is>
          <t>品牌官方</t>
        </is>
      </c>
      <c r="L116" s="5" t="inlineStr">
        <is>
          <t>https://jpbulk.daisonet.com/products/4549131312065</t>
        </is>
      </c>
      <c r="M116" s="4" t="inlineStr"/>
      <c r="N116" s="4" t="inlineStr">
        <is>
          <t>2026-10-26</t>
        </is>
      </c>
      <c r="O116" s="4" t="inlineStr">
        <is>
          <t>ja</t>
        </is>
      </c>
      <c r="P116" s="4" t="inlineStr">
        <is>
          <t>high</t>
        </is>
      </c>
    </row>
    <row r="117">
      <c r="A117" s="4" t="inlineStr">
        <is>
          <t>TB-116</t>
        </is>
      </c>
      <c r="B117" s="4" t="inlineStr">
        <is>
          <t>通用</t>
        </is>
      </c>
      <c r="C117" s="4" t="inlineStr">
        <is>
          <t>鐵網/掛勾</t>
        </is>
      </c>
      <c r="D117" s="4" t="inlineStr">
        <is>
          <t>用螺絲掛勾把鐵網掛在木柱上</t>
        </is>
      </c>
      <c r="E117" s="4" t="inlineStr">
        <is>
          <t>鐵網用掛勾裝在柱子、樑等木頭部位，掛勾讓鐵網與牆面留出空隙、好勾東西；耐重約3kg，會因安裝處強度而異。不可用在天花板，也不要在鐵網上吊掛或拉扯。</t>
        </is>
      </c>
      <c r="F117" s="4" t="inlineStr">
        <is>
          <t>決定上方掛勾位置並做記號；用錐子鑽導孔後以附帶木螺絲固定兩個上掛勾並掛上鐵網；下掛勾同樣方式固定；使用前確認強度</t>
        </is>
      </c>
      <c r="G117" s="4" t="inlineStr"/>
      <c r="H117" s="4" t="inlineStr">
        <is>
          <t>鐵網/掛勾</t>
        </is>
      </c>
      <c r="I117" s="4" t="inlineStr">
        <is>
          <t>DAISO</t>
        </is>
      </c>
      <c r="J117" s="4" t="inlineStr">
        <is>
          <t>ダイソーネットストア【公式】｜ワイヤーネット用 吊り下げフック ４個 商品ページ 取付方法</t>
        </is>
      </c>
      <c r="K117" s="4" t="inlineStr">
        <is>
          <t>品牌官方</t>
        </is>
      </c>
      <c r="L117" s="5" t="inlineStr">
        <is>
          <t>https://jp.daisonet.com/products/4549131483369</t>
        </is>
      </c>
      <c r="M117" s="4" t="inlineStr"/>
      <c r="N117" s="4" t="inlineStr">
        <is>
          <t>2026-10-26</t>
        </is>
      </c>
      <c r="O117" s="4" t="inlineStr">
        <is>
          <t>ja</t>
        </is>
      </c>
      <c r="P117" s="4" t="inlineStr">
        <is>
          <t>high</t>
        </is>
      </c>
    </row>
    <row r="118">
      <c r="A118" s="4" t="inlineStr">
        <is>
          <t>TB-117</t>
        </is>
      </c>
      <c r="B118" s="4" t="inlineStr">
        <is>
          <t>桌面</t>
        </is>
      </c>
      <c r="C118" s="4" t="inlineStr">
        <is>
          <t>鐵網/網片配件</t>
        </is>
      </c>
      <c r="D118" s="4" t="inlineStr">
        <is>
          <t>鐵網加立架變成可站立的收納板</t>
        </is>
      </c>
      <c r="E118" s="4" t="inlineStr">
        <is>
          <t>鐵網專用立架勾在鐵網外框最下緣，就能讓鐵網自己站立；掛勾或籃子要掛在立架腳較長的前側，不要掛太長的籃子。</t>
        </is>
      </c>
      <c r="F118" s="4" t="inlineStr">
        <is>
          <t>把鐵網外框最下緣勾進立架；掛勾與籃子掛在立架長腳的前側</t>
        </is>
      </c>
      <c r="G118" s="4" t="inlineStr"/>
      <c r="H118" s="4" t="inlineStr">
        <is>
          <t>鐵網/網片配件/掛勾</t>
        </is>
      </c>
      <c r="I118" s="4" t="inlineStr">
        <is>
          <t>DAISO</t>
        </is>
      </c>
      <c r="J118" s="4" t="inlineStr">
        <is>
          <t>ダイソーネットストア【公式】｜プラスチック製ワイヤーネット用スタンド 商品ページ</t>
        </is>
      </c>
      <c r="K118" s="4" t="inlineStr">
        <is>
          <t>品牌官方</t>
        </is>
      </c>
      <c r="L118" s="5" t="inlineStr">
        <is>
          <t>https://jp.daisonet.com/products/4550480283487</t>
        </is>
      </c>
      <c r="M118" s="4" t="inlineStr"/>
      <c r="N118" s="4" t="inlineStr">
        <is>
          <t>2026-10-26</t>
        </is>
      </c>
      <c r="O118" s="4" t="inlineStr">
        <is>
          <t>ja</t>
        </is>
      </c>
      <c r="P118" s="4" t="inlineStr">
        <is>
          <t>high</t>
        </is>
      </c>
    </row>
    <row r="119">
      <c r="A119" s="4" t="inlineStr">
        <is>
          <t>TB-118</t>
        </is>
      </c>
      <c r="B119" s="4" t="inlineStr">
        <is>
          <t>通用</t>
        </is>
      </c>
      <c r="C119" s="4" t="inlineStr">
        <is>
          <t>鐵網/掛勾</t>
        </is>
      </c>
      <c r="D119" s="4" t="inlineStr">
        <is>
          <t>鐵網加專用掛勾做「看得見的收納」</t>
        </is>
      </c>
      <c r="E119" s="4" t="inlineStr">
        <is>
          <t>鐵網用掛勾把兩個卡爪確實插入網格，就能把常用物品掛在鐵網上變成看得見的收納；每個耐重約1kg（實測值），適用網目30–50mm、線徑3mm以下的鐵網。</t>
        </is>
      </c>
      <c r="F119" s="4" t="inlineStr"/>
      <c r="G119" s="4" t="inlineStr"/>
      <c r="H119" s="4" t="inlineStr">
        <is>
          <t>鐵網/掛勾</t>
        </is>
      </c>
      <c r="I119" s="4" t="inlineStr">
        <is>
          <t>DAISO</t>
        </is>
      </c>
      <c r="J119" s="4" t="inlineStr">
        <is>
          <t>ダイソーネットストア【公式】｜ワイヤーネット用フック（ホワイト、８個）商品ページ</t>
        </is>
      </c>
      <c r="K119" s="4" t="inlineStr">
        <is>
          <t>品牌官方</t>
        </is>
      </c>
      <c r="L119" s="5" t="inlineStr">
        <is>
          <t>https://jp.daisonet.com/products/4550480092089</t>
        </is>
      </c>
      <c r="M119" s="4" t="inlineStr"/>
      <c r="N119" s="4" t="inlineStr">
        <is>
          <t>2026-10-26</t>
        </is>
      </c>
      <c r="O119" s="4" t="inlineStr">
        <is>
          <t>ja</t>
        </is>
      </c>
      <c r="P119" s="4" t="inlineStr">
        <is>
          <t>high</t>
        </is>
      </c>
    </row>
    <row r="120">
      <c r="A120" s="4" t="inlineStr">
        <is>
          <t>TB-119</t>
        </is>
      </c>
      <c r="B120" s="4" t="inlineStr">
        <is>
          <t>冰箱</t>
        </is>
      </c>
      <c r="C120" s="4" t="inlineStr">
        <is>
          <t>盒子/分類</t>
        </is>
      </c>
      <c r="D120" s="4" t="inlineStr">
        <is>
          <t>冰箱裡的軟管調味料集中到小物盒</t>
        </is>
      </c>
      <c r="E120" s="4" t="inlineStr">
        <is>
          <t>官方小物收納系列提案：把冰箱裡容易散亂的辛香料軟管、番茄醬、美乃滋集中收進收納盒；不知怎麼收的垃圾袋，以及直接放在浴室架上容易髒的沐浴用品，也用同系列整理。</t>
        </is>
      </c>
      <c r="F120" s="4" t="inlineStr"/>
      <c r="G120" s="4" t="inlineStr"/>
      <c r="H120" s="4" t="inlineStr"/>
      <c r="I120" s="4" t="inlineStr">
        <is>
          <t>DAISO</t>
        </is>
      </c>
      <c r="J120" s="4" t="inlineStr">
        <is>
          <t>DAISO 公式企業サイト 話題の新商品｜小物収納シリーズ</t>
        </is>
      </c>
      <c r="K120" s="4" t="inlineStr">
        <is>
          <t>品牌官方</t>
        </is>
      </c>
      <c r="L120" s="5" t="inlineStr">
        <is>
          <t>https://www.daiso-sangyo.co.jp/item/27964</t>
        </is>
      </c>
      <c r="M120" s="4" t="inlineStr">
        <is>
          <t>2024-02-02</t>
        </is>
      </c>
      <c r="N120" s="4" t="inlineStr">
        <is>
          <t>2026-10-26</t>
        </is>
      </c>
      <c r="O120" s="4" t="inlineStr">
        <is>
          <t>ja</t>
        </is>
      </c>
      <c r="P120" s="4" t="inlineStr">
        <is>
          <t>medium</t>
        </is>
      </c>
    </row>
    <row r="121">
      <c r="A121" s="4" t="inlineStr">
        <is>
          <t>TM-001</t>
        </is>
      </c>
      <c r="B121" s="4" t="inlineStr">
        <is>
          <t>水槽下</t>
        </is>
      </c>
      <c r="C121" s="4" t="inlineStr">
        <is>
          <t>伸縮棒/高度利用</t>
        </is>
      </c>
      <c r="D121" s="4" t="inlineStr">
        <is>
          <t>水槽下抽屜上方加窄版伸縮層架</t>
        </is>
      </c>
      <c r="E121" s="4" t="inlineStr">
        <is>
          <t>水槽下若是抽屜式，抽屜上緣到檯面之間常有一段空隙，可放一組窄深度的伸縮層架，專門擺保鮮膜、塑膠袋等輕薄耗材。選窄版是為了不卡到後方排水管。（一般安全提醒，非原文：架上只放輕物較安全。）</t>
        </is>
      </c>
      <c r="F121" s="4" t="inlineStr">
        <is>
          <t>選窄深度的伸縮層架撐緊；用來放保鮮膜、塑膠袋</t>
        </is>
      </c>
      <c r="G121" s="4" t="inlineStr"/>
      <c r="H121" s="4" t="inlineStr">
        <is>
          <t>伸縮層架</t>
        </is>
      </c>
      <c r="I121" s="4" t="inlineStr"/>
      <c r="J121" s="4" t="inlineStr">
        <is>
          <t>ESSE online｜「つっぱり棒」で家じゅうの収納力がアップ。ごちゃつかずすっきり見せもかなう（つっぱり棒博士・竹内香予子）</t>
        </is>
      </c>
      <c r="K121" s="4" t="inlineStr">
        <is>
          <t>日本媒體</t>
        </is>
      </c>
      <c r="L121" s="5" t="inlineStr">
        <is>
          <t>https://esse-online.jp/articles/-/30019</t>
        </is>
      </c>
      <c r="M121" s="4" t="inlineStr">
        <is>
          <t>2024-09-30</t>
        </is>
      </c>
      <c r="N121" s="4" t="inlineStr">
        <is>
          <t>2026-10-26</t>
        </is>
      </c>
      <c r="O121" s="4" t="inlineStr">
        <is>
          <t>ja</t>
        </is>
      </c>
      <c r="P121" s="4" t="inlineStr">
        <is>
          <t>high</t>
        </is>
      </c>
    </row>
    <row r="122">
      <c r="A122" s="4" t="inlineStr">
        <is>
          <t>TM-002</t>
        </is>
      </c>
      <c r="B122" s="4" t="inlineStr">
        <is>
          <t>洗手台下</t>
        </is>
      </c>
      <c r="C122" s="4" t="inlineStr">
        <is>
          <t>伸縮棒/高度利用/分區</t>
        </is>
      </c>
      <c r="D122" s="4" t="inlineStr">
        <is>
          <t>洗手台下用兩根伸縮棒架出上層</t>
        </is>
      </c>
      <c r="E122" s="4" t="inlineStr">
        <is>
          <t>洗手台下有排水管不好放層架時，可橫架兩根伸縮棒，上面放專用托盤或盒子當上層，擺口罩等輕物；下層用籃子分裝備品。兩側再用鐵網頂住伸縮棒，可減少滑落。上層只放輕的東西。</t>
        </is>
      </c>
      <c r="F122" s="4" t="inlineStr">
        <is>
          <t>在排水管前後各架一根伸縮棒；棒上放托盤或伸縮棒專用盒；兩側塞鐵網輔助支撐；下層用籃子分類備品</t>
        </is>
      </c>
      <c r="G122" s="4" t="inlineStr"/>
      <c r="H122" s="4" t="inlineStr">
        <is>
          <t>伸縮棒/鐵網</t>
        </is>
      </c>
      <c r="I122" s="4" t="inlineStr"/>
      <c r="J122" s="4" t="inlineStr">
        <is>
          <t>ESSE online｜洗面所と玄関は「つっぱり棒」で収納を増やす。デッドスペース撲滅アイデア3つ（つっぱり棒博士・竹内香予子）</t>
        </is>
      </c>
      <c r="K122" s="4" t="inlineStr">
        <is>
          <t>日本媒體</t>
        </is>
      </c>
      <c r="L122" s="5" t="inlineStr">
        <is>
          <t>https://esse-online.jp/articles/-/30177</t>
        </is>
      </c>
      <c r="M122" s="4" t="inlineStr">
        <is>
          <t>2024-10-01</t>
        </is>
      </c>
      <c r="N122" s="4" t="inlineStr">
        <is>
          <t>2026-10-26</t>
        </is>
      </c>
      <c r="O122" s="4" t="inlineStr">
        <is>
          <t>ja</t>
        </is>
      </c>
      <c r="P122" s="4" t="inlineStr">
        <is>
          <t>high</t>
        </is>
      </c>
    </row>
    <row r="123">
      <c r="A123" s="4" t="inlineStr">
        <is>
          <t>TM-003</t>
        </is>
      </c>
      <c r="B123" s="4" t="inlineStr">
        <is>
          <t>洗手台下</t>
        </is>
      </c>
      <c r="C123" s="4" t="inlineStr">
        <is>
          <t>伸縮棒/高度利用</t>
        </is>
      </c>
      <c r="D123" s="4" t="inlineStr">
        <is>
          <t>排水管前後各架一根、高低錯開放小物盒</t>
        </is>
      </c>
      <c r="E123" s="4" t="inlineStr">
        <is>
          <t>整理師建議洗手台下的伸縮棒分在排水管前方與後方各架一根，後高前低錯開，再把小物盒放在兩根棒上。盒子微微傾斜，裡面的東西一眼就看得到。盒子不要裝太重，購買時先看伸縮棒的耐重標示。</t>
        </is>
      </c>
      <c r="F123" s="4" t="inlineStr">
        <is>
          <t>先把櫃內物品全部取出分類；在排水管前後各裝一根伸縮棒，後方較高；在兩根棒上放小物盒；確認耐重後再放物品</t>
        </is>
      </c>
      <c r="G123" s="4" t="inlineStr"/>
      <c r="H123" s="4" t="inlineStr">
        <is>
          <t>伸縮棒</t>
        </is>
      </c>
      <c r="I123" s="4" t="inlineStr"/>
      <c r="J123" s="4" t="inlineStr">
        <is>
          <t>サンキュ！｜洗面台下のゴチャゴチャは、100均のアレで解決できた！（二級建築士・整理収納アドバイザー いちむらちえ）</t>
        </is>
      </c>
      <c r="K123" s="4" t="inlineStr">
        <is>
          <t>日本媒體</t>
        </is>
      </c>
      <c r="L123" s="5" t="inlineStr">
        <is>
          <t>https://39mag.thankyu.co.jp/article/living/storage/950326/</t>
        </is>
      </c>
      <c r="M123" s="4" t="inlineStr">
        <is>
          <t>2020-03-16</t>
        </is>
      </c>
      <c r="N123" s="4" t="inlineStr">
        <is>
          <t>2026-10-26</t>
        </is>
      </c>
      <c r="O123" s="4" t="inlineStr">
        <is>
          <t>ja</t>
        </is>
      </c>
      <c r="P123" s="4" t="inlineStr">
        <is>
          <t>high</t>
        </is>
      </c>
    </row>
    <row r="124">
      <c r="A124" s="4" t="inlineStr">
        <is>
          <t>TM-004</t>
        </is>
      </c>
      <c r="B124" s="4" t="inlineStr">
        <is>
          <t>洗手台下</t>
        </is>
      </c>
      <c r="C124" s="4" t="inlineStr">
        <is>
          <t>分區</t>
        </is>
      </c>
      <c r="D124" s="4" t="inlineStr">
        <is>
          <t>洗手台下前放常用、後放備品</t>
        </is>
      </c>
      <c r="E124" s="4" t="inlineStr">
        <is>
          <t>洗手台下櫃很深，整理師的做法是依使用頻率排前後：每天用的清潔用品放在手前，囤貨放在後方；櫃子下層放可以整個拉出的抽屜式收納盒，後方的東西也拿得到。伸縮棒上可再加S鉤做輔助吊掛。</t>
        </is>
      </c>
      <c r="F124" s="4" t="inlineStr">
        <is>
          <t>清空櫃內並依類別分組；下層放抽屜式收納盒；常用品放前方、備品放後方；需要時在伸縮棒上加S鉤吊小物</t>
        </is>
      </c>
      <c r="G124" s="4" t="inlineStr"/>
      <c r="H124" s="4" t="inlineStr">
        <is>
          <t>伸縮棒/掛勾</t>
        </is>
      </c>
      <c r="I124" s="4" t="inlineStr"/>
      <c r="J124" s="4" t="inlineStr">
        <is>
          <t>サンキュ！｜洗面台下のゴチャゴチャは、100均のアレで解決できた！（二級建築士・整理収納アドバイザー いちむらちえ）</t>
        </is>
      </c>
      <c r="K124" s="4" t="inlineStr">
        <is>
          <t>日本媒體</t>
        </is>
      </c>
      <c r="L124" s="5" t="inlineStr">
        <is>
          <t>https://39mag.thankyu.co.jp/article/living/storage/950326/</t>
        </is>
      </c>
      <c r="M124" s="4" t="inlineStr">
        <is>
          <t>2020-03-16</t>
        </is>
      </c>
      <c r="N124" s="4" t="inlineStr">
        <is>
          <t>2026-10-26</t>
        </is>
      </c>
      <c r="O124" s="4" t="inlineStr">
        <is>
          <t>ja</t>
        </is>
      </c>
      <c r="P124" s="4" t="inlineStr">
        <is>
          <t>high</t>
        </is>
      </c>
    </row>
    <row r="125">
      <c r="A125" s="4" t="inlineStr">
        <is>
          <t>TM-005</t>
        </is>
      </c>
      <c r="B125" s="4" t="inlineStr">
        <is>
          <t>水槽下</t>
        </is>
      </c>
      <c r="C125" s="4" t="inlineStr">
        <is>
          <t>伸縮棒/吊掛</t>
        </is>
      </c>
      <c r="D125" s="4" t="inlineStr">
        <is>
          <t>水槽下後方架伸縮棒吊噴瓶</t>
        </is>
      </c>
      <c r="E125" s="4" t="inlineStr">
        <is>
          <t>水槽下後方靠近牆的空間常空著，可以在那裡架一根伸縮棒，把噴霧式清潔劑的握把直接掛在棒上，瓶身懸空不占底板。（一般安全提醒，非原文：噴瓶裝滿時有一定重量，宜選耐重較高的伸縮棒，撐在側板結實處。）</t>
        </is>
      </c>
      <c r="F125" s="4" t="inlineStr">
        <is>
          <t>在後方深處撐一根伸縮棒；把噴瓶的扳機握把掛上</t>
        </is>
      </c>
      <c r="G125" s="4" t="inlineStr"/>
      <c r="H125" s="4" t="inlineStr">
        <is>
          <t>伸縮棒/吊掛收納</t>
        </is>
      </c>
      <c r="I125" s="4" t="inlineStr"/>
      <c r="J125" s="4" t="inlineStr">
        <is>
          <t>サンキュ！｜収納の達人に学ぶ！キッチン「シンク下収納」のアイデア実例（サンキュ！WEBトレンド班）（IG 投稿合集）</t>
        </is>
      </c>
      <c r="K125" s="4" t="inlineStr">
        <is>
          <t>日本媒體</t>
        </is>
      </c>
      <c r="L125" s="5" t="inlineStr">
        <is>
          <t>https://39mag.thankyu.co.jp/article/living/storage/250279/</t>
        </is>
      </c>
      <c r="M125" s="4" t="inlineStr">
        <is>
          <t>2024-06-13</t>
        </is>
      </c>
      <c r="N125" s="4" t="inlineStr">
        <is>
          <t>2026-10-26</t>
        </is>
      </c>
      <c r="O125" s="4" t="inlineStr">
        <is>
          <t>ja</t>
        </is>
      </c>
      <c r="P125" s="4" t="inlineStr">
        <is>
          <t>high</t>
        </is>
      </c>
    </row>
    <row r="126">
      <c r="A126" s="4" t="inlineStr">
        <is>
          <t>TM-006</t>
        </is>
      </c>
      <c r="B126" s="4" t="inlineStr">
        <is>
          <t>水槽下</t>
        </is>
      </c>
      <c r="C126" s="4" t="inlineStr">
        <is>
          <t>伸縮棒/吊掛/高度利用</t>
        </is>
      </c>
      <c r="D126" s="4" t="inlineStr">
        <is>
          <t>伸縮棒加S鉤再多一層吊掛</t>
        </is>
      </c>
      <c r="E126" s="4" t="inlineStr">
        <is>
          <t>水槽下高度足夠時，可先架一根伸縮棒掛S鉤，再在下方加裝第二根伸縮棒，做出上下兩段吊掛空間。（補充，非原文：可依長度分層掛抹布、手套、刷子。）（一般安全提醒，非原文：兩根棒間距要留出物品長度，避免下層物品碰到底板濕氣。）</t>
        </is>
      </c>
      <c r="F126" s="4" t="inlineStr">
        <is>
          <t>在水槽下上方架第一根伸縮棒並掛S鉤；在下方加第二根</t>
        </is>
      </c>
      <c r="G126" s="4" t="inlineStr"/>
      <c r="H126" s="4" t="inlineStr">
        <is>
          <t>伸縮棒/掛勾</t>
        </is>
      </c>
      <c r="I126" s="4" t="inlineStr"/>
      <c r="J126" s="4" t="inlineStr">
        <is>
          <t>サンキュ！｜収納の達人に学ぶ！キッチン「シンク下収納」のアイデア実例（サンキュ！WEBトレンド班）（IG 投稿合集）</t>
        </is>
      </c>
      <c r="K126" s="4" t="inlineStr">
        <is>
          <t>日本媒體</t>
        </is>
      </c>
      <c r="L126" s="5" t="inlineStr">
        <is>
          <t>https://39mag.thankyu.co.jp/article/living/storage/250279/</t>
        </is>
      </c>
      <c r="M126" s="4" t="inlineStr">
        <is>
          <t>2024-06-13</t>
        </is>
      </c>
      <c r="N126" s="4" t="inlineStr">
        <is>
          <t>2026-10-26</t>
        </is>
      </c>
      <c r="O126" s="4" t="inlineStr">
        <is>
          <t>ja</t>
        </is>
      </c>
      <c r="P126" s="4" t="inlineStr">
        <is>
          <t>medium</t>
        </is>
      </c>
    </row>
    <row r="127">
      <c r="A127" s="4" t="inlineStr">
        <is>
          <t>TM-007</t>
        </is>
      </c>
      <c r="B127" s="4" t="inlineStr">
        <is>
          <t>水槽下</t>
        </is>
      </c>
      <c r="C127" s="4" t="inlineStr">
        <is>
          <t>伸縮棒/分區</t>
        </is>
      </c>
      <c r="D127" s="4" t="inlineStr">
        <is>
          <t>檔案盒內加迷你伸縮棒當隔板</t>
        </is>
      </c>
      <c r="E127" s="4" t="inlineStr">
        <is>
          <t>水槽下常用檔案盒收納瓶罐或袋類，盒內的東西容易東倒西歪。在檔案盒裡橫撐一根迷你伸縮棒，就能把空間隔成兩區，前後物品不會混在一起。（補充，非原文：隔開後也方便直立擺放。）</t>
        </is>
      </c>
      <c r="F127" s="4" t="inlineStr"/>
      <c r="G127" s="4" t="inlineStr">
        <is>
          <t>檔案盒</t>
        </is>
      </c>
      <c r="H127" s="4" t="inlineStr">
        <is>
          <t>伸縮棒</t>
        </is>
      </c>
      <c r="I127" s="4" t="inlineStr"/>
      <c r="J127" s="4" t="inlineStr">
        <is>
          <t>サンキュ！｜収納の達人に学ぶ！キッチン「シンク下収納」のアイデア実例（サンキュ！WEBトレンド班）（IG 投稿合集）</t>
        </is>
      </c>
      <c r="K127" s="4" t="inlineStr">
        <is>
          <t>日本媒體</t>
        </is>
      </c>
      <c r="L127" s="5" t="inlineStr">
        <is>
          <t>https://39mag.thankyu.co.jp/article/living/storage/250279/</t>
        </is>
      </c>
      <c r="M127" s="4" t="inlineStr">
        <is>
          <t>2024-06-13</t>
        </is>
      </c>
      <c r="N127" s="4" t="inlineStr">
        <is>
          <t>2026-10-26</t>
        </is>
      </c>
      <c r="O127" s="4" t="inlineStr">
        <is>
          <t>ja</t>
        </is>
      </c>
      <c r="P127" s="4" t="inlineStr">
        <is>
          <t>medium</t>
        </is>
      </c>
    </row>
    <row r="128">
      <c r="A128" s="4" t="inlineStr">
        <is>
          <t>TM-008</t>
        </is>
      </c>
      <c r="B128" s="4" t="inlineStr">
        <is>
          <t>水槽下</t>
        </is>
      </c>
      <c r="C128" s="4" t="inlineStr">
        <is>
          <t>伸縮棒/吊掛</t>
        </is>
      </c>
      <c r="D128" s="4" t="inlineStr">
        <is>
          <t>水槽下櫥櫃加伸縮桿掛抹布與清潔劑</t>
        </is>
      </c>
      <c r="E128" s="4" t="inlineStr">
        <is>
          <t>水槽下櫥櫃加一根伸縮桿，抹布可以直接掛上去晾，噴瓶型清潔劑則勾在桿上，不必堆在櫃底。（補充，非原文：底板空出來後可再放收納盒。）（一般安全提醒，非原文：掛重物前先確認伸縮桿承重。）</t>
        </is>
      </c>
      <c r="F128" s="4" t="inlineStr">
        <is>
          <t>在水槽下櫥櫃上方內側架一根伸縮桿；掛上抹布與清潔劑</t>
        </is>
      </c>
      <c r="G128" s="4" t="inlineStr"/>
      <c r="H128" s="4" t="inlineStr">
        <is>
          <t>伸縮棒/吊掛收納</t>
        </is>
      </c>
      <c r="I128" s="4" t="inlineStr"/>
      <c r="J128" s="4" t="inlineStr">
        <is>
          <t>設計家 Searchome｜免鑽孔、不傷牆！伸縮桿收納懶人包，29招搞定家中雜亂（圖文提供：蛙家）</t>
        </is>
      </c>
      <c r="K128" s="4" t="inlineStr">
        <is>
          <t>台灣媒體</t>
        </is>
      </c>
      <c r="L128" s="5" t="inlineStr">
        <is>
          <t>https://www.searchome.net/article.aspx?id=82596</t>
        </is>
      </c>
      <c r="M128" s="4" t="inlineStr">
        <is>
          <t>2025-08-06</t>
        </is>
      </c>
      <c r="N128" s="4" t="inlineStr">
        <is>
          <t>2026-10-26</t>
        </is>
      </c>
      <c r="O128" s="4" t="inlineStr">
        <is>
          <t>zh-TW</t>
        </is>
      </c>
      <c r="P128" s="4" t="inlineStr">
        <is>
          <t>high</t>
        </is>
      </c>
    </row>
    <row r="129">
      <c r="A129" s="4" t="inlineStr">
        <is>
          <t>TM-009</t>
        </is>
      </c>
      <c r="B129" s="4" t="inlineStr">
        <is>
          <t>水槽下</t>
        </is>
      </c>
      <c r="C129" s="4" t="inlineStr">
        <is>
          <t>伸縮棒/分區</t>
        </is>
      </c>
      <c r="D129" s="4" t="inlineStr">
        <is>
          <t>水槽下先看管線再分區，管前放伸縮置物架</t>
        </is>
      </c>
      <c r="E129" s="4" t="inlineStr">
        <is>
          <t>沒有層板的水槽下大空櫃，先確認管線位置再決定每一區用途：管線多的中間先留空，側邊放收納盒，水管前方放一組伸縮置物架分上下層，放保鮮袋、菜瓜布與抹布，需要時連盒一起拉出。</t>
        </is>
      </c>
      <c r="F129" s="4" t="inlineStr">
        <is>
          <t>先確認管線位置；中間管線區留空；水管前放伸縮置物架分上下層；側邊放無印良品PP收納盒</t>
        </is>
      </c>
      <c r="G129" s="4" t="inlineStr">
        <is>
          <t>PP收納盒</t>
        </is>
      </c>
      <c r="H129" s="4" t="inlineStr">
        <is>
          <t>伸縮層架</t>
        </is>
      </c>
      <c r="I129" s="4" t="inlineStr">
        <is>
          <t>MUJI</t>
        </is>
      </c>
      <c r="J129" s="4" t="inlineStr">
        <is>
          <t>設計家 Searchome｜櫥櫃太深、太高好難用？櫥櫃收納攻略一次看，取物擺放整齊又輕鬆（圖文提供：蛙家）</t>
        </is>
      </c>
      <c r="K129" s="4" t="inlineStr">
        <is>
          <t>台灣媒體</t>
        </is>
      </c>
      <c r="L129" s="5" t="inlineStr">
        <is>
          <t>https://www.searchome.net/article.aspx?id=80565</t>
        </is>
      </c>
      <c r="M129" s="4" t="inlineStr">
        <is>
          <t>2025-01-17</t>
        </is>
      </c>
      <c r="N129" s="4" t="inlineStr">
        <is>
          <t>2026-10-26</t>
        </is>
      </c>
      <c r="O129" s="4" t="inlineStr">
        <is>
          <t>zh-TW</t>
        </is>
      </c>
      <c r="P129" s="4" t="inlineStr">
        <is>
          <t>high</t>
        </is>
      </c>
    </row>
    <row r="130">
      <c r="A130" s="4" t="inlineStr">
        <is>
          <t>TM-010</t>
        </is>
      </c>
      <c r="B130" s="4" t="inlineStr">
        <is>
          <t>水槽下</t>
        </is>
      </c>
      <c r="C130" s="4" t="inlineStr">
        <is>
          <t>伸縮層架/分區</t>
        </is>
      </c>
      <c r="D130" s="4" t="inlineStr">
        <is>
          <t>水槽下用可避開排水管的伸縮架</t>
        </is>
      </c>
      <c r="E130" s="4" t="inlineStr">
        <is>
          <t>NITORI的水槽下伸縮架高度與寬度都能調，層板可以避開排水管裝設，有排水存水彎的櫃子也放得下。鍋子、平底鍋可以分在不同層，不用全部疊在櫃底。（補充，非原文：購買前先量櫃內寬、高與排水管位置。）</t>
        </is>
      </c>
      <c r="F130" s="4" t="inlineStr"/>
      <c r="G130" s="4" t="inlineStr">
        <is>
          <t>水槽下伸縮架</t>
        </is>
      </c>
      <c r="H130" s="4" t="inlineStr">
        <is>
          <t>伸縮層架</t>
        </is>
      </c>
      <c r="I130" s="4" t="inlineStr">
        <is>
          <t>NITORI</t>
        </is>
      </c>
      <c r="J130" s="4" t="inlineStr">
        <is>
          <t>サンキュ！｜収納の達人に学ぶ！キッチン「シンク下収納」のアイデア実例（サンキュ！WEBトレンド班）（IG 投稿合集）</t>
        </is>
      </c>
      <c r="K130" s="4" t="inlineStr">
        <is>
          <t>日本媒體</t>
        </is>
      </c>
      <c r="L130" s="5" t="inlineStr">
        <is>
          <t>https://39mag.thankyu.co.jp/article/living/storage/250279/</t>
        </is>
      </c>
      <c r="M130" s="4" t="inlineStr">
        <is>
          <t>2024-06-13</t>
        </is>
      </c>
      <c r="N130" s="4" t="inlineStr">
        <is>
          <t>2026-10-26</t>
        </is>
      </c>
      <c r="O130" s="4" t="inlineStr">
        <is>
          <t>ja</t>
        </is>
      </c>
      <c r="P130" s="4" t="inlineStr">
        <is>
          <t>high</t>
        </is>
      </c>
    </row>
    <row r="131">
      <c r="A131" s="4" t="inlineStr">
        <is>
          <t>TM-011</t>
        </is>
      </c>
      <c r="B131" s="4" t="inlineStr">
        <is>
          <t>水槽下</t>
        </is>
      </c>
      <c r="C131" s="4" t="inlineStr">
        <is>
          <t>鐵網/吊掛</t>
        </is>
      </c>
      <c r="D131" s="4" t="inlineStr">
        <is>
          <t>伸縮棒加鐵網在櫃內側掛袋類</t>
        </is>
      </c>
      <c r="E131" s="4" t="inlineStr">
        <is>
          <t>水槽下櫃子的側板內側，可用伸縮棒撐住一片鐵網，再用束帶固定，鐵網上加掛勾掛塑膠袋、垃圾袋等輕物。（補充，非原文：這樣不用打洞，也能利用平常空著的側面。）</t>
        </is>
      </c>
      <c r="F131" s="4" t="inlineStr">
        <is>
          <t>在櫃內側撐伸縮棒；用束帶把鐵網綁在棒上；在鐵網掛上掛勾吊袋類</t>
        </is>
      </c>
      <c r="G131" s="4" t="inlineStr"/>
      <c r="H131" s="4" t="inlineStr">
        <is>
          <t>伸縮棒/鐵網/掛勾</t>
        </is>
      </c>
      <c r="I131" s="4" t="inlineStr"/>
      <c r="J131" s="4" t="inlineStr">
        <is>
          <t>サンキュ！｜収納の達人に学ぶ！キッチン「シンク下収納」のアイデア実例（サンキュ！WEBトレンド班）（IG 投稿合集）</t>
        </is>
      </c>
      <c r="K131" s="4" t="inlineStr">
        <is>
          <t>日本媒體</t>
        </is>
      </c>
      <c r="L131" s="5" t="inlineStr">
        <is>
          <t>https://39mag.thankyu.co.jp/article/living/storage/250279/</t>
        </is>
      </c>
      <c r="M131" s="4" t="inlineStr">
        <is>
          <t>2024-06-13</t>
        </is>
      </c>
      <c r="N131" s="4" t="inlineStr">
        <is>
          <t>2026-10-26</t>
        </is>
      </c>
      <c r="O131" s="4" t="inlineStr">
        <is>
          <t>ja</t>
        </is>
      </c>
      <c r="P131" s="4" t="inlineStr">
        <is>
          <t>medium</t>
        </is>
      </c>
    </row>
    <row r="132">
      <c r="A132" s="4" t="inlineStr">
        <is>
          <t>TM-012</t>
        </is>
      </c>
      <c r="B132" s="4" t="inlineStr">
        <is>
          <t>水槽下</t>
        </is>
      </c>
      <c r="C132" s="4" t="inlineStr">
        <is>
          <t>鐵網/櫃門內側</t>
        </is>
      </c>
      <c r="D132" s="4" t="inlineStr">
        <is>
          <t>水槽下櫃門內側掛鐵網收調味料</t>
        </is>
      </c>
      <c r="E132" s="4" t="inlineStr">
        <is>
          <t>水槽下的櫃門內側可以裝一片DAISO鐵網收納調味料。（補充，非原文：可用黏貼掛勾固定鐵網，再掛小籃放刷子等輕物，開門就拿得到。）（一般安全提醒，非原文：櫃門開關會晃，鐵網上只放輕物，並確認門關得起來。）</t>
        </is>
      </c>
      <c r="F132" s="4" t="inlineStr"/>
      <c r="G132" s="4" t="inlineStr"/>
      <c r="H132" s="4" t="inlineStr">
        <is>
          <t>鐵網/網片配件/掛勾</t>
        </is>
      </c>
      <c r="I132" s="4" t="inlineStr">
        <is>
          <t>DAISO</t>
        </is>
      </c>
      <c r="J132" s="4" t="inlineStr">
        <is>
          <t>サンキュ！｜収納の達人に学ぶ！キッチン「シンク下収納」のアイデア実例（サンキュ！WEBトレンド班）（IG 投稿合集）</t>
        </is>
      </c>
      <c r="K132" s="4" t="inlineStr">
        <is>
          <t>日本媒體</t>
        </is>
      </c>
      <c r="L132" s="5" t="inlineStr">
        <is>
          <t>https://39mag.thankyu.co.jp/article/living/storage/250279/</t>
        </is>
      </c>
      <c r="M132" s="4" t="inlineStr">
        <is>
          <t>2024-06-13</t>
        </is>
      </c>
      <c r="N132" s="4" t="inlineStr">
        <is>
          <t>2026-10-26</t>
        </is>
      </c>
      <c r="O132" s="4" t="inlineStr">
        <is>
          <t>ja</t>
        </is>
      </c>
      <c r="P132" s="4" t="inlineStr">
        <is>
          <t>medium</t>
        </is>
      </c>
    </row>
    <row r="133">
      <c r="A133" s="4" t="inlineStr">
        <is>
          <t>TM-013</t>
        </is>
      </c>
      <c r="B133" s="4" t="inlineStr">
        <is>
          <t>水槽下</t>
        </is>
      </c>
      <c r="C133" s="4" t="inlineStr">
        <is>
          <t>掛勾/櫃門內側</t>
        </is>
      </c>
      <c r="D133" s="4" t="inlineStr">
        <is>
          <t>櫃門內側貼掛勾掛鍋蓋，注意耐重</t>
        </is>
      </c>
      <c r="E133" s="4" t="inlineStr">
        <is>
          <t>整理師會在櫥櫃門內側貼NITORI的黏貼式掛勾來掛鍋蓋，騰出櫃內空間。這款掛勾耐重約2公斤，太重的鍋蓋不適合。（一般安全提醒，非原文：黏貼面要平滑乾淨，粗糙或貼皮易剝落的門板容易黏不牢。）</t>
        </is>
      </c>
      <c r="F133" s="4" t="inlineStr">
        <is>
          <t>在門內側貼黏貼式掛勾；掛上鍋蓋</t>
        </is>
      </c>
      <c r="G133" s="4" t="inlineStr"/>
      <c r="H133" s="4" t="inlineStr">
        <is>
          <t>掛勾</t>
        </is>
      </c>
      <c r="I133" s="4" t="inlineStr">
        <is>
          <t>NITORI</t>
        </is>
      </c>
      <c r="J133" s="4" t="inlineStr">
        <is>
          <t>ESSE online｜ニトリの「神収納」アイテム。やっぱりファイルケース、まさかのキャニスター横置き（整理収納アドバイザー・わしずこころ）</t>
        </is>
      </c>
      <c r="K133" s="4" t="inlineStr">
        <is>
          <t>日本媒體</t>
        </is>
      </c>
      <c r="L133" s="5" t="inlineStr">
        <is>
          <t>https://esse-online.jp/articles/-/22795?page=2</t>
        </is>
      </c>
      <c r="M133" s="4" t="inlineStr">
        <is>
          <t>2023-05-27</t>
        </is>
      </c>
      <c r="N133" s="4" t="inlineStr">
        <is>
          <t>2026-10-26</t>
        </is>
      </c>
      <c r="O133" s="4" t="inlineStr">
        <is>
          <t>ja</t>
        </is>
      </c>
      <c r="P133" s="4" t="inlineStr">
        <is>
          <t>high</t>
        </is>
      </c>
    </row>
    <row r="134">
      <c r="A134" s="4" t="inlineStr">
        <is>
          <t>TM-014</t>
        </is>
      </c>
      <c r="B134" s="4" t="inlineStr">
        <is>
          <t>水槽下</t>
        </is>
      </c>
      <c r="C134" s="4" t="inlineStr">
        <is>
          <t>吊掛/分區</t>
        </is>
      </c>
      <c r="D134" s="4" t="inlineStr">
        <is>
          <t>檔案盒加掛架分類垃圾袋</t>
        </is>
      </c>
      <c r="E134" s="4" t="inlineStr">
        <is>
          <t>把MUJI的PP檔案盒放進水槽下，在盒緣掛上吊掛架，不同尺寸的垃圾袋各掛一格。（補充，非原文：抽取時不會整包掉出；檔案盒窄而深，適合塞在管線旁。）</t>
        </is>
      </c>
      <c r="F134" s="4" t="inlineStr">
        <is>
          <t>在水槽下放檔案盒；在盒緣掛上吊掛架；依種類把垃圾袋分開掛</t>
        </is>
      </c>
      <c r="G134" s="4" t="inlineStr">
        <is>
          <t>PP檔案盒</t>
        </is>
      </c>
      <c r="H134" s="4" t="inlineStr">
        <is>
          <t>吊掛收納</t>
        </is>
      </c>
      <c r="I134" s="4" t="inlineStr">
        <is>
          <t>MUJI</t>
        </is>
      </c>
      <c r="J134" s="4" t="inlineStr">
        <is>
          <t>サンキュ！｜収納の達人に学ぶ！キッチン「シンク下収納」のアイデア実例（サンキュ！WEBトレンド班）（IG 投稿合集）</t>
        </is>
      </c>
      <c r="K134" s="4" t="inlineStr">
        <is>
          <t>日本媒體</t>
        </is>
      </c>
      <c r="L134" s="5" t="inlineStr">
        <is>
          <t>https://39mag.thankyu.co.jp/article/living/storage/250279/</t>
        </is>
      </c>
      <c r="M134" s="4" t="inlineStr">
        <is>
          <t>2024-06-13</t>
        </is>
      </c>
      <c r="N134" s="4" t="inlineStr">
        <is>
          <t>2026-10-26</t>
        </is>
      </c>
      <c r="O134" s="4" t="inlineStr">
        <is>
          <t>ja</t>
        </is>
      </c>
      <c r="P134" s="4" t="inlineStr">
        <is>
          <t>high</t>
        </is>
      </c>
    </row>
    <row r="135">
      <c r="A135" s="4" t="inlineStr">
        <is>
          <t>TM-015</t>
        </is>
      </c>
      <c r="B135" s="4" t="inlineStr">
        <is>
          <t>水槽下</t>
        </is>
      </c>
      <c r="C135" s="4" t="inlineStr">
        <is>
          <t>分區/直立收納</t>
        </is>
      </c>
      <c r="D135" s="4" t="inlineStr">
        <is>
          <t>用壓克力隔板架讓鍋蓋與平底鍋直立</t>
        </is>
      </c>
      <c r="E135" s="4" t="inlineStr">
        <is>
          <t>水槽下的鍋蓋可用MUJI的壓克力隔板架，讓鍋蓋一片片直立插著，隔板間距約37公釐，共三格。（補充，非原文：疊放的鍋蓋很難抽出；買之前先量最厚鍋蓋的把手高度。）</t>
        </is>
      </c>
      <c r="F135" s="4" t="inlineStr">
        <is>
          <t>放入壓克力隔板架；把鍋蓋直立插入</t>
        </is>
      </c>
      <c r="G135" s="4" t="inlineStr">
        <is>
          <t>壓克力隔板架</t>
        </is>
      </c>
      <c r="H135" s="4" t="inlineStr"/>
      <c r="I135" s="4" t="inlineStr">
        <is>
          <t>MUJI</t>
        </is>
      </c>
      <c r="J135" s="4" t="inlineStr">
        <is>
          <t>サンキュ！｜収納の達人に学ぶ！キッチン「シンク下収納」のアイデア実例（サンキュ！WEBトレンド班）（IG 投稿合集）</t>
        </is>
      </c>
      <c r="K135" s="4" t="inlineStr">
        <is>
          <t>日本媒體</t>
        </is>
      </c>
      <c r="L135" s="5" t="inlineStr">
        <is>
          <t>https://39mag.thankyu.co.jp/article/living/storage/250279/</t>
        </is>
      </c>
      <c r="M135" s="4" t="inlineStr">
        <is>
          <t>2024-06-13</t>
        </is>
      </c>
      <c r="N135" s="4" t="inlineStr">
        <is>
          <t>2026-10-26</t>
        </is>
      </c>
      <c r="O135" s="4" t="inlineStr">
        <is>
          <t>ja</t>
        </is>
      </c>
      <c r="P135" s="4" t="inlineStr">
        <is>
          <t>high</t>
        </is>
      </c>
    </row>
    <row r="136">
      <c r="A136" s="4" t="inlineStr">
        <is>
          <t>TM-016</t>
        </is>
      </c>
      <c r="B136" s="4" t="inlineStr">
        <is>
          <t>水槽下</t>
        </is>
      </c>
      <c r="C136" s="4" t="inlineStr">
        <is>
          <t>吊掛/分區</t>
        </is>
      </c>
      <c r="D136" s="4" t="inlineStr">
        <is>
          <t>檔案盒邊加筆袋收長柄小物</t>
        </is>
      </c>
      <c r="E136" s="4" t="inlineStr">
        <is>
          <t>MUJI的筆袋可以掛在檔案盒邊緣，放刷子、夾子等有長柄的小工具。（補充，非原文：檔案盒內可另放瓶罐，一盒分兩區，適合只能放窄盒的水槽下。）</t>
        </is>
      </c>
      <c r="F136" s="4" t="inlineStr">
        <is>
          <t>在水槽下放檔案盒；把筆袋掛在盒緣；長柄工具插入筆袋</t>
        </is>
      </c>
      <c r="G136" s="4" t="inlineStr">
        <is>
          <t>檔案盒</t>
        </is>
      </c>
      <c r="H136" s="4" t="inlineStr"/>
      <c r="I136" s="4" t="inlineStr">
        <is>
          <t>MUJI</t>
        </is>
      </c>
      <c r="J136" s="4" t="inlineStr">
        <is>
          <t>サンキュ！｜収納の達人に学ぶ！キッチン「シンク下収納」のアイデア実例（サンキュ！WEBトレンド班）（IG 投稿合集）</t>
        </is>
      </c>
      <c r="K136" s="4" t="inlineStr">
        <is>
          <t>日本媒體</t>
        </is>
      </c>
      <c r="L136" s="5" t="inlineStr">
        <is>
          <t>https://39mag.thankyu.co.jp/article/living/storage/250279/</t>
        </is>
      </c>
      <c r="M136" s="4" t="inlineStr">
        <is>
          <t>2024-06-13</t>
        </is>
      </c>
      <c r="N136" s="4" t="inlineStr">
        <is>
          <t>2026-10-26</t>
        </is>
      </c>
      <c r="O136" s="4" t="inlineStr">
        <is>
          <t>ja</t>
        </is>
      </c>
      <c r="P136" s="4" t="inlineStr">
        <is>
          <t>medium</t>
        </is>
      </c>
    </row>
    <row r="137">
      <c r="A137" s="4" t="inlineStr">
        <is>
          <t>TM-017</t>
        </is>
      </c>
      <c r="B137" s="4" t="inlineStr">
        <is>
          <t>水槽下</t>
        </is>
      </c>
      <c r="C137" s="4" t="inlineStr">
        <is>
          <t>分區</t>
        </is>
      </c>
      <c r="D137" s="4" t="inlineStr">
        <is>
          <t>水槽下用小袋分裝再放進鐵籃</t>
        </is>
      </c>
      <c r="E137" s="4" t="inlineStr">
        <is>
          <t>水槽下的零碎物品先依類別裝進小收納袋，再整袋放進MUJI的不鏽鋼鐵絲籃，拿的時候整籃拉出。手前若亂了，後面的東西也很難拿，所以每次都要把前排整理好。</t>
        </is>
      </c>
      <c r="F137" s="4" t="inlineStr">
        <is>
          <t>把零碎物品依用途分裝到收納袋；把袋子放進不鏽鋼鐵絲籃；保持前排整齊</t>
        </is>
      </c>
      <c r="G137" s="4" t="inlineStr">
        <is>
          <t>不鏽鋼鐵絲籃</t>
        </is>
      </c>
      <c r="H137" s="4" t="inlineStr"/>
      <c r="I137" s="4" t="inlineStr">
        <is>
          <t>MUJI</t>
        </is>
      </c>
      <c r="J137" s="4" t="inlineStr">
        <is>
          <t>ESSE online｜片づけに救われたアラフォーの「キッチン収納」。カオスなシンク下が整った方法</t>
        </is>
      </c>
      <c r="K137" s="4" t="inlineStr">
        <is>
          <t>日本媒體</t>
        </is>
      </c>
      <c r="L137" s="5" t="inlineStr">
        <is>
          <t>https://esse-online.jp/articles/-/29531</t>
        </is>
      </c>
      <c r="M137" s="4" t="inlineStr">
        <is>
          <t>2024-08-11</t>
        </is>
      </c>
      <c r="N137" s="4" t="inlineStr">
        <is>
          <t>2026-10-26</t>
        </is>
      </c>
      <c r="O137" s="4" t="inlineStr">
        <is>
          <t>ja</t>
        </is>
      </c>
      <c r="P137" s="4" t="inlineStr">
        <is>
          <t>high</t>
        </is>
      </c>
    </row>
    <row r="138">
      <c r="A138" s="4" t="inlineStr">
        <is>
          <t>TM-018</t>
        </is>
      </c>
      <c r="B138" s="4" t="inlineStr">
        <is>
          <t>水槽下</t>
        </is>
      </c>
      <c r="C138" s="4" t="inlineStr">
        <is>
          <t>照明</t>
        </is>
      </c>
      <c r="D138" s="4" t="inlineStr">
        <is>
          <t>水槽下深處加感應燈</t>
        </is>
      </c>
      <c r="E138" s="4" t="inlineStr">
        <is>
          <t>水槽下深處常因光線不足而找不到東西，可以在櫃內加一顆DAISO的感應式小燈，開門時自動亮起。（一般安全提醒，非原文：燈要裝在不會被水噴到的位置，並定期換電池。）</t>
        </is>
      </c>
      <c r="F138" s="4" t="inlineStr"/>
      <c r="G138" s="4" t="inlineStr"/>
      <c r="H138" s="4" t="inlineStr"/>
      <c r="I138" s="4" t="inlineStr">
        <is>
          <t>DAISO</t>
        </is>
      </c>
      <c r="J138" s="4" t="inlineStr">
        <is>
          <t>ESSE online｜片づけに救われたアラフォーの「キッチン収納」。カオスなシンク下が整った方法</t>
        </is>
      </c>
      <c r="K138" s="4" t="inlineStr">
        <is>
          <t>日本媒體</t>
        </is>
      </c>
      <c r="L138" s="5" t="inlineStr">
        <is>
          <t>https://esse-online.jp/articles/-/29531</t>
        </is>
      </c>
      <c r="M138" s="4" t="inlineStr">
        <is>
          <t>2024-08-11</t>
        </is>
      </c>
      <c r="N138" s="4" t="inlineStr">
        <is>
          <t>2026-10-26</t>
        </is>
      </c>
      <c r="O138" s="4" t="inlineStr">
        <is>
          <t>ja</t>
        </is>
      </c>
      <c r="P138" s="4" t="inlineStr">
        <is>
          <t>high</t>
        </is>
      </c>
    </row>
    <row r="139">
      <c r="A139" s="4" t="inlineStr">
        <is>
          <t>TM-019</t>
        </is>
      </c>
      <c r="B139" s="4" t="inlineStr">
        <is>
          <t>水槽下</t>
        </is>
      </c>
      <c r="C139" s="4" t="inlineStr">
        <is>
          <t>吊掛/櫃門內側</t>
        </is>
      </c>
      <c r="D139" s="4" t="inlineStr">
        <is>
          <t>水槽櫃門掛壁掛垃圾桶</t>
        </is>
      </c>
      <c r="E139" s="4" t="inlineStr">
        <is>
          <t>IKEA的壁掛式垃圾桶可以掛在水槽下的櫃門上，垃圾桶不用放在地上。（補充，非原文：處理食材時可直接把廚餘丟進去。）（一般安全提醒，非原文：櫃門要承受桶重，桶內別裝太多太濕的垃圾並常倒。）</t>
        </is>
      </c>
      <c r="F139" s="4" t="inlineStr"/>
      <c r="G139" s="4" t="inlineStr"/>
      <c r="H139" s="4" t="inlineStr">
        <is>
          <t>吊掛收納</t>
        </is>
      </c>
      <c r="I139" s="4" t="inlineStr">
        <is>
          <t>IKEA</t>
        </is>
      </c>
      <c r="J139" s="4" t="inlineStr">
        <is>
          <t>設計家 Searchome｜超實用地板淨空術！懸空收納妙招總整理，從玄關到浴室都適用（圖文提供：蛙家）</t>
        </is>
      </c>
      <c r="K139" s="4" t="inlineStr">
        <is>
          <t>台灣媒體</t>
        </is>
      </c>
      <c r="L139" s="5" t="inlineStr">
        <is>
          <t>https://www.searchome.net/article.aspx?id=82002</t>
        </is>
      </c>
      <c r="M139" s="4" t="inlineStr">
        <is>
          <t>2025-06-11</t>
        </is>
      </c>
      <c r="N139" s="4" t="inlineStr">
        <is>
          <t>2026-10-26</t>
        </is>
      </c>
      <c r="O139" s="4" t="inlineStr">
        <is>
          <t>zh-TW</t>
        </is>
      </c>
      <c r="P139" s="4" t="inlineStr">
        <is>
          <t>high</t>
        </is>
      </c>
    </row>
    <row r="140">
      <c r="A140" s="4" t="inlineStr">
        <is>
          <t>TM-020</t>
        </is>
      </c>
      <c r="B140" s="4" t="inlineStr">
        <is>
          <t>廚房</t>
        </is>
      </c>
      <c r="C140" s="4" t="inlineStr">
        <is>
          <t>鐵網/伸縮棒/吊掛</t>
        </is>
      </c>
      <c r="D140" s="4" t="inlineStr">
        <is>
          <t>磁鐵吸不住的牆面用伸縮棒固定鐵網</t>
        </is>
      </c>
      <c r="E140" s="4" t="inlineStr">
        <is>
          <t>廚房牆面若吸不住磁鐵或不能打洞，可以把DAISO鐵網用束帶綁在伸縮棒上當壁面收納。選和牆壁顏色接近的鐵網較不顯眼，棒的兩端套防滑蓋可減少鬆脫。靠近瓦斯爐時不要掛易燃物，也不要掛太重。</t>
        </is>
      </c>
      <c r="F140" s="4" t="inlineStr">
        <is>
          <t>撐好伸縮棒並在兩端加防滑蓋；用束帶把鐵網綁在棒上；掛上不太重的廚具；不在爐火旁掛易燃物</t>
        </is>
      </c>
      <c r="G140" s="4" t="inlineStr"/>
      <c r="H140" s="4" t="inlineStr">
        <is>
          <t>伸縮棒/鐵網/掛勾</t>
        </is>
      </c>
      <c r="I140" s="4" t="inlineStr">
        <is>
          <t>DAISO</t>
        </is>
      </c>
      <c r="J140" s="4" t="inlineStr">
        <is>
          <t>サンキュ！｜目からウロコ！【ダイソー】「ズボラママでも簡単」「収納力を120％にする」DIY収納アイデア6選（監修・reimama）</t>
        </is>
      </c>
      <c r="K140" s="4" t="inlineStr">
        <is>
          <t>日本媒體</t>
        </is>
      </c>
      <c r="L140" s="5" t="inlineStr">
        <is>
          <t>https://39mag.thankyu.co.jp/benesse/215627</t>
        </is>
      </c>
      <c r="M140" s="4" t="inlineStr">
        <is>
          <t>2025-12-20</t>
        </is>
      </c>
      <c r="N140" s="4" t="inlineStr">
        <is>
          <t>2026-10-26</t>
        </is>
      </c>
      <c r="O140" s="4" t="inlineStr">
        <is>
          <t>ja</t>
        </is>
      </c>
      <c r="P140" s="4" t="inlineStr">
        <is>
          <t>high</t>
        </is>
      </c>
    </row>
    <row r="141">
      <c r="A141" s="4" t="inlineStr">
        <is>
          <t>TM-021</t>
        </is>
      </c>
      <c r="B141" s="4" t="inlineStr">
        <is>
          <t>廚房</t>
        </is>
      </c>
      <c r="C141" s="4" t="inlineStr">
        <is>
          <t>鐵網/伸縮棒/系統櫃</t>
        </is>
      </c>
      <c r="D141" s="4" t="inlineStr">
        <is>
          <t>吊櫃與流理台間立兩根伸縮桿做網片收納牆</t>
        </is>
      </c>
      <c r="E141" s="4" t="inlineStr">
        <is>
          <t>台灣常見的系統廚具吊櫃與流理台之間，可以垂直立兩根伸縮桿，上端頂吊櫃底、下端撐檯面，再用束帶綁上網片。網片上掛S鉤吊鍋鏟，下方綁小型置物架放調味料。（一般安全提醒，非原文：伸縮桿要撐在吊櫃結實處，不要撐在門片上。）</t>
        </is>
      </c>
      <c r="F141" s="4" t="inlineStr">
        <is>
          <t>垂直撐好兩根伸縮桿；用束帶把網片綁在桿上；上方掛S鉤、下方綁小型置物架</t>
        </is>
      </c>
      <c r="G141" s="4" t="inlineStr"/>
      <c r="H141" s="4" t="inlineStr">
        <is>
          <t>伸縮棒/鐵網/小型置物架/掛勾</t>
        </is>
      </c>
      <c r="I141" s="4" t="inlineStr"/>
      <c r="J141" s="4" t="inlineStr">
        <is>
          <t>設計家 Searchome｜租屋族友善！網片超簡易收納DIY，只要10分鐘就能變出收納推車（圖文提供：蛙家）</t>
        </is>
      </c>
      <c r="K141" s="4" t="inlineStr">
        <is>
          <t>台灣媒體</t>
        </is>
      </c>
      <c r="L141" s="5" t="inlineStr">
        <is>
          <t>https://www.searchome.net/article.aspx?id=78137</t>
        </is>
      </c>
      <c r="M141" s="4" t="inlineStr">
        <is>
          <t>2024-06-07</t>
        </is>
      </c>
      <c r="N141" s="4" t="inlineStr">
        <is>
          <t>2026-10-26</t>
        </is>
      </c>
      <c r="O141" s="4" t="inlineStr">
        <is>
          <t>zh-TW</t>
        </is>
      </c>
      <c r="P141" s="4" t="inlineStr">
        <is>
          <t>high</t>
        </is>
      </c>
    </row>
    <row r="142">
      <c r="A142" s="4" t="inlineStr">
        <is>
          <t>TM-022</t>
        </is>
      </c>
      <c r="B142" s="4" t="inlineStr">
        <is>
          <t>廚房</t>
        </is>
      </c>
      <c r="C142" s="4" t="inlineStr">
        <is>
          <t>鐵網/網片配件</t>
        </is>
      </c>
      <c r="D142" s="4" t="inlineStr">
        <is>
          <t>不能黏掛勾的角落用網片站立架</t>
        </is>
      </c>
      <c r="E142" s="4" t="inlineStr">
        <is>
          <t>廚房角落不方便黏貼掛勾時，可以把網片立在DAISO的網片站立架上，再用S鉤吊掛廚房用品。站立架有卡榫式與夾式，卡榫式比較不會晃，搬動時網片也不易掉落。</t>
        </is>
      </c>
      <c r="F142" s="4" t="inlineStr">
        <is>
          <t>選卡榫式網片站立架；把網片插好固定；用S鉤掛輕量廚具</t>
        </is>
      </c>
      <c r="G142" s="4" t="inlineStr"/>
      <c r="H142" s="4" t="inlineStr">
        <is>
          <t>鐵網/網片配件/掛勾</t>
        </is>
      </c>
      <c r="I142" s="4" t="inlineStr">
        <is>
          <t>DAISO</t>
        </is>
      </c>
      <c r="J142" s="4" t="inlineStr">
        <is>
          <t>設計家 Searchome｜租屋族友善！網片超簡易收納DIY，只要10分鐘就能變出收納推車（圖文提供：蛙家）</t>
        </is>
      </c>
      <c r="K142" s="4" t="inlineStr">
        <is>
          <t>台灣媒體</t>
        </is>
      </c>
      <c r="L142" s="5" t="inlineStr">
        <is>
          <t>https://www.searchome.net/article.aspx?id=78137</t>
        </is>
      </c>
      <c r="M142" s="4" t="inlineStr">
        <is>
          <t>2024-06-07</t>
        </is>
      </c>
      <c r="N142" s="4" t="inlineStr">
        <is>
          <t>2026-10-26</t>
        </is>
      </c>
      <c r="O142" s="4" t="inlineStr">
        <is>
          <t>zh-TW</t>
        </is>
      </c>
      <c r="P142" s="4" t="inlineStr">
        <is>
          <t>high</t>
        </is>
      </c>
    </row>
    <row r="143">
      <c r="A143" s="4" t="inlineStr">
        <is>
          <t>TM-023</t>
        </is>
      </c>
      <c r="B143" s="4" t="inlineStr">
        <is>
          <t>廚房</t>
        </is>
      </c>
      <c r="C143" s="4" t="inlineStr">
        <is>
          <t>伸縮棒/吊掛</t>
        </is>
      </c>
      <c r="D143" s="4" t="inlineStr">
        <is>
          <t>爐邊小牆縫裝一根伸縮棒掛輕物</t>
        </is>
      </c>
      <c r="E143" s="4" t="inlineStr">
        <is>
          <t>小廚房背後放不下收納櫃時，整理師只在爐台旁一小段牆縫裝一根伸縮棒，掛圍裙、瀝水墊，再用夾子加S鉤吊隔熱手套、鍋墊等。只適合掛輕的東西。（一般安全提醒，非原文：布類要離爐火有一段距離。）</t>
        </is>
      </c>
      <c r="F143" s="4" t="inlineStr">
        <is>
          <t>在爐台旁的牆縫裝一根伸縮棒；用夾子與S鉤掛圍裙、手套等輕物</t>
        </is>
      </c>
      <c r="G143" s="4" t="inlineStr"/>
      <c r="H143" s="4" t="inlineStr">
        <is>
          <t>伸縮棒/掛勾</t>
        </is>
      </c>
      <c r="I143" s="4" t="inlineStr"/>
      <c r="J143" s="4" t="inlineStr">
        <is>
          <t>サンキュ！｜狭いキッチンはつっぱり棒で収納力UP！片づけのプロが唯一使っている場所（整理収納アドバイザー・せのお愛）</t>
        </is>
      </c>
      <c r="K143" s="4" t="inlineStr">
        <is>
          <t>日本媒體</t>
        </is>
      </c>
      <c r="L143" s="5" t="inlineStr">
        <is>
          <t>https://39mag.thankyu.co.jp/benesse/154915</t>
        </is>
      </c>
      <c r="M143" s="4" t="inlineStr">
        <is>
          <t>2024-05-05</t>
        </is>
      </c>
      <c r="N143" s="4" t="inlineStr">
        <is>
          <t>2026-10-26</t>
        </is>
      </c>
      <c r="O143" s="4" t="inlineStr">
        <is>
          <t>ja</t>
        </is>
      </c>
      <c r="P143" s="4" t="inlineStr">
        <is>
          <t>high</t>
        </is>
      </c>
    </row>
    <row r="144">
      <c r="A144" s="4" t="inlineStr">
        <is>
          <t>TM-024</t>
        </is>
      </c>
      <c r="B144" s="4" t="inlineStr">
        <is>
          <t>廚房</t>
        </is>
      </c>
      <c r="C144" s="4" t="inlineStr">
        <is>
          <t>伸縮棒/吊掛</t>
        </is>
      </c>
      <c r="D144" s="4" t="inlineStr">
        <is>
          <t>窗框內加伸縮棒吊紙巾與隔熱手套</t>
        </is>
      </c>
      <c r="E144" s="4" t="inlineStr">
        <is>
          <t>廚房窗框是可以利用的位置，在窗框內撐一根伸縮棒，用來掛隔熱手套、廚房紙巾等常用物品。（補充，非原文：烹飪時伸手就拿到。）（一般安全提醒，非原文：不要擋住開窗通風，也不要裝在爐火正上方。）</t>
        </is>
      </c>
      <c r="F144" s="4" t="inlineStr">
        <is>
          <t>撐好伸縮棒；掛上隔熱手套、捲筒紙巾</t>
        </is>
      </c>
      <c r="G144" s="4" t="inlineStr"/>
      <c r="H144" s="4" t="inlineStr">
        <is>
          <t>伸縮棒/吊掛收納</t>
        </is>
      </c>
      <c r="I144" s="4" t="inlineStr"/>
      <c r="J144" s="4" t="inlineStr">
        <is>
          <t>ESSE online｜「つっぱり棒」で家じゅうの収納力がアップ。ごちゃつかずすっきり見せもかなう（つっぱり棒博士・竹内香予子）</t>
        </is>
      </c>
      <c r="K144" s="4" t="inlineStr">
        <is>
          <t>日本媒體</t>
        </is>
      </c>
      <c r="L144" s="5" t="inlineStr">
        <is>
          <t>https://esse-online.jp/articles/-/30019</t>
        </is>
      </c>
      <c r="M144" s="4" t="inlineStr">
        <is>
          <t>2024-09-30</t>
        </is>
      </c>
      <c r="N144" s="4" t="inlineStr">
        <is>
          <t>2026-10-26</t>
        </is>
      </c>
      <c r="O144" s="4" t="inlineStr">
        <is>
          <t>ja</t>
        </is>
      </c>
      <c r="P144" s="4" t="inlineStr">
        <is>
          <t>high</t>
        </is>
      </c>
    </row>
    <row r="145">
      <c r="A145" s="4" t="inlineStr">
        <is>
          <t>TM-025</t>
        </is>
      </c>
      <c r="B145" s="4" t="inlineStr">
        <is>
          <t>廚房</t>
        </is>
      </c>
      <c r="C145" s="4" t="inlineStr">
        <is>
          <t>伸縮棒/伸縮層架</t>
        </is>
      </c>
      <c r="D145" s="4" t="inlineStr">
        <is>
          <t>電鍋上方用伸縮棒加滑動層板</t>
        </is>
      </c>
      <c r="E145" s="4" t="inlineStr">
        <is>
          <t>電鍋或飯鍋上方常空著，可以撐一根伸縮棒，再套上DAISO可伸縮的滑動層板，放香鬆、拌飯料等輕的小物。層板會蓋住伸縮棒，看起來較整齊。（一般安全提醒，非原文：電鍋蒸氣會往上衝，放的東西要耐濕並避開出氣口。）</t>
        </is>
      </c>
      <c r="F145" s="4" t="inlineStr">
        <is>
          <t>撐好伸縮棒；裝上滑動層板；放香鬆等小物</t>
        </is>
      </c>
      <c r="G145" s="4" t="inlineStr"/>
      <c r="H145" s="4" t="inlineStr">
        <is>
          <t>伸縮棒/伸縮層架</t>
        </is>
      </c>
      <c r="I145" s="4" t="inlineStr">
        <is>
          <t>DAISO</t>
        </is>
      </c>
      <c r="J145" s="4" t="inlineStr">
        <is>
          <t>サンキュ！｜目からウロコ！【ダイソー】「ズボラママでも簡単」「収納力を120％にする」DIY収納アイデア6選（監修・reimama）</t>
        </is>
      </c>
      <c r="K145" s="4" t="inlineStr">
        <is>
          <t>日本媒體</t>
        </is>
      </c>
      <c r="L145" s="5" t="inlineStr">
        <is>
          <t>https://39mag.thankyu.co.jp/benesse/215627</t>
        </is>
      </c>
      <c r="M145" s="4" t="inlineStr">
        <is>
          <t>2025-12-20</t>
        </is>
      </c>
      <c r="N145" s="4" t="inlineStr">
        <is>
          <t>2026-10-26</t>
        </is>
      </c>
      <c r="O145" s="4" t="inlineStr">
        <is>
          <t>ja</t>
        </is>
      </c>
      <c r="P145" s="4" t="inlineStr">
        <is>
          <t>high</t>
        </is>
      </c>
    </row>
    <row r="146">
      <c r="A146" s="4" t="inlineStr">
        <is>
          <t>TM-026</t>
        </is>
      </c>
      <c r="B146" s="4" t="inlineStr">
        <is>
          <t>廚房</t>
        </is>
      </c>
      <c r="C146" s="4" t="inlineStr">
        <is>
          <t>伸縮棒/吊掛</t>
        </is>
      </c>
      <c r="D146" s="4" t="inlineStr">
        <is>
          <t>櫃內伸縮桿吊調味粉，下方放收納盒</t>
        </is>
      </c>
      <c r="E146" s="4" t="inlineStr">
        <is>
          <t>在櫥櫃內橫撐一根伸縮桿，用S鉤或長尾夾把袋裝調味粉、乾貨夾起來吊著，下方空間再放收納盒，同一層就分成上下兩區。（一般安全提醒，非原文：袋口要夾緊，避免受潮或灑出。）</t>
        </is>
      </c>
      <c r="F146" s="4" t="inlineStr">
        <is>
          <t>在櫃內上方撐一根伸縮桿；用長尾夾夾住袋口再掛S鉤；下方放收納盒裝其他物品</t>
        </is>
      </c>
      <c r="G146" s="4" t="inlineStr"/>
      <c r="H146" s="4" t="inlineStr">
        <is>
          <t>伸縮棒/掛勾</t>
        </is>
      </c>
      <c r="I146" s="4" t="inlineStr"/>
      <c r="J146" s="4" t="inlineStr">
        <is>
          <t>設計家 Searchome｜免鑽孔、不傷牆！伸縮桿收納懶人包，29招搞定家中雜亂（圖文提供：蛙家）</t>
        </is>
      </c>
      <c r="K146" s="4" t="inlineStr">
        <is>
          <t>台灣媒體</t>
        </is>
      </c>
      <c r="L146" s="5" t="inlineStr">
        <is>
          <t>https://www.searchome.net/article.aspx?id=82596</t>
        </is>
      </c>
      <c r="M146" s="4" t="inlineStr">
        <is>
          <t>2025-08-06</t>
        </is>
      </c>
      <c r="N146" s="4" t="inlineStr">
        <is>
          <t>2026-10-26</t>
        </is>
      </c>
      <c r="O146" s="4" t="inlineStr">
        <is>
          <t>zh-TW</t>
        </is>
      </c>
      <c r="P146" s="4" t="inlineStr">
        <is>
          <t>high</t>
        </is>
      </c>
    </row>
    <row r="147">
      <c r="A147" s="4" t="inlineStr">
        <is>
          <t>TM-027</t>
        </is>
      </c>
      <c r="B147" s="4" t="inlineStr">
        <is>
          <t>廚房</t>
        </is>
      </c>
      <c r="C147" s="4" t="inlineStr">
        <is>
          <t>伸縮棒/高度利用</t>
        </is>
      </c>
      <c r="D147" s="4" t="inlineStr">
        <is>
          <t>廚房上櫃兩根伸縮桿讓水壺側放</t>
        </is>
      </c>
      <c r="E147" s="4" t="inlineStr">
        <is>
          <t>可以在上櫃裡架兩根伸縮桿當托架，把保溫杯、水壺側放在上面。（補充，非原文：直立放太高、平放又會滾時，用桿子托住較穩。）（一般安全提醒，非原文：桿距要比瓶身短才不會滑落；高處物品不要太重。）</t>
        </is>
      </c>
      <c r="F147" s="4" t="inlineStr">
        <is>
          <t>在上櫃內撐兩根伸縮桿；把保溫杯、水壺側放上去</t>
        </is>
      </c>
      <c r="G147" s="4" t="inlineStr"/>
      <c r="H147" s="4" t="inlineStr">
        <is>
          <t>伸縮棒</t>
        </is>
      </c>
      <c r="I147" s="4" t="inlineStr"/>
      <c r="J147" s="4" t="inlineStr">
        <is>
          <t>設計家 Searchome｜免鑽孔、不傷牆！伸縮桿收納懶人包，29招搞定家中雜亂（圖文提供：蛙家）</t>
        </is>
      </c>
      <c r="K147" s="4" t="inlineStr">
        <is>
          <t>台灣媒體</t>
        </is>
      </c>
      <c r="L147" s="5" t="inlineStr">
        <is>
          <t>https://www.searchome.net/article.aspx?id=82596</t>
        </is>
      </c>
      <c r="M147" s="4" t="inlineStr">
        <is>
          <t>2025-08-06</t>
        </is>
      </c>
      <c r="N147" s="4" t="inlineStr">
        <is>
          <t>2026-10-26</t>
        </is>
      </c>
      <c r="O147" s="4" t="inlineStr">
        <is>
          <t>zh-TW</t>
        </is>
      </c>
      <c r="P147" s="4" t="inlineStr">
        <is>
          <t>high</t>
        </is>
      </c>
    </row>
    <row r="148">
      <c r="A148" s="4" t="inlineStr">
        <is>
          <t>TM-028</t>
        </is>
      </c>
      <c r="B148" s="4" t="inlineStr">
        <is>
          <t>廚房</t>
        </is>
      </c>
      <c r="C148" s="4" t="inlineStr">
        <is>
          <t>伸縮棒/直立收納</t>
        </is>
      </c>
      <c r="D148" s="4" t="inlineStr">
        <is>
          <t>伸縮桿斜撐在櫃內，讓盤子砧板直立</t>
        </is>
      </c>
      <c r="E148" s="4" t="inlineStr">
        <is>
          <t>廚房上櫃單層很高時，可以把伸縮桿垂直撐在櫃內、上下頂緊，當作活動隔板，盤子、砧板、小鍋子就能直立靠著放。伸縮桿一定要上下頂穩，否則抽拿時容易鬆脫。</t>
        </is>
      </c>
      <c r="F148" s="4" t="inlineStr">
        <is>
          <t>把伸縮桿上下撐緊；把盤子、砧板靠著桿直立擺放</t>
        </is>
      </c>
      <c r="G148" s="4" t="inlineStr"/>
      <c r="H148" s="4" t="inlineStr">
        <is>
          <t>伸縮棒</t>
        </is>
      </c>
      <c r="I148" s="4" t="inlineStr"/>
      <c r="J148" s="4" t="inlineStr">
        <is>
          <t>設計家 Searchome｜櫥櫃太深、太高好難用？櫥櫃收納攻略一次看，取物擺放整齊又輕鬆（圖文提供：蛙家）</t>
        </is>
      </c>
      <c r="K148" s="4" t="inlineStr">
        <is>
          <t>台灣媒體</t>
        </is>
      </c>
      <c r="L148" s="5" t="inlineStr">
        <is>
          <t>https://www.searchome.net/article.aspx?id=80565</t>
        </is>
      </c>
      <c r="M148" s="4" t="inlineStr">
        <is>
          <t>2025-01-17</t>
        </is>
      </c>
      <c r="N148" s="4" t="inlineStr">
        <is>
          <t>2026-10-26</t>
        </is>
      </c>
      <c r="O148" s="4" t="inlineStr">
        <is>
          <t>zh-TW</t>
        </is>
      </c>
      <c r="P148" s="4" t="inlineStr">
        <is>
          <t>high</t>
        </is>
      </c>
    </row>
    <row r="149">
      <c r="A149" s="4" t="inlineStr">
        <is>
          <t>TM-029</t>
        </is>
      </c>
      <c r="B149" s="4" t="inlineStr">
        <is>
          <t>廚房</t>
        </is>
      </c>
      <c r="C149" s="4" t="inlineStr">
        <is>
          <t>伸縮棒/直立收納</t>
        </is>
      </c>
      <c r="D149" s="4" t="inlineStr">
        <is>
          <t>兩根伸縮桿讓泡麵飲料立著放</t>
        </is>
      </c>
      <c r="E149" s="4" t="inlineStr">
        <is>
          <t>零食櫃裡的泡麵、盒裝飲料容易倒，可以在櫃內直立撐兩根伸縮桿當擋板，把物品夾在中間直立排列。（補充，非原文：抽出一包也不會整排倒下。）</t>
        </is>
      </c>
      <c r="F149" s="4" t="inlineStr">
        <is>
          <t>在櫃內直立撐兩根伸縮桿；把泡麵、飲料靠桿直立排好</t>
        </is>
      </c>
      <c r="G149" s="4" t="inlineStr"/>
      <c r="H149" s="4" t="inlineStr">
        <is>
          <t>伸縮棒</t>
        </is>
      </c>
      <c r="I149" s="4" t="inlineStr"/>
      <c r="J149" s="4" t="inlineStr">
        <is>
          <t>設計家 Searchome｜免鑽孔、不傷牆！伸縮桿收納懶人包，29招搞定家中雜亂（圖文提供：蛙家）</t>
        </is>
      </c>
      <c r="K149" s="4" t="inlineStr">
        <is>
          <t>台灣媒體</t>
        </is>
      </c>
      <c r="L149" s="5" t="inlineStr">
        <is>
          <t>https://www.searchome.net/article.aspx?id=82596</t>
        </is>
      </c>
      <c r="M149" s="4" t="inlineStr">
        <is>
          <t>2025-08-06</t>
        </is>
      </c>
      <c r="N149" s="4" t="inlineStr">
        <is>
          <t>2026-10-26</t>
        </is>
      </c>
      <c r="O149" s="4" t="inlineStr">
        <is>
          <t>zh-TW</t>
        </is>
      </c>
      <c r="P149" s="4" t="inlineStr">
        <is>
          <t>medium</t>
        </is>
      </c>
    </row>
    <row r="150">
      <c r="A150" s="4" t="inlineStr">
        <is>
          <t>TM-030</t>
        </is>
      </c>
      <c r="B150" s="4" t="inlineStr">
        <is>
          <t>廚房</t>
        </is>
      </c>
      <c r="C150" s="4" t="inlineStr">
        <is>
          <t>伸縮棒</t>
        </is>
      </c>
      <c r="D150" s="4" t="inlineStr">
        <is>
          <t>伸縮桿當紙巾、烘焙紙的捲軸</t>
        </is>
      </c>
      <c r="E150" s="4" t="inlineStr">
        <is>
          <t>廚房紙巾、烘焙紙、鋁箔紙的紙筒可以穿在一根伸縮桿上，再把桿撐在櫥櫃內。（補充，非原文：要用時直接拉出撕下，不用整捲拿出來。）（一般安全提醒，非原文：紙卷不要靠近爐火或熱源。）</t>
        </is>
      </c>
      <c r="F150" s="4" t="inlineStr">
        <is>
          <t>把紙卷套在伸縮桿上；在櫥櫃內撐好伸縮桿</t>
        </is>
      </c>
      <c r="G150" s="4" t="inlineStr"/>
      <c r="H150" s="4" t="inlineStr">
        <is>
          <t>伸縮棒</t>
        </is>
      </c>
      <c r="I150" s="4" t="inlineStr"/>
      <c r="J150" s="4" t="inlineStr">
        <is>
          <t>設計家 Searchome｜免鑽孔、不傷牆！伸縮桿收納懶人包，29招搞定家中雜亂（圖文提供：蛙家）</t>
        </is>
      </c>
      <c r="K150" s="4" t="inlineStr">
        <is>
          <t>台灣媒體</t>
        </is>
      </c>
      <c r="L150" s="5" t="inlineStr">
        <is>
          <t>https://www.searchome.net/article.aspx?id=82596</t>
        </is>
      </c>
      <c r="M150" s="4" t="inlineStr">
        <is>
          <t>2025-08-06</t>
        </is>
      </c>
      <c r="N150" s="4" t="inlineStr">
        <is>
          <t>2026-10-26</t>
        </is>
      </c>
      <c r="O150" s="4" t="inlineStr">
        <is>
          <t>zh-TW</t>
        </is>
      </c>
      <c r="P150" s="4" t="inlineStr">
        <is>
          <t>high</t>
        </is>
      </c>
    </row>
    <row r="151">
      <c r="A151" s="4" t="inlineStr">
        <is>
          <t>TM-031</t>
        </is>
      </c>
      <c r="B151" s="4" t="inlineStr">
        <is>
          <t>廚房</t>
        </is>
      </c>
      <c r="C151" s="4" t="inlineStr">
        <is>
          <t>伸縮棒/伸縮層架</t>
        </is>
      </c>
      <c r="D151" s="4" t="inlineStr">
        <is>
          <t>抽油煙機上方用伸縮棒加層架</t>
        </is>
      </c>
      <c r="E151" s="4" t="inlineStr">
        <is>
          <t>抽油煙機與吊櫃之間的空隙，可用伸縮棒加層架做出一層，放篩網、乾布等輕物。（一般安全提醒，非原文：這裡溫度高、油氣重，只放耐熱不怕油的物品並定期清潔。）</t>
        </is>
      </c>
      <c r="F151" s="4" t="inlineStr">
        <is>
          <t>撐伸縮棒並裝上層架；放篩網、毛巾等輕物</t>
        </is>
      </c>
      <c r="G151" s="4" t="inlineStr"/>
      <c r="H151" s="4" t="inlineStr">
        <is>
          <t>伸縮棒/伸縮層架</t>
        </is>
      </c>
      <c r="I151" s="4" t="inlineStr"/>
      <c r="J151" s="4" t="inlineStr">
        <is>
          <t>設計家 Searchome｜免鑽孔、不傷牆！伸縮桿收納懶人包，29招搞定家中雜亂（圖文提供：蛙家）</t>
        </is>
      </c>
      <c r="K151" s="4" t="inlineStr">
        <is>
          <t>台灣媒體</t>
        </is>
      </c>
      <c r="L151" s="5" t="inlineStr">
        <is>
          <t>https://www.searchome.net/article.aspx?id=82596</t>
        </is>
      </c>
      <c r="M151" s="4" t="inlineStr">
        <is>
          <t>2025-08-06</t>
        </is>
      </c>
      <c r="N151" s="4" t="inlineStr">
        <is>
          <t>2026-10-26</t>
        </is>
      </c>
      <c r="O151" s="4" t="inlineStr">
        <is>
          <t>zh-TW</t>
        </is>
      </c>
      <c r="P151" s="4" t="inlineStr">
        <is>
          <t>high</t>
        </is>
      </c>
    </row>
    <row r="152">
      <c r="A152" s="4" t="inlineStr">
        <is>
          <t>TM-032</t>
        </is>
      </c>
      <c r="B152" s="4" t="inlineStr">
        <is>
          <t>廚房</t>
        </is>
      </c>
      <c r="C152" s="4" t="inlineStr">
        <is>
          <t>伸縮棒/吊掛</t>
        </is>
      </c>
      <c r="D152" s="4" t="inlineStr">
        <is>
          <t>水槽內側裝伸縮桿晾抹布</t>
        </is>
      </c>
      <c r="E152" s="4" t="inlineStr">
        <is>
          <t>水槽內兩側之間可以撐一根伸縮桿，用來晾抹布，抹布通風較快乾。（一般安全提醒，非原文：高度別妨礙洗碗，抹布不要垂進水槽。）</t>
        </is>
      </c>
      <c r="F152" s="4" t="inlineStr">
        <is>
          <t>撐好伸縮桿並調整高度；掛上抹布</t>
        </is>
      </c>
      <c r="G152" s="4" t="inlineStr"/>
      <c r="H152" s="4" t="inlineStr">
        <is>
          <t>伸縮棒</t>
        </is>
      </c>
      <c r="I152" s="4" t="inlineStr"/>
      <c r="J152" s="4" t="inlineStr">
        <is>
          <t>設計家 Searchome｜免鑽孔、不傷牆！伸縮桿收納懶人包，29招搞定家中雜亂（圖文提供：蛙家）</t>
        </is>
      </c>
      <c r="K152" s="4" t="inlineStr">
        <is>
          <t>台灣媒體</t>
        </is>
      </c>
      <c r="L152" s="5" t="inlineStr">
        <is>
          <t>https://www.searchome.net/article.aspx?id=82596</t>
        </is>
      </c>
      <c r="M152" s="4" t="inlineStr">
        <is>
          <t>2025-08-06</t>
        </is>
      </c>
      <c r="N152" s="4" t="inlineStr">
        <is>
          <t>2026-10-26</t>
        </is>
      </c>
      <c r="O152" s="4" t="inlineStr">
        <is>
          <t>zh-TW</t>
        </is>
      </c>
      <c r="P152" s="4" t="inlineStr">
        <is>
          <t>high</t>
        </is>
      </c>
    </row>
    <row r="153">
      <c r="A153" s="4" t="inlineStr">
        <is>
          <t>TM-033</t>
        </is>
      </c>
      <c r="B153" s="4" t="inlineStr">
        <is>
          <t>層架</t>
        </is>
      </c>
      <c r="C153" s="4" t="inlineStr">
        <is>
          <t>伸縮棒/可視化</t>
        </is>
      </c>
      <c r="D153" s="4" t="inlineStr">
        <is>
          <t>食品櫃用兩根伸縮棒讓後排盒子斜靠</t>
        </is>
      </c>
      <c r="E153" s="4" t="inlineStr">
        <is>
          <t>食品櫃很深時，後排的盒子容易被擋住。整理師在後方架兩根伸縮棒，讓後排的盒子斜靠在棒上，內容物從前面就看得到，可以避免食物過期被遺忘。</t>
        </is>
      </c>
      <c r="F153" s="4" t="inlineStr">
        <is>
          <t>在食品櫃後方撐兩根伸縮棒；把盒子斜靠在棒上</t>
        </is>
      </c>
      <c r="G153" s="4" t="inlineStr"/>
      <c r="H153" s="4" t="inlineStr">
        <is>
          <t>伸縮棒</t>
        </is>
      </c>
      <c r="I153" s="4" t="inlineStr"/>
      <c r="J153" s="4" t="inlineStr">
        <is>
          <t>ESSE online｜元・汚部屋出身でも、きれいなキッチンをキープする収納4選。「つっぱり棒」が救世主に（整理収納アドバイザー・ぴょり）</t>
        </is>
      </c>
      <c r="K153" s="4" t="inlineStr">
        <is>
          <t>日本媒體</t>
        </is>
      </c>
      <c r="L153" s="5" t="inlineStr">
        <is>
          <t>https://esse-online.jp/articles/-/32551</t>
        </is>
      </c>
      <c r="M153" s="4" t="inlineStr">
        <is>
          <t>2025-04-20</t>
        </is>
      </c>
      <c r="N153" s="4" t="inlineStr">
        <is>
          <t>2026-10-26</t>
        </is>
      </c>
      <c r="O153" s="4" t="inlineStr">
        <is>
          <t>ja</t>
        </is>
      </c>
      <c r="P153" s="4" t="inlineStr">
        <is>
          <t>high</t>
        </is>
      </c>
    </row>
    <row r="154">
      <c r="A154" s="4" t="inlineStr">
        <is>
          <t>TM-034</t>
        </is>
      </c>
      <c r="B154" s="4" t="inlineStr">
        <is>
          <t>抽屜</t>
        </is>
      </c>
      <c r="C154" s="4" t="inlineStr">
        <is>
          <t>伸縮棒/直立收納</t>
        </is>
      </c>
      <c r="D154" s="4" t="inlineStr">
        <is>
          <t>鍋具抽屜側邊加伸縮棒讓鍋蓋直立</t>
        </is>
      </c>
      <c r="E154" s="4" t="inlineStr">
        <is>
          <t>放鍋具的深抽屜裡，鍋蓋容易散在鍋子上。在抽屜側邊橫撐一根伸縮棒，鍋蓋靠著棒立起來收，抽屜一拉開就拿得到。（一般安全提醒，非原文：抽屜開關會晃，伸縮棒要撐緊。）</t>
        </is>
      </c>
      <c r="F154" s="4" t="inlineStr">
        <is>
          <t>在靠側邊處撐好伸縮棒；把鍋蓋直立靠著棒放</t>
        </is>
      </c>
      <c r="G154" s="4" t="inlineStr"/>
      <c r="H154" s="4" t="inlineStr">
        <is>
          <t>伸縮棒</t>
        </is>
      </c>
      <c r="I154" s="4" t="inlineStr"/>
      <c r="J154" s="4" t="inlineStr">
        <is>
          <t>ESSE online｜「つっぱり棒」で家じゅう片づく。キッチン・クローゼット・トイレ収納に活用（ライター・小林さん）</t>
        </is>
      </c>
      <c r="K154" s="4" t="inlineStr">
        <is>
          <t>日本媒體</t>
        </is>
      </c>
      <c r="L154" s="5" t="inlineStr">
        <is>
          <t>https://esse-online.jp/articles/-/29782</t>
        </is>
      </c>
      <c r="M154" s="4" t="inlineStr">
        <is>
          <t>2024-08-28</t>
        </is>
      </c>
      <c r="N154" s="4" t="inlineStr">
        <is>
          <t>2026-10-26</t>
        </is>
      </c>
      <c r="O154" s="4" t="inlineStr">
        <is>
          <t>ja</t>
        </is>
      </c>
      <c r="P154" s="4" t="inlineStr">
        <is>
          <t>high</t>
        </is>
      </c>
    </row>
    <row r="155">
      <c r="A155" s="4" t="inlineStr">
        <is>
          <t>TM-035</t>
        </is>
      </c>
      <c r="B155" s="4" t="inlineStr">
        <is>
          <t>抽屜</t>
        </is>
      </c>
      <c r="C155" s="4" t="inlineStr">
        <is>
          <t>伸縮棒/分區</t>
        </is>
      </c>
      <c r="D155" s="4" t="inlineStr">
        <is>
          <t>抽屜內撐伸縮棒固定保鮮膜盒</t>
        </is>
      </c>
      <c r="E155" s="4" t="inlineStr">
        <is>
          <t>抽屜裡的保鮮膜、鋁箔紙盒會隨開關滑動，可以在抽屜內撐一根伸縮棒把它們卡住，也能當簡易隔板防止其他物品亂跑。</t>
        </is>
      </c>
      <c r="F155" s="4" t="inlineStr"/>
      <c r="G155" s="4" t="inlineStr"/>
      <c r="H155" s="4" t="inlineStr">
        <is>
          <t>伸縮棒/抽屜隔板</t>
        </is>
      </c>
      <c r="I155" s="4" t="inlineStr"/>
      <c r="J155" s="4" t="inlineStr">
        <is>
          <t>サンキュ！｜収納の達人に学ぶ！キッチン「シンク下収納」のアイデア実例（サンキュ！WEBトレンド班）（IG 投稿合集）</t>
        </is>
      </c>
      <c r="K155" s="4" t="inlineStr">
        <is>
          <t>日本媒體</t>
        </is>
      </c>
      <c r="L155" s="5" t="inlineStr">
        <is>
          <t>https://39mag.thankyu.co.jp/article/living/storage/250279/</t>
        </is>
      </c>
      <c r="M155" s="4" t="inlineStr">
        <is>
          <t>2024-06-13</t>
        </is>
      </c>
      <c r="N155" s="4" t="inlineStr">
        <is>
          <t>2026-10-26</t>
        </is>
      </c>
      <c r="O155" s="4" t="inlineStr">
        <is>
          <t>ja</t>
        </is>
      </c>
      <c r="P155" s="4" t="inlineStr">
        <is>
          <t>medium</t>
        </is>
      </c>
    </row>
    <row r="156">
      <c r="A156" s="4" t="inlineStr">
        <is>
          <t>TM-036</t>
        </is>
      </c>
      <c r="B156" s="4" t="inlineStr">
        <is>
          <t>廚房</t>
        </is>
      </c>
      <c r="C156" s="4" t="inlineStr">
        <is>
          <t>鐵網/伸縮棒</t>
        </is>
      </c>
      <c r="D156" s="4" t="inlineStr">
        <is>
          <t>鐵網兩側折成直角，掛在伸縮棒上收垃圾袋</t>
        </is>
      </c>
      <c r="E156" s="4" t="inlineStr">
        <is>
          <t>爐台下的櫃子可以把鐵網兩側折成直角，做成簡易的籃架，再穿過伸縮棒吊掛在櫃內，用來放垃圾袋等輕物。（一般安全提醒，非原文：折鐵網時戴手套，避免被切口刮傷。）</t>
        </is>
      </c>
      <c r="F156" s="4" t="inlineStr">
        <is>
          <t>把鐵網兩側向內折成直角；在櫃內撐好伸縮棒；把折好的鐵網掛在棒上；放入垃圾袋</t>
        </is>
      </c>
      <c r="G156" s="4" t="inlineStr"/>
      <c r="H156" s="4" t="inlineStr">
        <is>
          <t>鐵網/伸縮棒</t>
        </is>
      </c>
      <c r="I156" s="4" t="inlineStr"/>
      <c r="J156" s="4" t="inlineStr">
        <is>
          <t>ESSE online｜100均「ワイヤーネット」片付け実例集。マネないと損するレベルかも（整理収納アドバイザー・露重和子）</t>
        </is>
      </c>
      <c r="K156" s="4" t="inlineStr">
        <is>
          <t>日本媒體</t>
        </is>
      </c>
      <c r="L156" s="5" t="inlineStr">
        <is>
          <t>https://esse-online.jp/articles/-/8125</t>
        </is>
      </c>
      <c r="M156" s="4" t="inlineStr">
        <is>
          <t>2020-07-06</t>
        </is>
      </c>
      <c r="N156" s="4" t="inlineStr">
        <is>
          <t>2026-10-26</t>
        </is>
      </c>
      <c r="O156" s="4" t="inlineStr">
        <is>
          <t>ja</t>
        </is>
      </c>
      <c r="P156" s="4" t="inlineStr">
        <is>
          <t>high</t>
        </is>
      </c>
    </row>
    <row r="157">
      <c r="A157" s="4" t="inlineStr">
        <is>
          <t>TM-037</t>
        </is>
      </c>
      <c r="B157" s="4" t="inlineStr">
        <is>
          <t>冰箱</t>
        </is>
      </c>
      <c r="C157" s="4" t="inlineStr">
        <is>
          <t>鐵網/掛勾</t>
        </is>
      </c>
      <c r="D157" s="4" t="inlineStr">
        <is>
          <t>冰箱側邊6公分縫用磁吸桿夾鐵網做拉出式收納</t>
        </is>
      </c>
      <c r="E157" s="4" t="inlineStr">
        <is>
          <t>冰箱與牆之間約6公分的縫，可以用兩根磁吸壁桿在上下夾住一片鐵網，再掛掛勾吊剪刀、抹布，要用時拉出來、用完推回去。磁力差異大，先只掛輕物觀察幾天，沒有下滑再慢慢增加。</t>
        </is>
      </c>
      <c r="F157" s="4" t="inlineStr">
        <is>
          <t>量冰箱側縫寬度；把兩根磁吸壁桿吸在冰箱側面上下夾住鐵網；掛上掛勾吊輕物；觀察數天確認不會下滑</t>
        </is>
      </c>
      <c r="G157" s="4" t="inlineStr"/>
      <c r="H157" s="4" t="inlineStr">
        <is>
          <t>鐵網/掛勾</t>
        </is>
      </c>
      <c r="I157" s="4" t="inlineStr"/>
      <c r="J157" s="4" t="inlineStr">
        <is>
          <t>LIMO｜【ワイヤーネット活用術】カラーボックスの「上の空間」と冷蔵庫横「6cmの隙間」が、置くだけ・挟むだけで収納に変身！（LIMODIY部）</t>
        </is>
      </c>
      <c r="K157" s="4" t="inlineStr">
        <is>
          <t>日本媒體</t>
        </is>
      </c>
      <c r="L157" s="5" t="inlineStr">
        <is>
          <t>https://limo.media/articles/-/137036</t>
        </is>
      </c>
      <c r="M157" s="4" t="inlineStr">
        <is>
          <t>2026-09-14</t>
        </is>
      </c>
      <c r="N157" s="4" t="inlineStr">
        <is>
          <t>2026-10-26</t>
        </is>
      </c>
      <c r="O157" s="4" t="inlineStr">
        <is>
          <t>ja</t>
        </is>
      </c>
      <c r="P157" s="4" t="inlineStr">
        <is>
          <t>high</t>
        </is>
      </c>
    </row>
    <row r="158">
      <c r="A158" s="4" t="inlineStr">
        <is>
          <t>TM-038</t>
        </is>
      </c>
      <c r="B158" s="4" t="inlineStr">
        <is>
          <t>冰箱</t>
        </is>
      </c>
      <c r="C158" s="4" t="inlineStr">
        <is>
          <t>磁吸/掛勾</t>
        </is>
      </c>
      <c r="D158" s="4" t="inlineStr">
        <is>
          <t>冰箱側面掛物別貼滿，留散熱空間</t>
        </is>
      </c>
      <c r="E158" s="4" t="inlineStr">
        <is>
          <t>冰箱側面可以用磁鐵掛文件夾、月曆、遙控器、封口夾，散亂的小物也能在背面貼磁片吸上去。不過側面貼太多東西可能妨礙冰箱散熱，要留出空白。（一般安全提醒，非原文：掛的東西以輕物為主。）</t>
        </is>
      </c>
      <c r="F158" s="4" t="inlineStr">
        <is>
          <t>用磁鐵把文件夾、月曆等吸在側面；不要貼太多以免妨礙散熱</t>
        </is>
      </c>
      <c r="G158" s="4" t="inlineStr"/>
      <c r="H158" s="4" t="inlineStr">
        <is>
          <t>掛勾</t>
        </is>
      </c>
      <c r="I158" s="4" t="inlineStr"/>
      <c r="J158" s="4" t="inlineStr">
        <is>
          <t>ESSE online｜忘れものを減らす「マグネット収納」6例。玄関にはって家じゅうすっきり（整理収納コンサルタント・本多さおり）</t>
        </is>
      </c>
      <c r="K158" s="4" t="inlineStr">
        <is>
          <t>日本媒體</t>
        </is>
      </c>
      <c r="L158" s="5" t="inlineStr">
        <is>
          <t>https://esse-online.jp/articles/-/30030</t>
        </is>
      </c>
      <c r="M158" s="4" t="inlineStr">
        <is>
          <t>2024-10-11</t>
        </is>
      </c>
      <c r="N158" s="4" t="inlineStr">
        <is>
          <t>2026-10-26</t>
        </is>
      </c>
      <c r="O158" s="4" t="inlineStr">
        <is>
          <t>ja</t>
        </is>
      </c>
      <c r="P158" s="4" t="inlineStr">
        <is>
          <t>high</t>
        </is>
      </c>
    </row>
    <row r="159">
      <c r="A159" s="4" t="inlineStr">
        <is>
          <t>TM-039</t>
        </is>
      </c>
      <c r="B159" s="4" t="inlineStr">
        <is>
          <t>冰箱</t>
        </is>
      </c>
      <c r="C159" s="4" t="inlineStr">
        <is>
          <t>磁吸/掛勾/安全</t>
        </is>
      </c>
      <c r="D159" s="4" t="inlineStr">
        <is>
          <t>冰箱側面磁吸掛勾要看耐重</t>
        </is>
      </c>
      <c r="E159" s="4" t="inlineStr">
        <is>
          <t>冰箱側面用磁吸掛勾吊掃把等清潔用具時，接觸面長、整條都有磁力的掛勾比較穩，不容易轉向或掉落。作者用的款式耐重約200公克，掛的東西要先秤重，不要超過標示值。</t>
        </is>
      </c>
      <c r="F159" s="4" t="inlineStr">
        <is>
          <t>選接觸面長的磁吸掛勾；先確認物品重量在耐重範圍內再掛</t>
        </is>
      </c>
      <c r="G159" s="4" t="inlineStr"/>
      <c r="H159" s="4" t="inlineStr">
        <is>
          <t>掛勾</t>
        </is>
      </c>
      <c r="I159" s="4" t="inlineStr"/>
      <c r="J159" s="4" t="inlineStr">
        <is>
          <t>ROOMIE｜冷蔵庫の引っ掛け収納。「マグネットフック」を変えたら見違えたよ（sato）</t>
        </is>
      </c>
      <c r="K159" s="4" t="inlineStr">
        <is>
          <t>日本媒體</t>
        </is>
      </c>
      <c r="L159" s="5" t="inlineStr">
        <is>
          <t>https://www.roomie.jp/2025/10/1625820/</t>
        </is>
      </c>
      <c r="M159" s="4" t="inlineStr">
        <is>
          <t>2025-10-25</t>
        </is>
      </c>
      <c r="N159" s="4" t="inlineStr">
        <is>
          <t>2026-10-26</t>
        </is>
      </c>
      <c r="O159" s="4" t="inlineStr">
        <is>
          <t>ja</t>
        </is>
      </c>
      <c r="P159" s="4" t="inlineStr">
        <is>
          <t>high</t>
        </is>
      </c>
    </row>
    <row r="160">
      <c r="A160" s="4" t="inlineStr">
        <is>
          <t>TM-040</t>
        </is>
      </c>
      <c r="B160" s="4" t="inlineStr">
        <is>
          <t>冰箱</t>
        </is>
      </c>
      <c r="C160" s="4" t="inlineStr">
        <is>
          <t>伸縮棒/吊掛</t>
        </is>
      </c>
      <c r="D160" s="4" t="inlineStr">
        <is>
          <t>冰箱內撐伸縮桿吊袋裝食品</t>
        </is>
      </c>
      <c r="E160" s="4" t="inlineStr">
        <is>
          <t>冰箱層板之間撐一根伸縮桿，再用掛勾夾把袋裝食品夾住吊著。（補充，非原文：袋子不會壓在其他食材上，數量也一目瞭然。）（一般安全提醒，非原文：伸縮桿撐在冰箱兩側內壁時不要撐太緊，以免壓傷內壁。）</t>
        </is>
      </c>
      <c r="F160" s="4" t="inlineStr">
        <is>
          <t>在層板間撐一根伸縮桿；用掛勾夾夾袋口吊上</t>
        </is>
      </c>
      <c r="G160" s="4" t="inlineStr"/>
      <c r="H160" s="4" t="inlineStr">
        <is>
          <t>伸縮棒/掛勾</t>
        </is>
      </c>
      <c r="I160" s="4" t="inlineStr"/>
      <c r="J160" s="4" t="inlineStr">
        <is>
          <t>設計家 Searchome｜免鑽孔、不傷牆！伸縮桿收納懶人包，29招搞定家中雜亂（圖文提供：蛙家）</t>
        </is>
      </c>
      <c r="K160" s="4" t="inlineStr">
        <is>
          <t>台灣媒體</t>
        </is>
      </c>
      <c r="L160" s="5" t="inlineStr">
        <is>
          <t>https://www.searchome.net/article.aspx?id=82596</t>
        </is>
      </c>
      <c r="M160" s="4" t="inlineStr">
        <is>
          <t>2025-08-06</t>
        </is>
      </c>
      <c r="N160" s="4" t="inlineStr">
        <is>
          <t>2026-10-26</t>
        </is>
      </c>
      <c r="O160" s="4" t="inlineStr">
        <is>
          <t>zh-TW</t>
        </is>
      </c>
      <c r="P160" s="4" t="inlineStr">
        <is>
          <t>high</t>
        </is>
      </c>
    </row>
    <row r="161">
      <c r="A161" s="4" t="inlineStr">
        <is>
          <t>TM-041</t>
        </is>
      </c>
      <c r="B161" s="4" t="inlineStr">
        <is>
          <t>冰箱</t>
        </is>
      </c>
      <c r="C161" s="4" t="inlineStr">
        <is>
          <t>伸縮層架/分區</t>
        </is>
      </c>
      <c r="D161" s="4" t="inlineStr">
        <is>
          <t>冰箱內加伸縮架做即食區</t>
        </is>
      </c>
      <c r="E161" s="4" t="inlineStr">
        <is>
          <t>NITORI的伸縮廚房收納架可以依冰箱寬度調整，放進冷藏室多做一層，上層擺剩菜、便當、切好的水果當即食區，拿東西時不會互相擋住。（補充，非原文：放之前先量冷藏室的內寬與層高。）</t>
        </is>
      </c>
      <c r="F161" s="4" t="inlineStr">
        <is>
          <t>把伸縮收納架調到合適寬度放入；上層設為即食區</t>
        </is>
      </c>
      <c r="G161" s="4" t="inlineStr">
        <is>
          <t>伸縮廚房收納架</t>
        </is>
      </c>
      <c r="H161" s="4" t="inlineStr">
        <is>
          <t>伸縮層架</t>
        </is>
      </c>
      <c r="I161" s="4" t="inlineStr">
        <is>
          <t>NITORI</t>
        </is>
      </c>
      <c r="J161" s="4" t="inlineStr">
        <is>
          <t>設計家 Searchome｜整理師愛用推薦！精選12項冰箱收納品，一次實踐無印風冰箱收納（圖文提供：蛙家；整理師小姮、李欣、Paisley）</t>
        </is>
      </c>
      <c r="K161" s="4" t="inlineStr">
        <is>
          <t>台灣媒體</t>
        </is>
      </c>
      <c r="L161" s="5" t="inlineStr">
        <is>
          <t>https://www.searchome.net/article.aspx?id=76595</t>
        </is>
      </c>
      <c r="M161" s="4" t="inlineStr">
        <is>
          <t>2024-01-12</t>
        </is>
      </c>
      <c r="N161" s="4" t="inlineStr">
        <is>
          <t>2026-10-26</t>
        </is>
      </c>
      <c r="O161" s="4" t="inlineStr">
        <is>
          <t>zh-TW</t>
        </is>
      </c>
      <c r="P161" s="4" t="inlineStr">
        <is>
          <t>high</t>
        </is>
      </c>
    </row>
    <row r="162">
      <c r="A162" s="4" t="inlineStr">
        <is>
          <t>TM-042</t>
        </is>
      </c>
      <c r="B162" s="4" t="inlineStr">
        <is>
          <t>冰箱</t>
        </is>
      </c>
      <c r="C162" s="4" t="inlineStr">
        <is>
          <t>吊掛收納/高度利用</t>
        </is>
      </c>
      <c r="D162" s="4" t="inlineStr">
        <is>
          <t>層板下夾抽屜盒放小包食品</t>
        </is>
      </c>
      <c r="E162" s="4" t="inlineStr">
        <is>
          <t>冰箱層板下方常有空隙，可以夾上NITORI或DAISO的層板下抽屜盒，放起司片、果凍等小包裝食品。盒子上方透明，看得到裡面有什麼。（一般安全提醒，非原文：先確認層板厚度在夾口範圍內，且不要放太重。）</t>
        </is>
      </c>
      <c r="F162" s="4" t="inlineStr">
        <is>
          <t>把抽屜盒夾在層板下；放入起司片、果凍等小物</t>
        </is>
      </c>
      <c r="G162" s="4" t="inlineStr">
        <is>
          <t>層板下收納盒</t>
        </is>
      </c>
      <c r="H162" s="4" t="inlineStr">
        <is>
          <t>吊掛收納</t>
        </is>
      </c>
      <c r="I162" s="4" t="inlineStr">
        <is>
          <t>NITORI/DAISO</t>
        </is>
      </c>
      <c r="J162" s="4" t="inlineStr">
        <is>
          <t>設計家 Searchome｜整理師愛用推薦！精選12項冰箱收納品，一次實踐無印風冰箱收納（圖文提供：蛙家；整理師小姮、李欣、Paisley）</t>
        </is>
      </c>
      <c r="K162" s="4" t="inlineStr">
        <is>
          <t>台灣媒體</t>
        </is>
      </c>
      <c r="L162" s="5" t="inlineStr">
        <is>
          <t>https://www.searchome.net/article.aspx?id=76595</t>
        </is>
      </c>
      <c r="M162" s="4" t="inlineStr">
        <is>
          <t>2024-01-12</t>
        </is>
      </c>
      <c r="N162" s="4" t="inlineStr">
        <is>
          <t>2026-10-26</t>
        </is>
      </c>
      <c r="O162" s="4" t="inlineStr">
        <is>
          <t>zh-TW</t>
        </is>
      </c>
      <c r="P162" s="4" t="inlineStr">
        <is>
          <t>high</t>
        </is>
      </c>
    </row>
    <row r="163">
      <c r="A163" s="4" t="inlineStr">
        <is>
          <t>TM-043</t>
        </is>
      </c>
      <c r="B163" s="4" t="inlineStr">
        <is>
          <t>冰箱</t>
        </is>
      </c>
      <c r="C163" s="4" t="inlineStr">
        <is>
          <t>分區/標籤</t>
        </is>
      </c>
      <c r="D163" s="4" t="inlineStr">
        <is>
          <t>冷藏室統一用同款盒並貼標籤</t>
        </is>
      </c>
      <c r="E163" s="4" t="inlineStr">
        <is>
          <t>整理師建議冷藏室的盒子統一款式，例如MUJI的軟質聚乙烯盒，耐冷、可水洗、有蓋可疊，用來分裝小份食材。盒子不透明可以遮住雜亂，外盒再貼標籤寫內容物，家人也找得到。</t>
        </is>
      </c>
      <c r="F163" s="4" t="inlineStr">
        <is>
          <t>選同一款可疊的收納盒；分裝食材並在盒外貼標籤</t>
        </is>
      </c>
      <c r="G163" s="4" t="inlineStr">
        <is>
          <t>軟質聚乙烯收納盒</t>
        </is>
      </c>
      <c r="H163" s="4" t="inlineStr"/>
      <c r="I163" s="4" t="inlineStr">
        <is>
          <t>MUJI</t>
        </is>
      </c>
      <c r="J163" s="4" t="inlineStr">
        <is>
          <t>設計家 Searchome｜整理師愛用推薦！精選12項冰箱收納品，一次實踐無印風冰箱收納（圖文提供：蛙家；整理師小姮、李欣、Paisley）</t>
        </is>
      </c>
      <c r="K163" s="4" t="inlineStr">
        <is>
          <t>台灣媒體</t>
        </is>
      </c>
      <c r="L163" s="5" t="inlineStr">
        <is>
          <t>https://www.searchome.net/article.aspx?id=76595</t>
        </is>
      </c>
      <c r="M163" s="4" t="inlineStr">
        <is>
          <t>2024-01-12</t>
        </is>
      </c>
      <c r="N163" s="4" t="inlineStr">
        <is>
          <t>2026-10-26</t>
        </is>
      </c>
      <c r="O163" s="4" t="inlineStr">
        <is>
          <t>zh-TW</t>
        </is>
      </c>
      <c r="P163" s="4" t="inlineStr">
        <is>
          <t>high</t>
        </is>
      </c>
    </row>
    <row r="164">
      <c r="A164" s="4" t="inlineStr">
        <is>
          <t>TM-044</t>
        </is>
      </c>
      <c r="B164" s="4" t="inlineStr">
        <is>
          <t>冰箱</t>
        </is>
      </c>
      <c r="C164" s="4" t="inlineStr">
        <is>
          <t>掛勾/門邊</t>
        </is>
      </c>
      <c r="D164" s="4" t="inlineStr">
        <is>
          <t>用鋼絲夾把軟管醬料掛在門邊</t>
        </is>
      </c>
      <c r="E164" s="4" t="inlineStr">
        <is>
          <t>MUJI的不鏽鋼絲夾可以夾住軟管醬料的尾端，再掛在冰箱門邊的格子上，也不占冰箱內部空間。（補充，非原文：軟管倒吊時醬料會集中在出口。）</t>
        </is>
      </c>
      <c r="F164" s="4" t="inlineStr">
        <is>
          <t>把不鏽鋼絲夾夾在軟管尾端；掛在門邊收納格邊緣</t>
        </is>
      </c>
      <c r="G164" s="4" t="inlineStr">
        <is>
          <t>不鏽鋼絲夾</t>
        </is>
      </c>
      <c r="H164" s="4" t="inlineStr">
        <is>
          <t>掛勾</t>
        </is>
      </c>
      <c r="I164" s="4" t="inlineStr">
        <is>
          <t>MUJI</t>
        </is>
      </c>
      <c r="J164" s="4" t="inlineStr">
        <is>
          <t>設計家 Searchome｜整理師愛用推薦！精選12項冰箱收納品，一次實踐無印風冰箱收納（圖文提供：蛙家；整理師小姮、李欣、Paisley）</t>
        </is>
      </c>
      <c r="K164" s="4" t="inlineStr">
        <is>
          <t>台灣媒體</t>
        </is>
      </c>
      <c r="L164" s="5" t="inlineStr">
        <is>
          <t>https://www.searchome.net/article.aspx?id=76595</t>
        </is>
      </c>
      <c r="M164" s="4" t="inlineStr">
        <is>
          <t>2024-01-12</t>
        </is>
      </c>
      <c r="N164" s="4" t="inlineStr">
        <is>
          <t>2026-10-26</t>
        </is>
      </c>
      <c r="O164" s="4" t="inlineStr">
        <is>
          <t>zh-TW</t>
        </is>
      </c>
      <c r="P164" s="4" t="inlineStr">
        <is>
          <t>high</t>
        </is>
      </c>
    </row>
    <row r="165">
      <c r="A165" s="4" t="inlineStr">
        <is>
          <t>TM-045</t>
        </is>
      </c>
      <c r="B165" s="4" t="inlineStr">
        <is>
          <t>冰箱</t>
        </is>
      </c>
      <c r="C165" s="4" t="inlineStr">
        <is>
          <t>抽屜隔板/直立收納</t>
        </is>
      </c>
      <c r="D165" s="4" t="inlineStr">
        <is>
          <t>門邊用伸縮隔板讓醬料包立起</t>
        </is>
      </c>
      <c r="E165" s="4" t="inlineStr">
        <is>
          <t>冰箱門邊格子的醬料包、小瓶罐容易倒，可以卡一片DAISO的伸縮隔板，長度可以調，醬料包就能直立排好，瓶罐之間也不會互相碰倒。</t>
        </is>
      </c>
      <c r="F165" s="4" t="inlineStr">
        <is>
          <t>調整伸縮隔板長度並卡進去；把醬料包直立排入</t>
        </is>
      </c>
      <c r="G165" s="4" t="inlineStr">
        <is>
          <t>伸縮收納隔板</t>
        </is>
      </c>
      <c r="H165" s="4" t="inlineStr">
        <is>
          <t>抽屜隔板</t>
        </is>
      </c>
      <c r="I165" s="4" t="inlineStr">
        <is>
          <t>DAISO</t>
        </is>
      </c>
      <c r="J165" s="4" t="inlineStr">
        <is>
          <t>設計家 Searchome｜整理師愛用推薦！精選12項冰箱收納品，一次實踐無印風冰箱收納（圖文提供：蛙家；整理師小姮、李欣、Paisley）</t>
        </is>
      </c>
      <c r="K165" s="4" t="inlineStr">
        <is>
          <t>台灣媒體</t>
        </is>
      </c>
      <c r="L165" s="5" t="inlineStr">
        <is>
          <t>https://www.searchome.net/article.aspx?id=76595</t>
        </is>
      </c>
      <c r="M165" s="4" t="inlineStr">
        <is>
          <t>2024-01-12</t>
        </is>
      </c>
      <c r="N165" s="4" t="inlineStr">
        <is>
          <t>2026-10-26</t>
        </is>
      </c>
      <c r="O165" s="4" t="inlineStr">
        <is>
          <t>zh-TW</t>
        </is>
      </c>
      <c r="P165" s="4" t="inlineStr">
        <is>
          <t>high</t>
        </is>
      </c>
    </row>
    <row r="166">
      <c r="A166" s="4" t="inlineStr">
        <is>
          <t>TM-046</t>
        </is>
      </c>
      <c r="B166" s="4" t="inlineStr">
        <is>
          <t>冰箱</t>
        </is>
      </c>
      <c r="C166" s="4" t="inlineStr">
        <is>
          <t>抽屜隔板/直立收納</t>
        </is>
      </c>
      <c r="D166" s="4" t="inlineStr">
        <is>
          <t>冷凍室用L型隔板放扁平食材</t>
        </is>
      </c>
      <c r="E166" s="4" t="inlineStr">
        <is>
          <t>DAISO的冰箱用L型隔板兩片可以組合，寬度、長度都能調，適合讓扁平包裝的冷凍食材直立排好。（補充，非原文：先量好自家冷凍抽屜的深度與高度再買。）</t>
        </is>
      </c>
      <c r="F166" s="4" t="inlineStr">
        <is>
          <t>組合L型隔板調整到合適尺寸；把扁平食材直立排入</t>
        </is>
      </c>
      <c r="G166" s="4" t="inlineStr">
        <is>
          <t>冰箱用L型隔板</t>
        </is>
      </c>
      <c r="H166" s="4" t="inlineStr">
        <is>
          <t>抽屜隔板</t>
        </is>
      </c>
      <c r="I166" s="4" t="inlineStr">
        <is>
          <t>DAISO</t>
        </is>
      </c>
      <c r="J166" s="4" t="inlineStr">
        <is>
          <t>設計家 Searchome｜整理師愛用推薦！精選12項冰箱收納品，一次實踐無印風冰箱收納（圖文提供：蛙家；整理師小姮、李欣、Paisley）</t>
        </is>
      </c>
      <c r="K166" s="4" t="inlineStr">
        <is>
          <t>台灣媒體</t>
        </is>
      </c>
      <c r="L166" s="5" t="inlineStr">
        <is>
          <t>https://www.searchome.net/article.aspx?id=76595</t>
        </is>
      </c>
      <c r="M166" s="4" t="inlineStr">
        <is>
          <t>2024-01-12</t>
        </is>
      </c>
      <c r="N166" s="4" t="inlineStr">
        <is>
          <t>2026-10-26</t>
        </is>
      </c>
      <c r="O166" s="4" t="inlineStr">
        <is>
          <t>zh-TW</t>
        </is>
      </c>
      <c r="P166" s="4" t="inlineStr">
        <is>
          <t>high</t>
        </is>
      </c>
    </row>
    <row r="167">
      <c r="A167" s="4" t="inlineStr">
        <is>
          <t>TM-047</t>
        </is>
      </c>
      <c r="B167" s="4" t="inlineStr">
        <is>
          <t>冰箱</t>
        </is>
      </c>
      <c r="C167" s="4" t="inlineStr">
        <is>
          <t>分區</t>
        </is>
      </c>
      <c r="D167" s="4" t="inlineStr">
        <is>
          <t>冷藏室依保存期限分上中下三區</t>
        </is>
      </c>
      <c r="E167" s="4" t="inlineStr">
        <is>
          <t>家事達人把冷藏室分成三區：最上層放保存期最短、當週要吃完的食物；中層放可存兩三週的豆腐、零食；要蹲下才看到的下層用盒子或籃子收乾貨等久放食品。整體保持七到八分滿。</t>
        </is>
      </c>
      <c r="F167" s="4" t="inlineStr">
        <is>
          <t>把冷藏食材依保存期限分三類；最短期的放最上層顯眼處；長期乾貨裝盒放下層；保持七八分滿</t>
        </is>
      </c>
      <c r="G167" s="4" t="inlineStr"/>
      <c r="H167" s="4" t="inlineStr"/>
      <c r="I167" s="4" t="inlineStr"/>
      <c r="J167" s="4" t="inlineStr">
        <is>
          <t>設計家 Searchome｜究極冰箱收納術！家事達人3招食材管理法，每月可省下2000元（食材研究家楊賢英；圖文提供：蛙家）</t>
        </is>
      </c>
      <c r="K167" s="4" t="inlineStr">
        <is>
          <t>台灣媒體</t>
        </is>
      </c>
      <c r="L167" s="5" t="inlineStr">
        <is>
          <t>https://www.searchome.net/article.aspx?id=80259</t>
        </is>
      </c>
      <c r="M167" s="4" t="inlineStr">
        <is>
          <t>2024-12-19</t>
        </is>
      </c>
      <c r="N167" s="4" t="inlineStr">
        <is>
          <t>2026-10-26</t>
        </is>
      </c>
      <c r="O167" s="4" t="inlineStr">
        <is>
          <t>zh-TW</t>
        </is>
      </c>
      <c r="P167" s="4" t="inlineStr">
        <is>
          <t>high</t>
        </is>
      </c>
    </row>
    <row r="168">
      <c r="A168" s="4" t="inlineStr">
        <is>
          <t>TM-048</t>
        </is>
      </c>
      <c r="B168" s="4" t="inlineStr">
        <is>
          <t>冰箱</t>
        </is>
      </c>
      <c r="C168" s="4" t="inlineStr">
        <is>
          <t>分區/標籤</t>
        </is>
      </c>
      <c r="D168" s="4" t="inlineStr">
        <is>
          <t>冷凍庫每層放固定數量的盒子並貼標籤</t>
        </is>
      </c>
      <c r="E168" s="4" t="inlineStr">
        <is>
          <t>冷凍庫可以每層固定放幾個收納盒，例如每層四盒，每盒貼上內容物標籤，食材吃完就撕掉標籤，打開就知道還剩什麼。開門時間縮短，也比較省電。</t>
        </is>
      </c>
      <c r="F168" s="4" t="inlineStr">
        <is>
          <t>冷凍庫每層放4個收納盒；每盒放同一類食材並貼標籤；吃完後撕掉標籤</t>
        </is>
      </c>
      <c r="G168" s="4" t="inlineStr"/>
      <c r="H168" s="4" t="inlineStr"/>
      <c r="I168" s="4" t="inlineStr"/>
      <c r="J168" s="4" t="inlineStr">
        <is>
          <t>設計家 Searchome｜究極冰箱收納術！家事達人3招食材管理法，每月可省下2000元（食材研究家楊賢英；圖文提供：蛙家）</t>
        </is>
      </c>
      <c r="K168" s="4" t="inlineStr">
        <is>
          <t>台灣媒體</t>
        </is>
      </c>
      <c r="L168" s="5" t="inlineStr">
        <is>
          <t>https://www.searchome.net/article.aspx?id=80259</t>
        </is>
      </c>
      <c r="M168" s="4" t="inlineStr">
        <is>
          <t>2024-12-19</t>
        </is>
      </c>
      <c r="N168" s="4" t="inlineStr">
        <is>
          <t>2026-10-26</t>
        </is>
      </c>
      <c r="O168" s="4" t="inlineStr">
        <is>
          <t>zh-TW</t>
        </is>
      </c>
      <c r="P168" s="4" t="inlineStr">
        <is>
          <t>high</t>
        </is>
      </c>
    </row>
    <row r="169">
      <c r="A169" s="4" t="inlineStr">
        <is>
          <t>TM-049</t>
        </is>
      </c>
      <c r="B169" s="4" t="inlineStr">
        <is>
          <t>冰箱</t>
        </is>
      </c>
      <c r="C169" s="4" t="inlineStr">
        <is>
          <t>分區/托盤</t>
        </is>
      </c>
      <c r="D169" s="4" t="inlineStr">
        <is>
          <t>冷藏室用托盤當抽屜，同組食材放一起</t>
        </is>
      </c>
      <c r="E169" s="4" t="inlineStr">
        <is>
          <t>整理師用MUJI的冷藏室整理托盤當抽屜，一起用的食材放同一盤，例如味噌湯組、早餐組，放在中段最顯眼的位置，煮飯時整盤拉出。冷藏室刻意留約三成空間，臨時收到食材也放得下。</t>
        </is>
      </c>
      <c r="F169" s="4" t="inlineStr">
        <is>
          <t>把常一起使用的食材分組；每組放進一個整理托盤；托盤放在中段顯眼處；保留約三成空位</t>
        </is>
      </c>
      <c r="G169" s="4" t="inlineStr">
        <is>
          <t>冰箱內整理托盤</t>
        </is>
      </c>
      <c r="H169" s="4" t="inlineStr"/>
      <c r="I169" s="4" t="inlineStr">
        <is>
          <t>MUJI</t>
        </is>
      </c>
      <c r="J169" s="4" t="inlineStr">
        <is>
          <t>ESSE online｜無印良品マニアの「すっきり片づく」冷蔵庫収納。グッズをフル活用し、無理なく食べきる（整理収納アドバイザー・長谷由美子）</t>
        </is>
      </c>
      <c r="K169" s="4" t="inlineStr">
        <is>
          <t>日本媒體</t>
        </is>
      </c>
      <c r="L169" s="5" t="inlineStr">
        <is>
          <t>https://esse-online.jp/articles/-/27250</t>
        </is>
      </c>
      <c r="M169" s="4" t="inlineStr">
        <is>
          <t>2024-02-22</t>
        </is>
      </c>
      <c r="N169" s="4" t="inlineStr">
        <is>
          <t>2026-10-26</t>
        </is>
      </c>
      <c r="O169" s="4" t="inlineStr">
        <is>
          <t>ja</t>
        </is>
      </c>
      <c r="P169" s="4" t="inlineStr">
        <is>
          <t>high</t>
        </is>
      </c>
    </row>
    <row r="170">
      <c r="A170" s="4" t="inlineStr">
        <is>
          <t>TM-050</t>
        </is>
      </c>
      <c r="B170" s="4" t="inlineStr">
        <is>
          <t>冰箱</t>
        </is>
      </c>
      <c r="C170" s="4" t="inlineStr">
        <is>
          <t>標籤/分區</t>
        </is>
      </c>
      <c r="D170" s="4" t="inlineStr">
        <is>
          <t>剩菜集中在淺盒並寫「快吃」標籤</t>
        </is>
      </c>
      <c r="E170" s="4" t="inlineStr">
        <is>
          <t>前一天的剩菜與常備菜可以集中放在MUJI的PP整理盒裡，在標籤寫上「盡快吃」，整盒像托盤一樣移動，家人打開冰箱就知道要先吃哪些。</t>
        </is>
      </c>
      <c r="F170" s="4" t="inlineStr">
        <is>
          <t>準備一個淺的整理盒；把剩菜與常備菜放進去；在盒上貼「盡快吃」標籤</t>
        </is>
      </c>
      <c r="G170" s="4" t="inlineStr">
        <is>
          <t>PP整理盒</t>
        </is>
      </c>
      <c r="H170" s="4" t="inlineStr"/>
      <c r="I170" s="4" t="inlineStr">
        <is>
          <t>MUJI</t>
        </is>
      </c>
      <c r="J170" s="4" t="inlineStr">
        <is>
          <t>ESSE online｜無印良品マニアの「すっきり片づく」冷蔵庫収納。グッズをフル活用し、無理なく食べきる（整理収納アドバイザー・長谷由美子）</t>
        </is>
      </c>
      <c r="K170" s="4" t="inlineStr">
        <is>
          <t>日本媒體</t>
        </is>
      </c>
      <c r="L170" s="5" t="inlineStr">
        <is>
          <t>https://esse-online.jp/articles/-/27250</t>
        </is>
      </c>
      <c r="M170" s="4" t="inlineStr">
        <is>
          <t>2024-02-22</t>
        </is>
      </c>
      <c r="N170" s="4" t="inlineStr">
        <is>
          <t>2026-10-26</t>
        </is>
      </c>
      <c r="O170" s="4" t="inlineStr">
        <is>
          <t>ja</t>
        </is>
      </c>
      <c r="P170" s="4" t="inlineStr">
        <is>
          <t>high</t>
        </is>
      </c>
    </row>
    <row r="171">
      <c r="A171" s="4" t="inlineStr">
        <is>
          <t>TM-051</t>
        </is>
      </c>
      <c r="B171" s="4" t="inlineStr">
        <is>
          <t>冰箱</t>
        </is>
      </c>
      <c r="C171" s="4" t="inlineStr">
        <is>
          <t>直立收納</t>
        </is>
      </c>
      <c r="D171" s="4" t="inlineStr">
        <is>
          <t>蔬果室用深盒讓蔬菜與瓶罐立著</t>
        </is>
      </c>
      <c r="E171" s="4" t="inlineStr">
        <is>
          <t>蔬果室裡要直立保存的蔬菜，可以放進MUJI的PP化妝盒等有深度的盒子，盒子放在後方，同時也能把調味料瓶夾住、不會倒。</t>
        </is>
      </c>
      <c r="F171" s="4" t="inlineStr">
        <is>
          <t>選有深度的PP盒；把要直立的蔬菜放進去；盒子放在蔬果室後方擋住瓶罐</t>
        </is>
      </c>
      <c r="G171" s="4" t="inlineStr">
        <is>
          <t>PP化妝盒</t>
        </is>
      </c>
      <c r="H171" s="4" t="inlineStr"/>
      <c r="I171" s="4" t="inlineStr">
        <is>
          <t>MUJI</t>
        </is>
      </c>
      <c r="J171" s="4" t="inlineStr">
        <is>
          <t>ESSE online｜無印良品マニアの「すっきり片づく」冷蔵庫収納。グッズをフル活用し、無理なく食べきる（整理収納アドバイザー・長谷由美子）</t>
        </is>
      </c>
      <c r="K171" s="4" t="inlineStr">
        <is>
          <t>日本媒體</t>
        </is>
      </c>
      <c r="L171" s="5" t="inlineStr">
        <is>
          <t>https://esse-online.jp/articles/-/27250</t>
        </is>
      </c>
      <c r="M171" s="4" t="inlineStr">
        <is>
          <t>2024-02-22</t>
        </is>
      </c>
      <c r="N171" s="4" t="inlineStr">
        <is>
          <t>2026-10-26</t>
        </is>
      </c>
      <c r="O171" s="4" t="inlineStr">
        <is>
          <t>ja</t>
        </is>
      </c>
      <c r="P171" s="4" t="inlineStr">
        <is>
          <t>high</t>
        </is>
      </c>
    </row>
    <row r="172">
      <c r="A172" s="4" t="inlineStr">
        <is>
          <t>TM-052</t>
        </is>
      </c>
      <c r="B172" s="4" t="inlineStr">
        <is>
          <t>冰箱</t>
        </is>
      </c>
      <c r="C172" s="4" t="inlineStr">
        <is>
          <t>分區/直立收納</t>
        </is>
      </c>
      <c r="D172" s="4" t="inlineStr">
        <is>
          <t>冷凍庫用隔板分成四區並直立擺放</t>
        </is>
      </c>
      <c r="E172" s="4" t="inlineStr">
        <is>
          <t>整理師用MUJI的冷凍庫用隔板把冷凍庫大致分四區：肉、魚、其他食材、保冷劑，每區食材立著放，量多量少一眼看出；快到期的放前面。肉和魚先壓平再冷凍，比較好立著收。</t>
        </is>
      </c>
      <c r="F172" s="4" t="inlineStr">
        <is>
          <t>把冷凍食材分成肉、魚、其他、保冷劑；用冷凍庫隔板隔出四區；食材壓平後直立排放，快到期的放前面</t>
        </is>
      </c>
      <c r="G172" s="4" t="inlineStr">
        <is>
          <t>冷凍庫用隔板</t>
        </is>
      </c>
      <c r="H172" s="4" t="inlineStr">
        <is>
          <t>抽屜隔板</t>
        </is>
      </c>
      <c r="I172" s="4" t="inlineStr">
        <is>
          <t>MUJI</t>
        </is>
      </c>
      <c r="J172" s="4" t="inlineStr">
        <is>
          <t>ESSE online｜ごちゃつく冷凍庫は仕切りをつくってすっきり。無印良品とセリアのグッズが大活躍（整理収納アドバイザー・ぴょこぴょこぴ）</t>
        </is>
      </c>
      <c r="K172" s="4" t="inlineStr">
        <is>
          <t>日本媒體</t>
        </is>
      </c>
      <c r="L172" s="5" t="inlineStr">
        <is>
          <t>https://esse-online.jp/articles/-/26138</t>
        </is>
      </c>
      <c r="M172" s="4" t="inlineStr">
        <is>
          <t>2023-11-28</t>
        </is>
      </c>
      <c r="N172" s="4" t="inlineStr">
        <is>
          <t>2026-10-26</t>
        </is>
      </c>
      <c r="O172" s="4" t="inlineStr">
        <is>
          <t>ja</t>
        </is>
      </c>
      <c r="P172" s="4" t="inlineStr">
        <is>
          <t>high</t>
        </is>
      </c>
    </row>
    <row r="173">
      <c r="A173" s="4" t="inlineStr">
        <is>
          <t>TM-053</t>
        </is>
      </c>
      <c r="B173" s="4" t="inlineStr">
        <is>
          <t>冰箱</t>
        </is>
      </c>
      <c r="C173" s="4" t="inlineStr">
        <is>
          <t>分區</t>
        </is>
      </c>
      <c r="D173" s="4" t="inlineStr">
        <is>
          <t>把冰品集中在獨立的小冷凍室</t>
        </is>
      </c>
      <c r="E173" s="4" t="inlineStr">
        <is>
          <t>冰箱若有可切換溫度的小冷凍室，可以把冰淇淋等冰品集中放在那裡。主冷凍室開關次數變少，比較省電，適合一年四季都常吃冰的家庭。（補充，非原文：溫度也會較穩定。）</t>
        </is>
      </c>
      <c r="F173" s="4" t="inlineStr"/>
      <c r="G173" s="4" t="inlineStr"/>
      <c r="H173" s="4" t="inlineStr"/>
      <c r="I173" s="4" t="inlineStr"/>
      <c r="J173" s="4" t="inlineStr">
        <is>
          <t>ESSE online｜ごちゃつく冷凍庫は仕切りをつくってすっきり。無印良品とセリアのグッズが大活躍（整理収納アドバイザー・ぴょこぴょこぴ）</t>
        </is>
      </c>
      <c r="K173" s="4" t="inlineStr">
        <is>
          <t>日本媒體</t>
        </is>
      </c>
      <c r="L173" s="5" t="inlineStr">
        <is>
          <t>https://esse-online.jp/articles/-/26138</t>
        </is>
      </c>
      <c r="M173" s="4" t="inlineStr">
        <is>
          <t>2023-11-28</t>
        </is>
      </c>
      <c r="N173" s="4" t="inlineStr">
        <is>
          <t>2026-10-26</t>
        </is>
      </c>
      <c r="O173" s="4" t="inlineStr">
        <is>
          <t>ja</t>
        </is>
      </c>
      <c r="P173" s="4" t="inlineStr">
        <is>
          <t>high</t>
        </is>
      </c>
    </row>
    <row r="174">
      <c r="A174" s="4" t="inlineStr">
        <is>
          <t>TM-054</t>
        </is>
      </c>
      <c r="B174" s="4" t="inlineStr">
        <is>
          <t>衣櫃</t>
        </is>
      </c>
      <c r="C174" s="4" t="inlineStr">
        <is>
          <t>伸縮棒/直立收納</t>
        </is>
      </c>
      <c r="D174" s="4" t="inlineStr">
        <is>
          <t>層板上用兩根直立伸縮棒擋住背包</t>
        </is>
      </c>
      <c r="E174" s="4" t="inlineStr">
        <is>
          <t>衣櫃層板上的背包容易倒成一團，可以直立撐兩根伸縮棒把背包夾在中間，比書擋更省空間也較不會倒。重物要確認伸縮棒與掛勾的耐重，伸縮棒不要裝在地震時掉落會傷人的位置。</t>
        </is>
      </c>
      <c r="F174" s="4" t="inlineStr">
        <is>
          <t>在衣櫃層板上下之間直立撐兩根伸縮棒；把背包立著放在兩根棒之間</t>
        </is>
      </c>
      <c r="G174" s="4" t="inlineStr"/>
      <c r="H174" s="4" t="inlineStr">
        <is>
          <t>伸縮棒</t>
        </is>
      </c>
      <c r="I174" s="4" t="inlineStr"/>
      <c r="J174" s="4" t="inlineStr">
        <is>
          <t>ESSE online｜「つっぱり棒」で家じゅう片づく。キッチン・クローゼット・トイレ収納に活用（ライター・小林さん）</t>
        </is>
      </c>
      <c r="K174" s="4" t="inlineStr">
        <is>
          <t>日本媒體</t>
        </is>
      </c>
      <c r="L174" s="5" t="inlineStr">
        <is>
          <t>https://esse-online.jp/articles/-/29782</t>
        </is>
      </c>
      <c r="M174" s="4" t="inlineStr">
        <is>
          <t>2024-08-28</t>
        </is>
      </c>
      <c r="N174" s="4" t="inlineStr">
        <is>
          <t>2026-10-26</t>
        </is>
      </c>
      <c r="O174" s="4" t="inlineStr">
        <is>
          <t>ja</t>
        </is>
      </c>
      <c r="P174" s="4" t="inlineStr">
        <is>
          <t>high</t>
        </is>
      </c>
    </row>
    <row r="175">
      <c r="A175" s="4" t="inlineStr">
        <is>
          <t>TM-055</t>
        </is>
      </c>
      <c r="B175" s="4" t="inlineStr">
        <is>
          <t>衣櫃</t>
        </is>
      </c>
      <c r="C175" s="4" t="inlineStr">
        <is>
          <t>鐵網/伸縮棒/掛勾</t>
        </is>
      </c>
      <c r="D175" s="4" t="inlineStr">
        <is>
          <t>衣櫃側牆用伸縮棒固定鐵網掛小物</t>
        </is>
      </c>
      <c r="E175" s="4" t="inlineStr">
        <is>
          <t>衣櫃內側牆面可以用伸縮棒加束帶固定一片鐵網，再加鐵網用小籃與掛勾，掛皮帶、帽子、包包等小物。（補充，非原文：不用在衣櫃板上打洞，換季時也可以拆下來調整。）</t>
        </is>
      </c>
      <c r="F175" s="4" t="inlineStr">
        <is>
          <t>用伸縮棒與束帶把鐵網固定在衣櫃壁面；加掛勾與小籃放小物</t>
        </is>
      </c>
      <c r="G175" s="4" t="inlineStr"/>
      <c r="H175" s="4" t="inlineStr">
        <is>
          <t>鐵網/伸縮棒/網片配件/掛勾</t>
        </is>
      </c>
      <c r="I175" s="4" t="inlineStr"/>
      <c r="J175" s="4" t="inlineStr">
        <is>
          <t>ESSE online｜100均「ワイヤーネット」片付け実例集。マネないと損するレベルかも（整理収納アドバイザー・露重和子）</t>
        </is>
      </c>
      <c r="K175" s="4" t="inlineStr">
        <is>
          <t>日本媒體</t>
        </is>
      </c>
      <c r="L175" s="5" t="inlineStr">
        <is>
          <t>https://esse-online.jp/articles/-/8125</t>
        </is>
      </c>
      <c r="M175" s="4" t="inlineStr">
        <is>
          <t>2020-07-06</t>
        </is>
      </c>
      <c r="N175" s="4" t="inlineStr">
        <is>
          <t>2026-10-26</t>
        </is>
      </c>
      <c r="O175" s="4" t="inlineStr">
        <is>
          <t>ja</t>
        </is>
      </c>
      <c r="P175" s="4" t="inlineStr">
        <is>
          <t>high</t>
        </is>
      </c>
    </row>
    <row r="176">
      <c r="A176" s="4" t="inlineStr">
        <is>
          <t>TM-056</t>
        </is>
      </c>
      <c r="B176" s="4" t="inlineStr">
        <is>
          <t>衣櫃</t>
        </is>
      </c>
      <c r="C176" s="4" t="inlineStr">
        <is>
          <t>伸縮棒/吊掛</t>
        </is>
      </c>
      <c r="D176" s="4" t="inlineStr">
        <is>
          <t>伸縮桿套窗簾環夾倒掛毛帽</t>
        </is>
      </c>
      <c r="E176" s="4" t="inlineStr">
        <is>
          <t>衣櫃裡撐一根伸縮桿，套上幾個窗簾環夾，就能把毛帽、圍巾一個個夾著倒掛。（補充，非原文：倒掛不會被壓變形，環夾可在桿上滑動調整間距。）</t>
        </is>
      </c>
      <c r="F176" s="4" t="inlineStr">
        <is>
          <t>在衣櫃空位撐一根伸縮桿；套上窗簾環夾；把毛帽夾住倒掛</t>
        </is>
      </c>
      <c r="G176" s="4" t="inlineStr"/>
      <c r="H176" s="4" t="inlineStr">
        <is>
          <t>伸縮棒/掛勾</t>
        </is>
      </c>
      <c r="I176" s="4" t="inlineStr"/>
      <c r="J176" s="4" t="inlineStr">
        <is>
          <t>設計家 Searchome｜免鑽孔、不傷牆！伸縮桿收納懶人包，29招搞定家中雜亂（圖文提供：蛙家）</t>
        </is>
      </c>
      <c r="K176" s="4" t="inlineStr">
        <is>
          <t>台灣媒體</t>
        </is>
      </c>
      <c r="L176" s="5" t="inlineStr">
        <is>
          <t>https://www.searchome.net/article.aspx?id=82596</t>
        </is>
      </c>
      <c r="M176" s="4" t="inlineStr">
        <is>
          <t>2025-08-06</t>
        </is>
      </c>
      <c r="N176" s="4" t="inlineStr">
        <is>
          <t>2026-10-26</t>
        </is>
      </c>
      <c r="O176" s="4" t="inlineStr">
        <is>
          <t>zh-TW</t>
        </is>
      </c>
      <c r="P176" s="4" t="inlineStr">
        <is>
          <t>high</t>
        </is>
      </c>
    </row>
    <row r="177">
      <c r="A177" s="4" t="inlineStr">
        <is>
          <t>TM-057</t>
        </is>
      </c>
      <c r="B177" s="4" t="inlineStr">
        <is>
          <t>衣櫃</t>
        </is>
      </c>
      <c r="C177" s="4" t="inlineStr">
        <is>
          <t>鐵網/吊掛收納</t>
        </is>
      </c>
      <c r="D177" s="4" t="inlineStr">
        <is>
          <t>用網片自製衣櫃分格吊掛架</t>
        </is>
      </c>
      <c r="E177" s="4" t="inlineStr">
        <is>
          <t>網友常反映布製衣櫃掛袋太軟，可以改用網片自製：兩片長網片中間用束帶固定數片中網片當層板，上方綁兩個衣架掛在衣桿上，多出的束帶尾端剪掉。不用時可拆下一側衣架摺起來。</t>
        </is>
      </c>
      <c r="F177" s="4" t="inlineStr">
        <is>
          <t>準備兩片長網片、數片中網片與兩個衣架；用束帶把中網片固定在長網片之間；剪掉束帶尾端；把衣架綁在上方掛到衣桿</t>
        </is>
      </c>
      <c r="G177" s="4" t="inlineStr"/>
      <c r="H177" s="4" t="inlineStr">
        <is>
          <t>鐵網/吊掛收納</t>
        </is>
      </c>
      <c r="I177" s="4" t="inlineStr"/>
      <c r="J177" s="4" t="inlineStr">
        <is>
          <t>設計家 Searchome｜租屋族友善！網片超簡易收納DIY，只要10分鐘就能變出收納推車（圖文提供：蛙家）</t>
        </is>
      </c>
      <c r="K177" s="4" t="inlineStr">
        <is>
          <t>台灣媒體</t>
        </is>
      </c>
      <c r="L177" s="5" t="inlineStr">
        <is>
          <t>https://www.searchome.net/article.aspx?id=78137</t>
        </is>
      </c>
      <c r="M177" s="4" t="inlineStr">
        <is>
          <t>2024-06-07</t>
        </is>
      </c>
      <c r="N177" s="4" t="inlineStr">
        <is>
          <t>2026-10-26</t>
        </is>
      </c>
      <c r="O177" s="4" t="inlineStr">
        <is>
          <t>zh-TW</t>
        </is>
      </c>
      <c r="P177" s="4" t="inlineStr">
        <is>
          <t>high</t>
        </is>
      </c>
    </row>
    <row r="178">
      <c r="A178" s="4" t="inlineStr">
        <is>
          <t>TM-058</t>
        </is>
      </c>
      <c r="B178" s="4" t="inlineStr">
        <is>
          <t>衣櫃</t>
        </is>
      </c>
      <c r="C178" s="4" t="inlineStr">
        <is>
          <t>分區/系統櫃</t>
        </is>
      </c>
      <c r="D178" s="4" t="inlineStr">
        <is>
          <t>系統衣櫃深層用大抽屜收納箱</t>
        </is>
      </c>
      <c r="E178" s="4" t="inlineStr">
        <is>
          <t>系統衣櫃通常又深又大，下層沒有分隔時，可以放MUJI的大尺寸抽屜式收納箱，抽屜拉出後深處的衣物也拿得到；收納箱可疊放，選半透明霧面款能看到內容又不會顯得雜亂。</t>
        </is>
      </c>
      <c r="F178" s="4" t="inlineStr">
        <is>
          <t>放入大尺寸抽屜式收納箱並疊放；依類別分抽屜收衣物</t>
        </is>
      </c>
      <c r="G178" s="4" t="inlineStr">
        <is>
          <t>PP收納箱(抽屜式)</t>
        </is>
      </c>
      <c r="H178" s="4" t="inlineStr"/>
      <c r="I178" s="4" t="inlineStr">
        <is>
          <t>MUJI</t>
        </is>
      </c>
      <c r="J178" s="4" t="inlineStr">
        <is>
          <t>設計家 Searchome｜收納達人秘技公開！35個必學技巧，輕鬆整理廚房、衣櫃、客廳、辦公室（圖文提供：蛙家）</t>
        </is>
      </c>
      <c r="K178" s="4" t="inlineStr">
        <is>
          <t>台灣媒體</t>
        </is>
      </c>
      <c r="L178" s="5" t="inlineStr">
        <is>
          <t>https://www.searchome.net/article.aspx?id=81334</t>
        </is>
      </c>
      <c r="M178" s="4" t="inlineStr">
        <is>
          <t>2025-04-09</t>
        </is>
      </c>
      <c r="N178" s="4" t="inlineStr">
        <is>
          <t>2026-10-26</t>
        </is>
      </c>
      <c r="O178" s="4" t="inlineStr">
        <is>
          <t>zh-TW</t>
        </is>
      </c>
      <c r="P178" s="4" t="inlineStr">
        <is>
          <t>high</t>
        </is>
      </c>
    </row>
    <row r="179">
      <c r="A179" s="4" t="inlineStr">
        <is>
          <t>TM-059</t>
        </is>
      </c>
      <c r="B179" s="4" t="inlineStr">
        <is>
          <t>衣櫃</t>
        </is>
      </c>
      <c r="C179" s="4" t="inlineStr">
        <is>
          <t>吊掛收納/分區</t>
        </is>
      </c>
      <c r="D179" s="4" t="inlineStr">
        <is>
          <t>衣桿下用掛袋配摺疊布盒分類</t>
        </is>
      </c>
      <c r="E179" s="4" t="inlineStr">
        <is>
          <t>衣櫃吊掛區可以掛IKEA的吊掛收納袋放包包、帽子與小物，再搭配IKEA的布質摺疊收納盒分類衣物，吊掛區不只掛衣服，也能分格收小東西。</t>
        </is>
      </c>
      <c r="F179" s="4" t="inlineStr">
        <is>
          <t>在衣桿上掛吊掛收納袋；把包包、帽子放入格子；下方或層板上放摺疊布盒分類衣物</t>
        </is>
      </c>
      <c r="G179" s="4" t="inlineStr">
        <is>
          <t>吊掛收納袋/布質摺疊收納盒</t>
        </is>
      </c>
      <c r="H179" s="4" t="inlineStr">
        <is>
          <t>吊掛收納</t>
        </is>
      </c>
      <c r="I179" s="4" t="inlineStr">
        <is>
          <t>IKEA</t>
        </is>
      </c>
      <c r="J179" s="4" t="inlineStr">
        <is>
          <t>設計家 Searchome｜收納達人秘技公開！35個必學技巧，輕鬆整理廚房、衣櫃、客廳、辦公室（圖文提供：蛙家）</t>
        </is>
      </c>
      <c r="K179" s="4" t="inlineStr">
        <is>
          <t>台灣媒體</t>
        </is>
      </c>
      <c r="L179" s="5" t="inlineStr">
        <is>
          <t>https://www.searchome.net/article.aspx?id=81334</t>
        </is>
      </c>
      <c r="M179" s="4" t="inlineStr">
        <is>
          <t>2025-04-09</t>
        </is>
      </c>
      <c r="N179" s="4" t="inlineStr">
        <is>
          <t>2026-10-26</t>
        </is>
      </c>
      <c r="O179" s="4" t="inlineStr">
        <is>
          <t>zh-TW</t>
        </is>
      </c>
      <c r="P179" s="4" t="inlineStr">
        <is>
          <t>high</t>
        </is>
      </c>
    </row>
    <row r="180">
      <c r="A180" s="4" t="inlineStr">
        <is>
          <t>TM-060</t>
        </is>
      </c>
      <c r="B180" s="4" t="inlineStr">
        <is>
          <t>衣櫃</t>
        </is>
      </c>
      <c r="C180" s="4" t="inlineStr">
        <is>
          <t>分區/防潮</t>
        </is>
      </c>
      <c r="D180" s="4" t="inlineStr">
        <is>
          <t>換季衣物裝附蓋大箱堆疊</t>
        </is>
      </c>
      <c r="E180" s="4" t="inlineStr">
        <is>
          <t>不常拿的換季衣物可以集中裝進IKEA附蓋的大收納箱，可堆疊、防塵，也有助防潮。（補充，非原文：箱子可放衣櫃頂層或深處，不佔好拿的位置；外側最好註明內容。）</t>
        </is>
      </c>
      <c r="F180" s="4" t="inlineStr">
        <is>
          <t>把換季衣物分類裝箱；蓋上蓋子；堆疊收納</t>
        </is>
      </c>
      <c r="G180" s="4" t="inlineStr">
        <is>
          <t>附蓋收納箱</t>
        </is>
      </c>
      <c r="H180" s="4" t="inlineStr"/>
      <c r="I180" s="4" t="inlineStr">
        <is>
          <t>IKEA</t>
        </is>
      </c>
      <c r="J180" s="4" t="inlineStr">
        <is>
          <t>設計家 Searchome｜收納達人秘技公開！35個必學技巧，輕鬆整理廚房、衣櫃、客廳、辦公室（圖文提供：蛙家）</t>
        </is>
      </c>
      <c r="K180" s="4" t="inlineStr">
        <is>
          <t>台灣媒體</t>
        </is>
      </c>
      <c r="L180" s="5" t="inlineStr">
        <is>
          <t>https://www.searchome.net/article.aspx?id=81334</t>
        </is>
      </c>
      <c r="M180" s="4" t="inlineStr">
        <is>
          <t>2025-04-09</t>
        </is>
      </c>
      <c r="N180" s="4" t="inlineStr">
        <is>
          <t>2026-10-26</t>
        </is>
      </c>
      <c r="O180" s="4" t="inlineStr">
        <is>
          <t>zh-TW</t>
        </is>
      </c>
      <c r="P180" s="4" t="inlineStr">
        <is>
          <t>high</t>
        </is>
      </c>
    </row>
    <row r="181">
      <c r="A181" s="4" t="inlineStr">
        <is>
          <t>TM-061</t>
        </is>
      </c>
      <c r="B181" s="4" t="inlineStr">
        <is>
          <t>衣櫃</t>
        </is>
      </c>
      <c r="C181" s="4" t="inlineStr">
        <is>
          <t>分區/標籤</t>
        </is>
      </c>
      <c r="D181" s="4" t="inlineStr">
        <is>
          <t>衣櫃依季節用途分盒並貼標籤</t>
        </is>
      </c>
      <c r="E181" s="4" t="inlineStr">
        <is>
          <t>衣櫃可以先依季節、用途或類型把衣物分類，每類一個收納盒，盒外貼上標籤，換季時整盒對調，不必一件件翻找。吊掛區的衣架方向統一，看起來也會比較整齊。</t>
        </is>
      </c>
      <c r="F181" s="4" t="inlineStr">
        <is>
          <t>把衣物依季節或用途分類；每類裝一個收納盒並貼標籤；換季時整盒交換位置</t>
        </is>
      </c>
      <c r="G181" s="4" t="inlineStr"/>
      <c r="H181" s="4" t="inlineStr"/>
      <c r="I181" s="4" t="inlineStr"/>
      <c r="J181" s="4" t="inlineStr">
        <is>
          <t>設計家 Searchome｜收納達人秘技公開！35個必學技巧，輕鬆整理廚房、衣櫃、客廳、辦公室（圖文提供：蛙家）</t>
        </is>
      </c>
      <c r="K181" s="4" t="inlineStr">
        <is>
          <t>台灣媒體</t>
        </is>
      </c>
      <c r="L181" s="5" t="inlineStr">
        <is>
          <t>https://www.searchome.net/article.aspx?id=81334</t>
        </is>
      </c>
      <c r="M181" s="4" t="inlineStr">
        <is>
          <t>2025-04-09</t>
        </is>
      </c>
      <c r="N181" s="4" t="inlineStr">
        <is>
          <t>2026-10-26</t>
        </is>
      </c>
      <c r="O181" s="4" t="inlineStr">
        <is>
          <t>zh-TW</t>
        </is>
      </c>
      <c r="P181" s="4" t="inlineStr">
        <is>
          <t>high</t>
        </is>
      </c>
    </row>
    <row r="182">
      <c r="A182" s="4" t="inlineStr">
        <is>
          <t>TM-062</t>
        </is>
      </c>
      <c r="B182" s="4" t="inlineStr">
        <is>
          <t>衣櫃</t>
        </is>
      </c>
      <c r="C182" s="4" t="inlineStr">
        <is>
          <t>分區</t>
        </is>
      </c>
      <c r="D182" s="4" t="inlineStr">
        <is>
          <t>衣櫃抽屜盒先量尺寸、選透明款</t>
        </is>
      </c>
      <c r="E182" s="4" t="inlineStr">
        <is>
          <t>比較IKEA與MUJI等品牌的抽屜盒後，蛙家建議購買前一定要先量衣櫃內部尺寸，避免抽屜盒放進去後櫃門關不起來；選透明的抽屜盒，內容物一看就知道。MUJI款抽屜拉起來最順，但內盒容易整個滑出。</t>
        </is>
      </c>
      <c r="F182" s="4" t="inlineStr">
        <is>
          <t>量衣櫃內部尺寸；選尺寸相符的透明抽屜盒</t>
        </is>
      </c>
      <c r="G182" s="4" t="inlineStr">
        <is>
          <t>PP收納箱(抽屜式)</t>
        </is>
      </c>
      <c r="H182" s="4" t="inlineStr"/>
      <c r="I182" s="4" t="inlineStr">
        <is>
          <t>MUJI/IKEA</t>
        </is>
      </c>
      <c r="J182" s="4" t="inlineStr">
        <is>
          <t>設計家 Searchome｜哪款收納盒最欠買？無印、IKEA、KEYWAY開箱評比，衣櫃山崩、保養品亂放都不用怕（圖文提供：蛙家）</t>
        </is>
      </c>
      <c r="K182" s="4" t="inlineStr">
        <is>
          <t>台灣媒體</t>
        </is>
      </c>
      <c r="L182" s="5" t="inlineStr">
        <is>
          <t>https://www.searchome.net/article.aspx?id=73455</t>
        </is>
      </c>
      <c r="M182" s="4" t="inlineStr">
        <is>
          <t>2023-04-14</t>
        </is>
      </c>
      <c r="N182" s="4" t="inlineStr">
        <is>
          <t>2026-10-26</t>
        </is>
      </c>
      <c r="O182" s="4" t="inlineStr">
        <is>
          <t>zh-TW</t>
        </is>
      </c>
      <c r="P182" s="4" t="inlineStr">
        <is>
          <t>high</t>
        </is>
      </c>
    </row>
    <row r="183">
      <c r="A183" s="4" t="inlineStr">
        <is>
          <t>TM-063</t>
        </is>
      </c>
      <c r="B183" s="4" t="inlineStr">
        <is>
          <t>衣櫃</t>
        </is>
      </c>
      <c r="C183" s="4" t="inlineStr">
        <is>
          <t>分區</t>
        </is>
      </c>
      <c r="D183" s="4" t="inlineStr">
        <is>
          <t>家人衣物各用一個寬版收納箱</t>
        </is>
      </c>
      <c r="E183" s="4" t="inlineStr">
        <is>
          <t>整理師用MUJI寬版PP收納箱分裝家人的衣服，一人或一類一箱，搬家或孩子長大時，只要換箱內的東西或換位置就能沿用。（補充，非原文：同系列的箱子尺寸一致，換位置也好疊。）</t>
        </is>
      </c>
      <c r="F183" s="4" t="inlineStr">
        <is>
          <t>依家庭成員或衣物類別分箱；用同系列寬版收納箱裝衣物；隨生活變化調整箱內物品</t>
        </is>
      </c>
      <c r="G183" s="4" t="inlineStr">
        <is>
          <t>PP收納箱(寬版)</t>
        </is>
      </c>
      <c r="H183" s="4" t="inlineStr"/>
      <c r="I183" s="4" t="inlineStr">
        <is>
          <t>MUJI</t>
        </is>
      </c>
      <c r="J183" s="4" t="inlineStr">
        <is>
          <t>ESSE online｜家がキレイな人が愛用する「収納ケース」7種類。無印良品、ニトリ…全部見せます！（整理収納アドバイザー・ミニマリストNozomi）</t>
        </is>
      </c>
      <c r="K183" s="4" t="inlineStr">
        <is>
          <t>日本媒體</t>
        </is>
      </c>
      <c r="L183" s="5" t="inlineStr">
        <is>
          <t>https://esse-online.jp/articles/-/38693</t>
        </is>
      </c>
      <c r="M183" s="4" t="inlineStr">
        <is>
          <t>2026-10-20</t>
        </is>
      </c>
      <c r="N183" s="4" t="inlineStr">
        <is>
          <t>2026-10-26</t>
        </is>
      </c>
      <c r="O183" s="4" t="inlineStr">
        <is>
          <t>ja</t>
        </is>
      </c>
      <c r="P183" s="4" t="inlineStr">
        <is>
          <t>high</t>
        </is>
      </c>
    </row>
    <row r="184">
      <c r="A184" s="4" t="inlineStr">
        <is>
          <t>TM-064</t>
        </is>
      </c>
      <c r="B184" s="4" t="inlineStr">
        <is>
          <t>衣櫃</t>
        </is>
      </c>
      <c r="C184" s="4" t="inlineStr">
        <is>
          <t>分區/高度利用</t>
        </is>
      </c>
      <c r="D184" s="4" t="inlineStr">
        <is>
          <t>衣櫃依手的高度分三區收納</t>
        </is>
      </c>
      <c r="E184" s="4" t="inlineStr">
        <is>
          <t>整理師把衣櫃依高度分區：比身高高的位置是囤貨區，放滑雪衣、泳衣等季節性衣物；伸手就拿到的區域放每天用的東西；膝蓋以下放深淺兩種抽屜盒，收襯衫、襪子與褲子。</t>
        </is>
      </c>
      <c r="F184" s="4" t="inlineStr">
        <is>
          <t>高處放收納箱裝季節性衣物；中段放每天用的；膝下放抽屜盒</t>
        </is>
      </c>
      <c r="G184" s="4" t="inlineStr"/>
      <c r="H184" s="4" t="inlineStr"/>
      <c r="I184" s="4" t="inlineStr"/>
      <c r="J184" s="4" t="inlineStr">
        <is>
          <t>日経xwoman｜無印＆ニトリでつくる 半畳3万円夢のクローゼット（整理収納アドバイザー・すはらひろこ）</t>
        </is>
      </c>
      <c r="K184" s="4" t="inlineStr">
        <is>
          <t>日本媒體</t>
        </is>
      </c>
      <c r="L184" s="5" t="inlineStr">
        <is>
          <t>https://woman.nikkei.com/atcl/doors/wol/column/15/011900050/080700020/</t>
        </is>
      </c>
      <c r="M184" s="4" t="inlineStr">
        <is>
          <t>2017-08-18</t>
        </is>
      </c>
      <c r="N184" s="4" t="inlineStr">
        <is>
          <t>2026-10-26</t>
        </is>
      </c>
      <c r="O184" s="4" t="inlineStr">
        <is>
          <t>ja</t>
        </is>
      </c>
      <c r="P184" s="4" t="inlineStr">
        <is>
          <t>high</t>
        </is>
      </c>
    </row>
    <row r="185">
      <c r="A185" s="4" t="inlineStr">
        <is>
          <t>TM-065</t>
        </is>
      </c>
      <c r="B185" s="4" t="inlineStr">
        <is>
          <t>抽屜</t>
        </is>
      </c>
      <c r="C185" s="4" t="inlineStr">
        <is>
          <t>分區</t>
        </is>
      </c>
      <c r="D185" s="4" t="inlineStr">
        <is>
          <t>襪子小物用小格盒依款式顏色分</t>
        </is>
      </c>
      <c r="E185" s="4" t="inlineStr">
        <is>
          <t>抽屜裡的襪子、小件衣物可以放進小分隔盒，依款式與顏色分格；抽屜縫隙再塞一個窄長盒放泳衣、配件，小東西就不會散落找不到。</t>
        </is>
      </c>
      <c r="F185" s="4" t="inlineStr">
        <is>
          <t>放入小分隔盒與窄長盒；依款式與顏色分格擺放</t>
        </is>
      </c>
      <c r="G185" s="4" t="inlineStr"/>
      <c r="H185" s="4" t="inlineStr">
        <is>
          <t>抽屜隔板</t>
        </is>
      </c>
      <c r="I185" s="4" t="inlineStr"/>
      <c r="J185" s="4" t="inlineStr">
        <is>
          <t>設計家 Searchome｜收納達人秘技公開！35個必學技巧，輕鬆整理廚房、衣櫃、客廳、辦公室（圖文提供：蛙家）</t>
        </is>
      </c>
      <c r="K185" s="4" t="inlineStr">
        <is>
          <t>台灣媒體</t>
        </is>
      </c>
      <c r="L185" s="5" t="inlineStr">
        <is>
          <t>https://www.searchome.net/article.aspx?id=81334</t>
        </is>
      </c>
      <c r="M185" s="4" t="inlineStr">
        <is>
          <t>2025-04-09</t>
        </is>
      </c>
      <c r="N185" s="4" t="inlineStr">
        <is>
          <t>2026-10-26</t>
        </is>
      </c>
      <c r="O185" s="4" t="inlineStr">
        <is>
          <t>zh-TW</t>
        </is>
      </c>
      <c r="P185" s="4" t="inlineStr">
        <is>
          <t>high</t>
        </is>
      </c>
    </row>
    <row r="186">
      <c r="A186" s="4" t="inlineStr">
        <is>
          <t>TM-066</t>
        </is>
      </c>
      <c r="B186" s="4" t="inlineStr">
        <is>
          <t>抽屜</t>
        </is>
      </c>
      <c r="C186" s="4" t="inlineStr">
        <is>
          <t>直立收納</t>
        </is>
      </c>
      <c r="D186" s="4" t="inlineStr">
        <is>
          <t>衣物摺成方塊直立、圖案朝外</t>
        </is>
      </c>
      <c r="E186" s="4" t="inlineStr">
        <is>
          <t>斗櫃抽屜裡的衣物摺成方塊後直立排，圖案朝外，拉開抽屜就能看到每一件，不必從下面翻出來。常穿的放最好拿的抽屜，少穿或過季的放較不順手的位置。</t>
        </is>
      </c>
      <c r="F186" s="4" t="inlineStr">
        <is>
          <t>把衣物摺成大小一致的方塊；直立排入抽屜並讓圖案朝外；常穿的放順手的抽屜</t>
        </is>
      </c>
      <c r="G186" s="4" t="inlineStr"/>
      <c r="H186" s="4" t="inlineStr"/>
      <c r="I186" s="4" t="inlineStr"/>
      <c r="J186" s="4" t="inlineStr">
        <is>
          <t>設計家 Searchome｜收納達人秘技公開！35個必學技巧，輕鬆整理廚房、衣櫃、客廳、辦公室（圖文提供：蛙家）</t>
        </is>
      </c>
      <c r="K186" s="4" t="inlineStr">
        <is>
          <t>台灣媒體</t>
        </is>
      </c>
      <c r="L186" s="5" t="inlineStr">
        <is>
          <t>https://www.searchome.net/article.aspx?id=81334</t>
        </is>
      </c>
      <c r="M186" s="4" t="inlineStr">
        <is>
          <t>2025-04-09</t>
        </is>
      </c>
      <c r="N186" s="4" t="inlineStr">
        <is>
          <t>2026-10-26</t>
        </is>
      </c>
      <c r="O186" s="4" t="inlineStr">
        <is>
          <t>zh-TW</t>
        </is>
      </c>
      <c r="P186" s="4" t="inlineStr">
        <is>
          <t>high</t>
        </is>
      </c>
    </row>
    <row r="187">
      <c r="A187" s="4" t="inlineStr">
        <is>
          <t>TM-067</t>
        </is>
      </c>
      <c r="B187" s="4" t="inlineStr">
        <is>
          <t>抽屜</t>
        </is>
      </c>
      <c r="C187" s="4" t="inlineStr">
        <is>
          <t>抽屜隔板/分區</t>
        </is>
      </c>
      <c r="D187" s="4" t="inlineStr">
        <is>
          <t>用可調高度的布隔板配合收納物</t>
        </is>
      </c>
      <c r="E187" s="4" t="inlineStr">
        <is>
          <t>MUJI可調高度的不織布隔板盒可以放在收納箱或抽屜裡隔格，高度能依收納物調整，也可以拿來裝孩子的軌道玩具。</t>
        </is>
      </c>
      <c r="F187" s="4" t="inlineStr">
        <is>
          <t>調整不織布隔板的高度；依類別分格放入物品</t>
        </is>
      </c>
      <c r="G187" s="4" t="inlineStr">
        <is>
          <t>不織布隔板盒</t>
        </is>
      </c>
      <c r="H187" s="4" t="inlineStr">
        <is>
          <t>抽屜隔板</t>
        </is>
      </c>
      <c r="I187" s="4" t="inlineStr">
        <is>
          <t>MUJI</t>
        </is>
      </c>
      <c r="J187" s="4" t="inlineStr">
        <is>
          <t>ESSE online｜家がキレイな人が愛用する「収納ケース」7種類。無印良品、ニトリ…全部見せます！（整理収納アドバイザー・ミニマリストNozomi）</t>
        </is>
      </c>
      <c r="K187" s="4" t="inlineStr">
        <is>
          <t>日本媒體</t>
        </is>
      </c>
      <c r="L187" s="5" t="inlineStr">
        <is>
          <t>https://esse-online.jp/articles/-/38693</t>
        </is>
      </c>
      <c r="M187" s="4" t="inlineStr">
        <is>
          <t>2026-10-20</t>
        </is>
      </c>
      <c r="N187" s="4" t="inlineStr">
        <is>
          <t>2026-10-26</t>
        </is>
      </c>
      <c r="O187" s="4" t="inlineStr">
        <is>
          <t>ja</t>
        </is>
      </c>
      <c r="P187" s="4" t="inlineStr">
        <is>
          <t>high</t>
        </is>
      </c>
    </row>
    <row r="188">
      <c r="A188" s="4" t="inlineStr">
        <is>
          <t>TM-068</t>
        </is>
      </c>
      <c r="B188" s="4" t="inlineStr">
        <is>
          <t>抽屜</t>
        </is>
      </c>
      <c r="C188" s="4" t="inlineStr">
        <is>
          <t>分區</t>
        </is>
      </c>
      <c r="D188" s="4" t="inlineStr">
        <is>
          <t>可伸縮分類盒配合抽屜尺寸</t>
        </is>
      </c>
      <c r="E188" s="4" t="inlineStr">
        <is>
          <t>抽屜內的小物沒有分類容易越翻越亂，可以用NITORI的可伸縮分類收納盒，配合抽屜寬度調整，把小物分格放好。（補充，非原文：尺寸可調，不必擔心買錯。）</t>
        </is>
      </c>
      <c r="F188" s="4" t="inlineStr">
        <is>
          <t>把可伸縮分類收納盒調到合適大小；依類別分格放小物</t>
        </is>
      </c>
      <c r="G188" s="4" t="inlineStr">
        <is>
          <t>可伸縮分類收納盒</t>
        </is>
      </c>
      <c r="H188" s="4" t="inlineStr">
        <is>
          <t>抽屜隔板</t>
        </is>
      </c>
      <c r="I188" s="4" t="inlineStr">
        <is>
          <t>NITORI</t>
        </is>
      </c>
      <c r="J188" s="4" t="inlineStr">
        <is>
          <t>設計家 Searchome｜櫥櫃太深、太高好難用？櫥櫃收納攻略一次看，取物擺放整齊又輕鬆（圖文提供：蛙家）</t>
        </is>
      </c>
      <c r="K188" s="4" t="inlineStr">
        <is>
          <t>台灣媒體</t>
        </is>
      </c>
      <c r="L188" s="5" t="inlineStr">
        <is>
          <t>https://www.searchome.net/article.aspx?id=80565</t>
        </is>
      </c>
      <c r="M188" s="4" t="inlineStr">
        <is>
          <t>2025-01-17</t>
        </is>
      </c>
      <c r="N188" s="4" t="inlineStr">
        <is>
          <t>2026-10-26</t>
        </is>
      </c>
      <c r="O188" s="4" t="inlineStr">
        <is>
          <t>zh-TW</t>
        </is>
      </c>
      <c r="P188" s="4" t="inlineStr">
        <is>
          <t>high</t>
        </is>
      </c>
    </row>
    <row r="189">
      <c r="A189" s="4" t="inlineStr">
        <is>
          <t>TM-069</t>
        </is>
      </c>
      <c r="B189" s="4" t="inlineStr">
        <is>
          <t>抽屜</t>
        </is>
      </c>
      <c r="C189" s="4" t="inlineStr">
        <is>
          <t>抽屜隔板/分區</t>
        </is>
      </c>
      <c r="D189" s="4" t="inlineStr">
        <is>
          <t>縱橫可伸縮托盤分裝量匙與削皮刀</t>
        </is>
      </c>
      <c r="E189" s="4" t="inlineStr">
        <is>
          <t>廚房抽屜裡大小不一的量匙、削皮刀，可以放進NITORI的縱橫可伸縮整理托盤，長寬都能調，配合抽屜大小與物品分格，不容易因為量錯尺寸而買到不合用的收納品。</t>
        </is>
      </c>
      <c r="F189" s="4" t="inlineStr">
        <is>
          <t>把縱橫可伸縮托盤調到合適長寬；依工具大小分格放入</t>
        </is>
      </c>
      <c r="G189" s="4" t="inlineStr">
        <is>
          <t>縱橫伸縮整理托盤 Nブラン</t>
        </is>
      </c>
      <c r="H189" s="4" t="inlineStr">
        <is>
          <t>抽屜隔板</t>
        </is>
      </c>
      <c r="I189" s="4" t="inlineStr">
        <is>
          <t>NITORI</t>
        </is>
      </c>
      <c r="J189" s="4" t="inlineStr">
        <is>
          <t>ESSE online｜ニトリの「神収納」アイテム。やっぱりファイルケース、まさかのキャニスター横置き（整理収納アドバイザー・わしずこころ）</t>
        </is>
      </c>
      <c r="K189" s="4" t="inlineStr">
        <is>
          <t>日本媒體</t>
        </is>
      </c>
      <c r="L189" s="5" t="inlineStr">
        <is>
          <t>https://esse-online.jp/articles/-/22795?page=2</t>
        </is>
      </c>
      <c r="M189" s="4" t="inlineStr">
        <is>
          <t>2023-05-27</t>
        </is>
      </c>
      <c r="N189" s="4" t="inlineStr">
        <is>
          <t>2026-10-26</t>
        </is>
      </c>
      <c r="O189" s="4" t="inlineStr">
        <is>
          <t>ja</t>
        </is>
      </c>
      <c r="P189" s="4" t="inlineStr">
        <is>
          <t>high</t>
        </is>
      </c>
    </row>
    <row r="190">
      <c r="A190" s="4" t="inlineStr">
        <is>
          <t>TM-070</t>
        </is>
      </c>
      <c r="B190" s="4" t="inlineStr">
        <is>
          <t>抽屜</t>
        </is>
      </c>
      <c r="C190" s="4" t="inlineStr">
        <is>
          <t>直立收納</t>
        </is>
      </c>
      <c r="D190" s="4" t="inlineStr">
        <is>
          <t>醬料罐放檔案盒，深抽屜也不倒</t>
        </is>
      </c>
      <c r="E190" s="4" t="inlineStr">
        <is>
          <t>深抽屜裡的醬料罐容易倒，可以先放進檔案盒再收進抽屜，開關時瓶罐被盒子圍住，不會滑動或倒下，要用時整盒拿起來找。</t>
        </is>
      </c>
      <c r="F190" s="4" t="inlineStr">
        <is>
          <t>放入檔案盒；把醬料罐直立放進檔案盒</t>
        </is>
      </c>
      <c r="G190" s="4" t="inlineStr">
        <is>
          <t>檔案盒</t>
        </is>
      </c>
      <c r="H190" s="4" t="inlineStr"/>
      <c r="I190" s="4" t="inlineStr"/>
      <c r="J190" s="4" t="inlineStr">
        <is>
          <t>設計家 Searchome｜櫥櫃太深、太高好難用？櫥櫃收納攻略一次看，取物擺放整齊又輕鬆（圖文提供：蛙家）</t>
        </is>
      </c>
      <c r="K190" s="4" t="inlineStr">
        <is>
          <t>台灣媒體</t>
        </is>
      </c>
      <c r="L190" s="5" t="inlineStr">
        <is>
          <t>https://www.searchome.net/article.aspx?id=80565</t>
        </is>
      </c>
      <c r="M190" s="4" t="inlineStr">
        <is>
          <t>2025-01-17</t>
        </is>
      </c>
      <c r="N190" s="4" t="inlineStr">
        <is>
          <t>2026-10-26</t>
        </is>
      </c>
      <c r="O190" s="4" t="inlineStr">
        <is>
          <t>zh-TW</t>
        </is>
      </c>
      <c r="P190" s="4" t="inlineStr">
        <is>
          <t>high</t>
        </is>
      </c>
    </row>
    <row r="191">
      <c r="A191" s="4" t="inlineStr">
        <is>
          <t>TM-071</t>
        </is>
      </c>
      <c r="B191" s="4" t="inlineStr">
        <is>
          <t>抽屜</t>
        </is>
      </c>
      <c r="C191" s="4" t="inlineStr">
        <is>
          <t>分區</t>
        </is>
      </c>
      <c r="D191" s="4" t="inlineStr">
        <is>
          <t>辦公抽屜由上到下依使用頻率分層</t>
        </is>
      </c>
      <c r="E191" s="4" t="inlineStr">
        <is>
          <t>辦公桌抽屜可以依使用頻率分層：最上層用收納盒分類常用文具；第二層放名片、電池等不常用或私人物品；最下層放包包、外套等大件，或當作資料歸檔區。</t>
        </is>
      </c>
      <c r="F191" s="4" t="inlineStr">
        <is>
          <t>上層用收納盒放常用文具；中層放不常用小物；下層放大件或檔案</t>
        </is>
      </c>
      <c r="G191" s="4" t="inlineStr"/>
      <c r="H191" s="4" t="inlineStr"/>
      <c r="I191" s="4" t="inlineStr"/>
      <c r="J191" s="4" t="inlineStr">
        <is>
          <t>設計家 Searchome｜收納達人秘技公開！35個必學技巧，輕鬆整理廚房、衣櫃、客廳、辦公室（圖文提供：蛙家）</t>
        </is>
      </c>
      <c r="K191" s="4" t="inlineStr">
        <is>
          <t>台灣媒體</t>
        </is>
      </c>
      <c r="L191" s="5" t="inlineStr">
        <is>
          <t>https://www.searchome.net/article.aspx?id=81334</t>
        </is>
      </c>
      <c r="M191" s="4" t="inlineStr">
        <is>
          <t>2025-04-09</t>
        </is>
      </c>
      <c r="N191" s="4" t="inlineStr">
        <is>
          <t>2026-10-26</t>
        </is>
      </c>
      <c r="O191" s="4" t="inlineStr">
        <is>
          <t>zh-TW</t>
        </is>
      </c>
      <c r="P191" s="4" t="inlineStr">
        <is>
          <t>high</t>
        </is>
      </c>
    </row>
    <row r="192">
      <c r="A192" s="4" t="inlineStr">
        <is>
          <t>TM-072</t>
        </is>
      </c>
      <c r="B192" s="4" t="inlineStr">
        <is>
          <t>玄關</t>
        </is>
      </c>
      <c r="C192" s="4" t="inlineStr">
        <is>
          <t>伸縮棒/高度利用</t>
        </is>
      </c>
      <c r="D192" s="4" t="inlineStr">
        <is>
          <t>鞋櫃加伸縮棒簡易分層</t>
        </is>
      </c>
      <c r="E192" s="4" t="inlineStr">
        <is>
          <t>鞋櫃內可以加裝伸縮棒，做出簡易的分層。（補充，非原文：層距太高時可前後撐兩根當臨時層板，平底鞋、拖鞋放上層，下層放較高的鞋。）（一般安全提醒，非原文：棒上只放輕的鞋，靴子等重物放櫃底。）</t>
        </is>
      </c>
      <c r="F192" s="4" t="inlineStr"/>
      <c r="G192" s="4" t="inlineStr"/>
      <c r="H192" s="4" t="inlineStr">
        <is>
          <t>伸縮棒</t>
        </is>
      </c>
      <c r="I192" s="4" t="inlineStr"/>
      <c r="J192" s="4" t="inlineStr">
        <is>
          <t>設計家 Searchome｜免鑽孔、不傷牆！伸縮桿收納懶人包，29招搞定家中雜亂（圖文提供：蛙家）</t>
        </is>
      </c>
      <c r="K192" s="4" t="inlineStr">
        <is>
          <t>台灣媒體</t>
        </is>
      </c>
      <c r="L192" s="5" t="inlineStr">
        <is>
          <t>https://www.searchome.net/article.aspx?id=82596</t>
        </is>
      </c>
      <c r="M192" s="4" t="inlineStr">
        <is>
          <t>2025-08-06</t>
        </is>
      </c>
      <c r="N192" s="4" t="inlineStr">
        <is>
          <t>2026-10-26</t>
        </is>
      </c>
      <c r="O192" s="4" t="inlineStr">
        <is>
          <t>zh-TW</t>
        </is>
      </c>
      <c r="P192" s="4" t="inlineStr">
        <is>
          <t>high</t>
        </is>
      </c>
    </row>
    <row r="193">
      <c r="A193" s="4" t="inlineStr">
        <is>
          <t>TM-073</t>
        </is>
      </c>
      <c r="B193" s="4" t="inlineStr">
        <is>
          <t>玄關</t>
        </is>
      </c>
      <c r="C193" s="4" t="inlineStr">
        <is>
          <t>伸縮棒/直立收納</t>
        </is>
      </c>
      <c r="D193" s="4" t="inlineStr">
        <is>
          <t>鞋櫃內側用伸縮棒讓拖鞋與摺傘立著</t>
        </is>
      </c>
      <c r="E193" s="4" t="inlineStr">
        <is>
          <t>鞋櫃門內或側邊可以撐一根伸縮棒當擋條，拖鞋、摺疊傘就能直立靠著放，不必平放占層板。（一般安全提醒，非原文：裝在門內側時，先確認關門後不會壓到物品。）</t>
        </is>
      </c>
      <c r="F193" s="4" t="inlineStr">
        <is>
          <t>在鞋櫃內側撐一根伸縮棒；把拖鞋、摺疊傘直立靠著棒放</t>
        </is>
      </c>
      <c r="G193" s="4" t="inlineStr"/>
      <c r="H193" s="4" t="inlineStr">
        <is>
          <t>伸縮棒</t>
        </is>
      </c>
      <c r="I193" s="4" t="inlineStr"/>
      <c r="J193" s="4" t="inlineStr">
        <is>
          <t>設計家 Searchome｜免鑽孔、不傷牆！伸縮桿收納懶人包，29招搞定家中雜亂（圖文提供：蛙家）</t>
        </is>
      </c>
      <c r="K193" s="4" t="inlineStr">
        <is>
          <t>台灣媒體</t>
        </is>
      </c>
      <c r="L193" s="5" t="inlineStr">
        <is>
          <t>https://www.searchome.net/article.aspx?id=82596</t>
        </is>
      </c>
      <c r="M193" s="4" t="inlineStr">
        <is>
          <t>2025-08-06</t>
        </is>
      </c>
      <c r="N193" s="4" t="inlineStr">
        <is>
          <t>2026-10-26</t>
        </is>
      </c>
      <c r="O193" s="4" t="inlineStr">
        <is>
          <t>zh-TW</t>
        </is>
      </c>
      <c r="P193" s="4" t="inlineStr">
        <is>
          <t>medium</t>
        </is>
      </c>
    </row>
    <row r="194">
      <c r="A194" s="4" t="inlineStr">
        <is>
          <t>TM-074</t>
        </is>
      </c>
      <c r="B194" s="4" t="inlineStr">
        <is>
          <t>玄關</t>
        </is>
      </c>
      <c r="C194" s="4" t="inlineStr">
        <is>
          <t>伸縮棒/吊掛/防潮</t>
        </is>
      </c>
      <c r="D194" s="4" t="inlineStr">
        <is>
          <t>鞋櫃與牆間撐伸縮棒吊雨傘</t>
        </is>
      </c>
      <c r="E194" s="4" t="inlineStr">
        <is>
          <t>鞋櫃與牆壁之間的窄縫可以撐一根伸縮棒，把雨傘掛上去，傘不會堆在門口，也比較通風快乾。（一般安全提醒，非原文：下方最好放接水盤，避免牆面與地板長期潮濕。）</t>
        </is>
      </c>
      <c r="F194" s="4" t="inlineStr">
        <is>
          <t>撐好伸縮棒；把雨傘掛上</t>
        </is>
      </c>
      <c r="G194" s="4" t="inlineStr"/>
      <c r="H194" s="4" t="inlineStr">
        <is>
          <t>伸縮棒/吊掛收納</t>
        </is>
      </c>
      <c r="I194" s="4" t="inlineStr"/>
      <c r="J194" s="4" t="inlineStr">
        <is>
          <t>設計家 Searchome｜免鑽孔、不傷牆！伸縮桿收納懶人包，29招搞定家中雜亂（圖文提供：蛙家）</t>
        </is>
      </c>
      <c r="K194" s="4" t="inlineStr">
        <is>
          <t>台灣媒體</t>
        </is>
      </c>
      <c r="L194" s="5" t="inlineStr">
        <is>
          <t>https://www.searchome.net/article.aspx?id=82596</t>
        </is>
      </c>
      <c r="M194" s="4" t="inlineStr">
        <is>
          <t>2025-08-06</t>
        </is>
      </c>
      <c r="N194" s="4" t="inlineStr">
        <is>
          <t>2026-10-26</t>
        </is>
      </c>
      <c r="O194" s="4" t="inlineStr">
        <is>
          <t>zh-TW</t>
        </is>
      </c>
      <c r="P194" s="4" t="inlineStr">
        <is>
          <t>high</t>
        </is>
      </c>
    </row>
    <row r="195">
      <c r="A195" s="4" t="inlineStr">
        <is>
          <t>TM-075</t>
        </is>
      </c>
      <c r="B195" s="4" t="inlineStr">
        <is>
          <t>玄關</t>
        </is>
      </c>
      <c r="C195" s="4" t="inlineStr">
        <is>
          <t>鐵網/掛勾</t>
        </is>
      </c>
      <c r="D195" s="4" t="inlineStr">
        <is>
          <t>鞋櫃上用S鉤掛網片放雨傘鞋拔</t>
        </is>
      </c>
      <c r="E195" s="4" t="inlineStr">
        <is>
          <t>鞋櫃上方或大門旁可以用S鉤或網架專用掛勾掛一片網片，放雨傘、鞋拔、拖鞋等，取代另外買玄關櫃。窗邊也可以把網片兩側折起再掛上。（一般安全提醒，非原文：掛勾要能承受網片與物品總重。）</t>
        </is>
      </c>
      <c r="F195" s="4" t="inlineStr">
        <is>
          <t>用S鉤或網架掛勾掛上網片；掛上雨傘、鞋拔等物品</t>
        </is>
      </c>
      <c r="G195" s="4" t="inlineStr"/>
      <c r="H195" s="4" t="inlineStr">
        <is>
          <t>鐵網/掛勾</t>
        </is>
      </c>
      <c r="I195" s="4" t="inlineStr"/>
      <c r="J195" s="4" t="inlineStr">
        <is>
          <t>設計家 Searchome｜租屋族友善！網片超簡易收納DIY，只要10分鐘就能變出收納推車（圖文提供：蛙家）</t>
        </is>
      </c>
      <c r="K195" s="4" t="inlineStr">
        <is>
          <t>台灣媒體</t>
        </is>
      </c>
      <c r="L195" s="5" t="inlineStr">
        <is>
          <t>https://www.searchome.net/article.aspx?id=78137</t>
        </is>
      </c>
      <c r="M195" s="4" t="inlineStr">
        <is>
          <t>2024-06-07</t>
        </is>
      </c>
      <c r="N195" s="4" t="inlineStr">
        <is>
          <t>2026-10-26</t>
        </is>
      </c>
      <c r="O195" s="4" t="inlineStr">
        <is>
          <t>zh-TW</t>
        </is>
      </c>
      <c r="P195" s="4" t="inlineStr">
        <is>
          <t>high</t>
        </is>
      </c>
    </row>
    <row r="196">
      <c r="A196" s="4" t="inlineStr">
        <is>
          <t>TM-076</t>
        </is>
      </c>
      <c r="B196" s="4" t="inlineStr">
        <is>
          <t>玄關</t>
        </is>
      </c>
      <c r="C196" s="4" t="inlineStr">
        <is>
          <t>磁吸/掛勾/小型置物架</t>
        </is>
      </c>
      <c r="D196" s="4" t="inlineStr">
        <is>
          <t>鐵門內側加磁吸置物架與掛勾</t>
        </is>
      </c>
      <c r="E196" s="4" t="inlineStr">
        <is>
          <t>鐵製大門內側可以吸一個磁吸置物架，上層放小瓶物品，下方掛勾掛鑰匙、卡夾與雨傘。只適用鐵製門片。（補充，非原文：這類鐵門在台灣很常見，出門前可一次拿齊。）（一般安全提醒，非原文：開關門時物品會晃，不要放易碎品。）</t>
        </is>
      </c>
      <c r="F196" s="4" t="inlineStr">
        <is>
          <t>確認大門是鐵製；吸上磁吸置物架與掛勾；上層放小瓶、下方掛鑰匙與雨傘</t>
        </is>
      </c>
      <c r="G196" s="4" t="inlineStr"/>
      <c r="H196" s="4" t="inlineStr">
        <is>
          <t>小型置物架/掛勾</t>
        </is>
      </c>
      <c r="I196" s="4" t="inlineStr"/>
      <c r="J196" s="4" t="inlineStr">
        <is>
          <t>設計家 Searchome｜超實用地板淨空術！懸空收納妙招總整理，從玄關到浴室都適用（圖文提供：蛙家）</t>
        </is>
      </c>
      <c r="K196" s="4" t="inlineStr">
        <is>
          <t>台灣媒體</t>
        </is>
      </c>
      <c r="L196" s="5" t="inlineStr">
        <is>
          <t>https://www.searchome.net/article.aspx?id=82002</t>
        </is>
      </c>
      <c r="M196" s="4" t="inlineStr">
        <is>
          <t>2025-06-11</t>
        </is>
      </c>
      <c r="N196" s="4" t="inlineStr">
        <is>
          <t>2026-10-26</t>
        </is>
      </c>
      <c r="O196" s="4" t="inlineStr">
        <is>
          <t>zh-TW</t>
        </is>
      </c>
      <c r="P196" s="4" t="inlineStr">
        <is>
          <t>high</t>
        </is>
      </c>
    </row>
    <row r="197">
      <c r="A197" s="4" t="inlineStr">
        <is>
          <t>TM-077</t>
        </is>
      </c>
      <c r="B197" s="4" t="inlineStr">
        <is>
          <t>玄關</t>
        </is>
      </c>
      <c r="C197" s="4" t="inlineStr">
        <is>
          <t>吊掛/黏貼</t>
        </is>
      </c>
      <c r="D197" s="4" t="inlineStr">
        <is>
          <t>IKEA碗盤架黏在牆上當鑰匙信件架</t>
        </is>
      </c>
      <c r="E197" s="4" t="inlineStr">
        <is>
          <t>IKEA的碗盤架可以用無痕膠固定在玄關牆上，橫放時掛鑰匙、直放時插帳單；再加IKEA掛勾收納籃放信件與酒精瓶。（一般安全提醒，非原文：無痕膠需要光滑平整的牆面，粗糙或會掉粉的牆面不適合。）</t>
        </is>
      </c>
      <c r="F197" s="4" t="inlineStr">
        <is>
          <t>用無痕膠固定碗盤架；掛上掛勾收納籃放信件</t>
        </is>
      </c>
      <c r="G197" s="4" t="inlineStr">
        <is>
          <t>碗盤架/掛勾收納籃</t>
        </is>
      </c>
      <c r="H197" s="4" t="inlineStr">
        <is>
          <t>掛勾/吊掛收納</t>
        </is>
      </c>
      <c r="I197" s="4" t="inlineStr">
        <is>
          <t>IKEA</t>
        </is>
      </c>
      <c r="J197" s="4" t="inlineStr">
        <is>
          <t>設計家 Searchome｜超實用地板淨空術！懸空收納妙招總整理，從玄關到浴室都適用（圖文提供：蛙家）</t>
        </is>
      </c>
      <c r="K197" s="4" t="inlineStr">
        <is>
          <t>台灣媒體</t>
        </is>
      </c>
      <c r="L197" s="5" t="inlineStr">
        <is>
          <t>https://www.searchome.net/article.aspx?id=82002</t>
        </is>
      </c>
      <c r="M197" s="4" t="inlineStr">
        <is>
          <t>2025-06-11</t>
        </is>
      </c>
      <c r="N197" s="4" t="inlineStr">
        <is>
          <t>2026-10-26</t>
        </is>
      </c>
      <c r="O197" s="4" t="inlineStr">
        <is>
          <t>zh-TW</t>
        </is>
      </c>
      <c r="P197" s="4" t="inlineStr">
        <is>
          <t>high</t>
        </is>
      </c>
    </row>
    <row r="198">
      <c r="A198" s="4" t="inlineStr">
        <is>
          <t>TM-078</t>
        </is>
      </c>
      <c r="B198" s="4" t="inlineStr">
        <is>
          <t>玄關</t>
        </is>
      </c>
      <c r="C198" s="4" t="inlineStr">
        <is>
          <t>磁吸/掛勾</t>
        </is>
      </c>
      <c r="D198" s="4" t="inlineStr">
        <is>
          <t>鏡子背面貼磁片，下方加磁吸掛勾</t>
        </is>
      </c>
      <c r="E198" s="4" t="inlineStr">
        <is>
          <t>玄關可以在IKEA鏡子背面貼強力磁片固定，下方再加磁吸掛勾並用磁片加強，掛鑰匙、印章。（補充，非原文：吸附面應是鐵門等鐵質表面，出門照鏡子時可順手拿鑰匙。）</t>
        </is>
      </c>
      <c r="F198" s="4" t="inlineStr">
        <is>
          <t>在鏡子背面貼強力磁片；在鏡子下方加磁吸掛勾掛鑰匙</t>
        </is>
      </c>
      <c r="G198" s="4" t="inlineStr"/>
      <c r="H198" s="4" t="inlineStr">
        <is>
          <t>掛勾</t>
        </is>
      </c>
      <c r="I198" s="4" t="inlineStr">
        <is>
          <t>IKEA</t>
        </is>
      </c>
      <c r="J198" s="4" t="inlineStr">
        <is>
          <t>ESSE online｜忘れものを減らす「マグネット収納」6例。玄関にはって家じゅうすっきり（整理収納コンサルタント・本多さおり）</t>
        </is>
      </c>
      <c r="K198" s="4" t="inlineStr">
        <is>
          <t>日本媒體</t>
        </is>
      </c>
      <c r="L198" s="5" t="inlineStr">
        <is>
          <t>https://esse-online.jp/articles/-/30030</t>
        </is>
      </c>
      <c r="M198" s="4" t="inlineStr">
        <is>
          <t>2024-10-11</t>
        </is>
      </c>
      <c r="N198" s="4" t="inlineStr">
        <is>
          <t>2026-10-26</t>
        </is>
      </c>
      <c r="O198" s="4" t="inlineStr">
        <is>
          <t>ja</t>
        </is>
      </c>
      <c r="P198" s="4" t="inlineStr">
        <is>
          <t>medium</t>
        </is>
      </c>
    </row>
    <row r="199">
      <c r="A199" s="4" t="inlineStr">
        <is>
          <t>TM-079</t>
        </is>
      </c>
      <c r="B199" s="4" t="inlineStr">
        <is>
          <t>玄關</t>
        </is>
      </c>
      <c r="C199" s="4" t="inlineStr">
        <is>
          <t>分區</t>
        </is>
      </c>
      <c r="D199" s="4" t="inlineStr">
        <is>
          <t>鞋櫃放抽屜盒收手套圍巾</t>
        </is>
      </c>
      <c r="E199" s="4" t="inlineStr">
        <is>
          <t>鞋櫃裡可以放NITORI的多用途抽屜盒，收手套、圍巾等出門才用的小物，在玄關就能準備好。抽屜盒不透明，看起來不雜亂。</t>
        </is>
      </c>
      <c r="F199" s="4" t="inlineStr">
        <is>
          <t>放入抽屜盒；收手套、圍巾等出門小物</t>
        </is>
      </c>
      <c r="G199" s="4" t="inlineStr">
        <is>
          <t>マルチ収納S</t>
        </is>
      </c>
      <c r="H199" s="4" t="inlineStr"/>
      <c r="I199" s="4" t="inlineStr">
        <is>
          <t>NITORI</t>
        </is>
      </c>
      <c r="J199" s="4" t="inlineStr">
        <is>
          <t>ESSE online｜ニトリのボックスで玄関の収納力が上がる。整理のプロ愛用のアイテム5つ（整理収納アドバイザー・わしずこころ）</t>
        </is>
      </c>
      <c r="K199" s="4" t="inlineStr">
        <is>
          <t>日本媒體</t>
        </is>
      </c>
      <c r="L199" s="5" t="inlineStr">
        <is>
          <t>https://esse-online.jp/articles/-/22797</t>
        </is>
      </c>
      <c r="M199" s="4" t="inlineStr">
        <is>
          <t>2023-05-15</t>
        </is>
      </c>
      <c r="N199" s="4" t="inlineStr">
        <is>
          <t>2026-10-26</t>
        </is>
      </c>
      <c r="O199" s="4" t="inlineStr">
        <is>
          <t>ja</t>
        </is>
      </c>
      <c r="P199" s="4" t="inlineStr">
        <is>
          <t>high</t>
        </is>
      </c>
    </row>
    <row r="200">
      <c r="A200" s="4" t="inlineStr">
        <is>
          <t>TM-080</t>
        </is>
      </c>
      <c r="B200" s="4" t="inlineStr">
        <is>
          <t>玄關</t>
        </is>
      </c>
      <c r="C200" s="4" t="inlineStr">
        <is>
          <t>分區/移動收納</t>
        </is>
      </c>
      <c r="D200" s="4" t="inlineStr">
        <is>
          <t>鞋櫃下方用加輪子的N INBOX放童鞋</t>
        </is>
      </c>
      <c r="E200" s="4" t="inlineStr">
        <is>
          <t>鞋櫃底下的空隙可以放NITORI N INBOX橫向半格款，加裝另售的輪子，做成孩子專用的鞋盒，自己就能拉出收放，約20公分以下的鞋子都放得下。（補充，非原文：先量鞋櫃下方空隙高度。）</t>
        </is>
      </c>
      <c r="F200" s="4" t="inlineStr">
        <is>
          <t>N INBOX裝上輪子；把童鞋放入並推進鞋櫃下</t>
        </is>
      </c>
      <c r="G200" s="4" t="inlineStr">
        <is>
          <t>N INBOX</t>
        </is>
      </c>
      <c r="H200" s="4" t="inlineStr"/>
      <c r="I200" s="4" t="inlineStr">
        <is>
          <t>NITORI</t>
        </is>
      </c>
      <c r="J200" s="4" t="inlineStr">
        <is>
          <t>ESSE online｜ニトリのボックスで玄関の収納力が上がる。整理のプロ愛用のアイテム5つ（整理収納アドバイザー・わしずこころ）</t>
        </is>
      </c>
      <c r="K200" s="4" t="inlineStr">
        <is>
          <t>日本媒體</t>
        </is>
      </c>
      <c r="L200" s="5" t="inlineStr">
        <is>
          <t>https://esse-online.jp/articles/-/22797</t>
        </is>
      </c>
      <c r="M200" s="4" t="inlineStr">
        <is>
          <t>2023-05-15</t>
        </is>
      </c>
      <c r="N200" s="4" t="inlineStr">
        <is>
          <t>2026-10-26</t>
        </is>
      </c>
      <c r="O200" s="4" t="inlineStr">
        <is>
          <t>ja</t>
        </is>
      </c>
      <c r="P200" s="4" t="inlineStr">
        <is>
          <t>high</t>
        </is>
      </c>
    </row>
    <row r="201">
      <c r="A201" s="4" t="inlineStr">
        <is>
          <t>TM-081</t>
        </is>
      </c>
      <c r="B201" s="4" t="inlineStr">
        <is>
          <t>玄關</t>
        </is>
      </c>
      <c r="C201" s="4" t="inlineStr">
        <is>
          <t>高度利用</t>
        </is>
      </c>
      <c r="D201" s="4" t="inlineStr">
        <is>
          <t>鞋櫃用三段可調鞋架上下疊放</t>
        </is>
      </c>
      <c r="E201" s="4" t="inlineStr">
        <is>
          <t>鞋櫃層高夠時，可以放IKEA可調三段高度的鞋架，鞋子上下疊著放，同一層可放的鞋子大約變兩倍。（補充，非原文：放之前先量層板高度與深度，確認放得進去。）</t>
        </is>
      </c>
      <c r="F201" s="4" t="inlineStr">
        <is>
          <t>調整鞋架高度；把鞋子上下分開擺放</t>
        </is>
      </c>
      <c r="G201" s="4" t="inlineStr">
        <is>
          <t>鞋架</t>
        </is>
      </c>
      <c r="H201" s="4" t="inlineStr">
        <is>
          <t>小型置物架</t>
        </is>
      </c>
      <c r="I201" s="4" t="inlineStr">
        <is>
          <t>IKEA</t>
        </is>
      </c>
      <c r="J201" s="4" t="inlineStr">
        <is>
          <t>設計家 Searchome｜收納達人秘技公開！35個必學技巧，輕鬆整理廚房、衣櫃、客廳、辦公室（圖文提供：蛙家）</t>
        </is>
      </c>
      <c r="K201" s="4" t="inlineStr">
        <is>
          <t>台灣媒體</t>
        </is>
      </c>
      <c r="L201" s="5" t="inlineStr">
        <is>
          <t>https://www.searchome.net/article.aspx?id=81334</t>
        </is>
      </c>
      <c r="M201" s="4" t="inlineStr">
        <is>
          <t>2025-04-09</t>
        </is>
      </c>
      <c r="N201" s="4" t="inlineStr">
        <is>
          <t>2026-10-26</t>
        </is>
      </c>
      <c r="O201" s="4" t="inlineStr">
        <is>
          <t>zh-TW</t>
        </is>
      </c>
      <c r="P201" s="4" t="inlineStr">
        <is>
          <t>high</t>
        </is>
      </c>
    </row>
    <row r="202">
      <c r="A202" s="4" t="inlineStr">
        <is>
          <t>TM-082</t>
        </is>
      </c>
      <c r="B202" s="4" t="inlineStr">
        <is>
          <t>玄關</t>
        </is>
      </c>
      <c r="C202" s="4" t="inlineStr">
        <is>
          <t>小型置物架/掛勾/安全</t>
        </is>
      </c>
      <c r="D202" s="4" t="inlineStr">
        <is>
          <t>玄關門邊用頂天立地支柱做鞋架</t>
        </is>
      </c>
      <c r="E202" s="4" t="inlineStr">
        <is>
          <t>玄關門邊可以用頂天立地的支柱配層板做鞋架，最下層不放層板，留給戶外用品；鋼製層架還能吸磁吸掛勾掛環保袋。木造牆面的支柱要頂在間柱位置；不要裝在地震時可能倒下傷人的地方。</t>
        </is>
      </c>
      <c r="F202" s="4" t="inlineStr">
        <is>
          <t>在間柱位置立好支柱並裝層板；下層留空放戶外用品；用磁吸掛勾掛袋子</t>
        </is>
      </c>
      <c r="G202" s="4" t="inlineStr"/>
      <c r="H202" s="4" t="inlineStr">
        <is>
          <t>小型置物架/掛勾</t>
        </is>
      </c>
      <c r="I202" s="4" t="inlineStr"/>
      <c r="J202" s="4" t="inlineStr">
        <is>
          <t>ESSE online｜洗面所と玄関は「つっぱり棒」で収納を増やす。デッドスペース撲滅アイデア3つ（つっぱり棒博士・竹内香予子）</t>
        </is>
      </c>
      <c r="K202" s="4" t="inlineStr">
        <is>
          <t>日本媒體</t>
        </is>
      </c>
      <c r="L202" s="5" t="inlineStr">
        <is>
          <t>https://esse-online.jp/articles/-/30177</t>
        </is>
      </c>
      <c r="M202" s="4" t="inlineStr">
        <is>
          <t>2024-10-01</t>
        </is>
      </c>
      <c r="N202" s="4" t="inlineStr">
        <is>
          <t>2026-10-26</t>
        </is>
      </c>
      <c r="O202" s="4" t="inlineStr">
        <is>
          <t>ja</t>
        </is>
      </c>
      <c r="P202" s="4" t="inlineStr">
        <is>
          <t>high</t>
        </is>
      </c>
    </row>
    <row r="203">
      <c r="A203" s="4" t="inlineStr">
        <is>
          <t>TM-083</t>
        </is>
      </c>
      <c r="B203" s="4" t="inlineStr">
        <is>
          <t>玄關</t>
        </is>
      </c>
      <c r="C203" s="4" t="inlineStr">
        <is>
          <t>小型置物架</t>
        </is>
      </c>
      <c r="D203" s="4" t="inlineStr">
        <is>
          <t>小展示架加竹托盤放鑰匙</t>
        </is>
      </c>
      <c r="E203" s="4" t="inlineStr">
        <is>
          <t>DAISO的小展示架加兩片竹托盤，用可撕除的雙面膠固定，就是一個上下兩層的玄關小物架，放鑰匙、太陽眼鏡。托盤約16×12公分，深度約15公分的位置也放得下。</t>
        </is>
      </c>
      <c r="F203" s="4" t="inlineStr">
        <is>
          <t>把竹托盤用雙面膠固定在展示架上下兩層；上層放鑰匙、下層放眼鏡等小物</t>
        </is>
      </c>
      <c r="G203" s="4" t="inlineStr"/>
      <c r="H203" s="4" t="inlineStr">
        <is>
          <t>小型置物架</t>
        </is>
      </c>
      <c r="I203" s="4" t="inlineStr">
        <is>
          <t>DAISO</t>
        </is>
      </c>
      <c r="J203" s="4" t="inlineStr">
        <is>
          <t>サンキュ！｜目からウロコ！【ダイソー】「ズボラママでも簡単」「収納力を120％にする」DIY収納アイデア6選（監修・reimama）</t>
        </is>
      </c>
      <c r="K203" s="4" t="inlineStr">
        <is>
          <t>日本媒體</t>
        </is>
      </c>
      <c r="L203" s="5" t="inlineStr">
        <is>
          <t>https://39mag.thankyu.co.jp/benesse/215627</t>
        </is>
      </c>
      <c r="M203" s="4" t="inlineStr">
        <is>
          <t>2025-12-20</t>
        </is>
      </c>
      <c r="N203" s="4" t="inlineStr">
        <is>
          <t>2026-10-26</t>
        </is>
      </c>
      <c r="O203" s="4" t="inlineStr">
        <is>
          <t>ja</t>
        </is>
      </c>
      <c r="P203" s="4" t="inlineStr">
        <is>
          <t>high</t>
        </is>
      </c>
    </row>
    <row r="204">
      <c r="A204" s="4" t="inlineStr">
        <is>
          <t>TM-084</t>
        </is>
      </c>
      <c r="B204" s="4" t="inlineStr">
        <is>
          <t>浴室</t>
        </is>
      </c>
      <c r="C204" s="4" t="inlineStr">
        <is>
          <t>伸縮棒/掛勾</t>
        </is>
      </c>
      <c r="D204" s="4" t="inlineStr">
        <is>
          <t>鏡櫃內加伸縮棒掛S鉤收飾品</t>
        </is>
      </c>
      <c r="E204" s="4" t="inlineStr">
        <is>
          <t>洗手台鏡子後方的收納櫃，可以在裡面橫撐一根伸縮棒，用S鉤把項鍊、手錶一條條掛起來，不會纏在一起，取用也方便。</t>
        </is>
      </c>
      <c r="F204" s="4" t="inlineStr">
        <is>
          <t>撐一根伸縮棒；掛S鉤吊項鍊、手錶</t>
        </is>
      </c>
      <c r="G204" s="4" t="inlineStr"/>
      <c r="H204" s="4" t="inlineStr">
        <is>
          <t>伸縮棒/掛勾</t>
        </is>
      </c>
      <c r="I204" s="4" t="inlineStr"/>
      <c r="J204" s="4" t="inlineStr">
        <is>
          <t>ESSE online｜洗面所と玄関は「つっぱり棒」で収納を増やす。デッドスペース撲滅アイデア3つ（つっぱり棒博士・竹内香予子）</t>
        </is>
      </c>
      <c r="K204" s="4" t="inlineStr">
        <is>
          <t>日本媒體</t>
        </is>
      </c>
      <c r="L204" s="5" t="inlineStr">
        <is>
          <t>https://esse-online.jp/articles/-/30177</t>
        </is>
      </c>
      <c r="M204" s="4" t="inlineStr">
        <is>
          <t>2024-10-01</t>
        </is>
      </c>
      <c r="N204" s="4" t="inlineStr">
        <is>
          <t>2026-10-26</t>
        </is>
      </c>
      <c r="O204" s="4" t="inlineStr">
        <is>
          <t>ja</t>
        </is>
      </c>
      <c r="P204" s="4" t="inlineStr">
        <is>
          <t>high</t>
        </is>
      </c>
    </row>
    <row r="205">
      <c r="A205" s="4" t="inlineStr">
        <is>
          <t>TM-085</t>
        </is>
      </c>
      <c r="B205" s="4" t="inlineStr">
        <is>
          <t>浴室</t>
        </is>
      </c>
      <c r="C205" s="4" t="inlineStr">
        <is>
          <t>伸縮棒/高度利用/安全</t>
        </is>
      </c>
      <c r="D205" s="4" t="inlineStr">
        <is>
          <t>廁所用四根伸縮棒加薄板做層架</t>
        </is>
      </c>
      <c r="E205" s="4" t="inlineStr">
        <is>
          <t>廁所沒收納時，可以撐四根伸縮棒，上面放一塊薄木板當層架，放衛生紙與清潔用品，不必在牆上打洞，尺寸改了也好重做。板子選輕薄的，總重量不要超過伸縮棒耐重，也避開地震時會砸到人的位置。</t>
        </is>
      </c>
      <c r="F205" s="4" t="inlineStr">
        <is>
          <t>撐四根伸縮棒；放上輕薄木板；放衛生紙與清潔用品</t>
        </is>
      </c>
      <c r="G205" s="4" t="inlineStr"/>
      <c r="H205" s="4" t="inlineStr">
        <is>
          <t>伸縮棒</t>
        </is>
      </c>
      <c r="I205" s="4" t="inlineStr"/>
      <c r="J205" s="4" t="inlineStr">
        <is>
          <t>ESSE online｜「つっぱり棒」で家じゅう片づく。キッチン・クローゼット・トイレ収納に活用（ライター・小林さん）</t>
        </is>
      </c>
      <c r="K205" s="4" t="inlineStr">
        <is>
          <t>日本媒體</t>
        </is>
      </c>
      <c r="L205" s="5" t="inlineStr">
        <is>
          <t>https://esse-online.jp/articles/-/29782</t>
        </is>
      </c>
      <c r="M205" s="4" t="inlineStr">
        <is>
          <t>2024-08-28</t>
        </is>
      </c>
      <c r="N205" s="4" t="inlineStr">
        <is>
          <t>2026-10-26</t>
        </is>
      </c>
      <c r="O205" s="4" t="inlineStr">
        <is>
          <t>ja</t>
        </is>
      </c>
      <c r="P205" s="4" t="inlineStr">
        <is>
          <t>high</t>
        </is>
      </c>
    </row>
    <row r="206">
      <c r="A206" s="4" t="inlineStr">
        <is>
          <t>TM-086</t>
        </is>
      </c>
      <c r="B206" s="4" t="inlineStr">
        <is>
          <t>浴室</t>
        </is>
      </c>
      <c r="C206" s="4" t="inlineStr">
        <is>
          <t>伸縮棒/吊掛</t>
        </is>
      </c>
      <c r="D206" s="4" t="inlineStr">
        <is>
          <t>馬桶旁窄縫撐伸縮桿掛清潔劑與垃圾袋</t>
        </is>
      </c>
      <c r="E206" s="4" t="inlineStr">
        <is>
          <t>馬桶與牆壁之間的窄縫可以撐一根伸縮桿，掛馬桶清潔劑、放衛生紙，再用不鏽鋼夾把垃圾袋夾著懸掛。（補充，非原文：地面不放東西比較好清潔。）（一般安全提醒，非原文：浴室潮濕，夾子與桿子宜選不鏽鋼或防鏽材質。）</t>
        </is>
      </c>
      <c r="F206" s="4" t="inlineStr">
        <is>
          <t>撐好伸縮桿；掛清潔劑並用不鏽鋼夾吊垃圾袋</t>
        </is>
      </c>
      <c r="G206" s="4" t="inlineStr"/>
      <c r="H206" s="4" t="inlineStr">
        <is>
          <t>伸縮棒/掛勾</t>
        </is>
      </c>
      <c r="I206" s="4" t="inlineStr"/>
      <c r="J206" s="4" t="inlineStr">
        <is>
          <t>設計家 Searchome｜超實用地板淨空術！懸空收納妙招總整理，從玄關到浴室都適用（圖文提供：蛙家）</t>
        </is>
      </c>
      <c r="K206" s="4" t="inlineStr">
        <is>
          <t>台灣媒體</t>
        </is>
      </c>
      <c r="L206" s="5" t="inlineStr">
        <is>
          <t>https://www.searchome.net/article.aspx?id=82002</t>
        </is>
      </c>
      <c r="M206" s="4" t="inlineStr">
        <is>
          <t>2025-06-11</t>
        </is>
      </c>
      <c r="N206" s="4" t="inlineStr">
        <is>
          <t>2026-10-26</t>
        </is>
      </c>
      <c r="O206" s="4" t="inlineStr">
        <is>
          <t>zh-TW</t>
        </is>
      </c>
      <c r="P206" s="4" t="inlineStr">
        <is>
          <t>high</t>
        </is>
      </c>
    </row>
    <row r="207">
      <c r="A207" s="4" t="inlineStr">
        <is>
          <t>TM-087</t>
        </is>
      </c>
      <c r="B207" s="4" t="inlineStr">
        <is>
          <t>浴室</t>
        </is>
      </c>
      <c r="C207" s="4" t="inlineStr">
        <is>
          <t>伸縮棒/吊掛/防潮</t>
        </is>
      </c>
      <c r="D207" s="4" t="inlineStr">
        <is>
          <t>伸縮桿加不鏽鋼夾懸掛洗面乳牙膏</t>
        </is>
      </c>
      <c r="E207" s="4" t="inlineStr">
        <is>
          <t>洗手台上的洗面乳、牙膏可以用不鏽鋼夾夾住尾端，掛在伸縮桿上懸空收納。（補充，非原文：台面乾得快、不易積水垢。）（一般安全提醒，非原文：浴室潮濕，夾子宜選不鏽鋼以免生鏽。）</t>
        </is>
      </c>
      <c r="F207" s="4" t="inlineStr">
        <is>
          <t>在洗手台上方合適位置撐伸縮桿；用不鏽鋼夾夾住軟管尾端；掛到桿上</t>
        </is>
      </c>
      <c r="G207" s="4" t="inlineStr"/>
      <c r="H207" s="4" t="inlineStr">
        <is>
          <t>伸縮棒/掛勾</t>
        </is>
      </c>
      <c r="I207" s="4" t="inlineStr"/>
      <c r="J207" s="4" t="inlineStr">
        <is>
          <t>設計家 Searchome｜超實用地板淨空術！懸空收納妙招總整理，從玄關到浴室都適用（圖文提供：蛙家）</t>
        </is>
      </c>
      <c r="K207" s="4" t="inlineStr">
        <is>
          <t>台灣媒體</t>
        </is>
      </c>
      <c r="L207" s="5" t="inlineStr">
        <is>
          <t>https://www.searchome.net/article.aspx?id=82002</t>
        </is>
      </c>
      <c r="M207" s="4" t="inlineStr">
        <is>
          <t>2025-06-11</t>
        </is>
      </c>
      <c r="N207" s="4" t="inlineStr">
        <is>
          <t>2026-10-26</t>
        </is>
      </c>
      <c r="O207" s="4" t="inlineStr">
        <is>
          <t>zh-TW</t>
        </is>
      </c>
      <c r="P207" s="4" t="inlineStr">
        <is>
          <t>high</t>
        </is>
      </c>
    </row>
    <row r="208">
      <c r="A208" s="4" t="inlineStr">
        <is>
          <t>TM-088</t>
        </is>
      </c>
      <c r="B208" s="4" t="inlineStr">
        <is>
          <t>浴室</t>
        </is>
      </c>
      <c r="C208" s="4" t="inlineStr">
        <is>
          <t>伸縮棒/黏貼</t>
        </is>
      </c>
      <c r="D208" s="4" t="inlineStr">
        <is>
          <t>牆角三角區用旋轉固定托架伸縮桿</t>
        </is>
      </c>
      <c r="E208" s="4" t="inlineStr">
        <is>
          <t>浴室牆角的三角空間，可以貼兩個背膠式旋轉固定托，轉好扣環後放入伸縮桿，用來掛毛巾或清潔劑。文中另一款固定托標示耐重約7公斤。（一般安全提醒，非原文：背膠要貼在平滑磁磚上並先擦乾靜置，依產品標示耐重使用。）</t>
        </is>
      </c>
      <c r="F208" s="4" t="inlineStr">
        <is>
          <t>在兩面牆貼上旋轉固定托；放入伸縮桿；掛毛巾或清潔劑</t>
        </is>
      </c>
      <c r="G208" s="4" t="inlineStr"/>
      <c r="H208" s="4" t="inlineStr">
        <is>
          <t>伸縮棒/掛勾</t>
        </is>
      </c>
      <c r="I208" s="4" t="inlineStr"/>
      <c r="J208" s="4" t="inlineStr">
        <is>
          <t>設計家 Searchome｜免鑽孔、不傷牆！伸縮桿收納懶人包，29招搞定家中雜亂（圖文提供：蛙家）</t>
        </is>
      </c>
      <c r="K208" s="4" t="inlineStr">
        <is>
          <t>台灣媒體</t>
        </is>
      </c>
      <c r="L208" s="5" t="inlineStr">
        <is>
          <t>https://www.searchome.net/article.aspx?id=82596</t>
        </is>
      </c>
      <c r="M208" s="4" t="inlineStr">
        <is>
          <t>2025-08-06</t>
        </is>
      </c>
      <c r="N208" s="4" t="inlineStr">
        <is>
          <t>2026-10-26</t>
        </is>
      </c>
      <c r="O208" s="4" t="inlineStr">
        <is>
          <t>zh-TW</t>
        </is>
      </c>
      <c r="P208" s="4" t="inlineStr">
        <is>
          <t>high</t>
        </is>
      </c>
    </row>
    <row r="209">
      <c r="A209" s="4" t="inlineStr">
        <is>
          <t>TM-089</t>
        </is>
      </c>
      <c r="B209" s="4" t="inlineStr">
        <is>
          <t>浴室</t>
        </is>
      </c>
      <c r="C209" s="4" t="inlineStr">
        <is>
          <t>伸縮棒/磁吸</t>
        </is>
      </c>
      <c r="D209" s="4" t="inlineStr">
        <is>
          <t>刷柄貼磁鐵吸在伸縮桿上晾乾</t>
        </is>
      </c>
      <c r="E209" s="4" t="inlineStr">
        <is>
          <t>刷子柄上用無痕膠貼一顆小強力磁鐵，就能吸在櫃內側的鐵製伸縮桿上懸空晾乾。（補充，非原文：刷頭不會泡在積水裡。）（一般安全提醒，非原文：伸縮桿需是磁鐵吸得住的鐵材。）</t>
        </is>
      </c>
      <c r="F209" s="4" t="inlineStr">
        <is>
          <t>在刷柄貼上小強力磁鐵；在櫃內側撐鐵製伸縮桿；把刷子吸在桿上晾乾</t>
        </is>
      </c>
      <c r="G209" s="4" t="inlineStr"/>
      <c r="H209" s="4" t="inlineStr">
        <is>
          <t>伸縮棒</t>
        </is>
      </c>
      <c r="I209" s="4" t="inlineStr"/>
      <c r="J209" s="4" t="inlineStr">
        <is>
          <t>設計家 Searchome｜免鑽孔、不傷牆！伸縮桿收納懶人包，29招搞定家中雜亂（圖文提供：蛙家）</t>
        </is>
      </c>
      <c r="K209" s="4" t="inlineStr">
        <is>
          <t>台灣媒體</t>
        </is>
      </c>
      <c r="L209" s="5" t="inlineStr">
        <is>
          <t>https://www.searchome.net/article.aspx?id=82596</t>
        </is>
      </c>
      <c r="M209" s="4" t="inlineStr">
        <is>
          <t>2025-08-06</t>
        </is>
      </c>
      <c r="N209" s="4" t="inlineStr">
        <is>
          <t>2026-10-26</t>
        </is>
      </c>
      <c r="O209" s="4" t="inlineStr">
        <is>
          <t>zh-TW</t>
        </is>
      </c>
      <c r="P209" s="4" t="inlineStr">
        <is>
          <t>medium</t>
        </is>
      </c>
    </row>
    <row r="210">
      <c r="A210" s="4" t="inlineStr">
        <is>
          <t>TM-090</t>
        </is>
      </c>
      <c r="B210" s="4" t="inlineStr">
        <is>
          <t>浴室</t>
        </is>
      </c>
      <c r="C210" s="4" t="inlineStr">
        <is>
          <t>鐵網/掛勾</t>
        </is>
      </c>
      <c r="D210" s="4" t="inlineStr">
        <is>
          <t>長網片折成V形掛牆收毛巾</t>
        </is>
      </c>
      <c r="E210" s="4" t="inlineStr">
        <is>
          <t>長網片對折成大V字形，用掛勾固定在浴室牆面，就能放捲起的毛巾；同樣做法也可以裝在衣櫃門內側收背心、皮帶。（一般安全提醒，非原文：浴室潮濕，鐵網易生鏽，宜選有塗層或不鏽鋼款並保持通風。）</t>
        </is>
      </c>
      <c r="F210" s="4" t="inlineStr">
        <is>
          <t>把長網片對折成V字；在牆面固定掛勾並掛上網片；放入毛巾</t>
        </is>
      </c>
      <c r="G210" s="4" t="inlineStr"/>
      <c r="H210" s="4" t="inlineStr">
        <is>
          <t>鐵網/掛勾</t>
        </is>
      </c>
      <c r="I210" s="4" t="inlineStr"/>
      <c r="J210" s="4" t="inlineStr">
        <is>
          <t>設計家 Searchome｜租屋族友善！網片超簡易收納DIY，只要10分鐘就能變出收納推車（圖文提供：蛙家）</t>
        </is>
      </c>
      <c r="K210" s="4" t="inlineStr">
        <is>
          <t>台灣媒體</t>
        </is>
      </c>
      <c r="L210" s="5" t="inlineStr">
        <is>
          <t>https://www.searchome.net/article.aspx?id=78137</t>
        </is>
      </c>
      <c r="M210" s="4" t="inlineStr">
        <is>
          <t>2024-06-07</t>
        </is>
      </c>
      <c r="N210" s="4" t="inlineStr">
        <is>
          <t>2026-10-26</t>
        </is>
      </c>
      <c r="O210" s="4" t="inlineStr">
        <is>
          <t>zh-TW</t>
        </is>
      </c>
      <c r="P210" s="4" t="inlineStr">
        <is>
          <t>high</t>
        </is>
      </c>
    </row>
    <row r="211">
      <c r="A211" s="4" t="inlineStr">
        <is>
          <t>TM-091</t>
        </is>
      </c>
      <c r="B211" s="4" t="inlineStr">
        <is>
          <t>浴室</t>
        </is>
      </c>
      <c r="C211" s="4" t="inlineStr">
        <is>
          <t>磁吸</t>
        </is>
      </c>
      <c r="D211" s="4" t="inlineStr">
        <is>
          <t>牆上貼磁條吸附小鐵件</t>
        </is>
      </c>
      <c r="E211" s="4" t="inlineStr">
        <is>
          <t>浴室或梳妝區牆面貼一條磁性膠條，鑷子、剪刀、髮夾等鐵製小物可以直接吸上去，不會散落在台面。（一般安全提醒，非原文：磁條要貼在不會被水直接噴到的位置。）</t>
        </is>
      </c>
      <c r="F211" s="4" t="inlineStr">
        <is>
          <t>貼上磁性膠條；把鐵製小物吸上</t>
        </is>
      </c>
      <c r="G211" s="4" t="inlineStr"/>
      <c r="H211" s="4" t="inlineStr"/>
      <c r="I211" s="4" t="inlineStr"/>
      <c r="J211" s="4" t="inlineStr">
        <is>
          <t>設計家 Searchome｜超實用地板淨空術！懸空收納妙招總整理，從玄關到浴室都適用（圖文提供：蛙家）</t>
        </is>
      </c>
      <c r="K211" s="4" t="inlineStr">
        <is>
          <t>台灣媒體</t>
        </is>
      </c>
      <c r="L211" s="5" t="inlineStr">
        <is>
          <t>https://www.searchome.net/article.aspx?id=82002</t>
        </is>
      </c>
      <c r="M211" s="4" t="inlineStr">
        <is>
          <t>2025-06-11</t>
        </is>
      </c>
      <c r="N211" s="4" t="inlineStr">
        <is>
          <t>2026-10-26</t>
        </is>
      </c>
      <c r="O211" s="4" t="inlineStr">
        <is>
          <t>zh-TW</t>
        </is>
      </c>
      <c r="P211" s="4" t="inlineStr">
        <is>
          <t>high</t>
        </is>
      </c>
    </row>
    <row r="212">
      <c r="A212" s="4" t="inlineStr">
        <is>
          <t>TM-092</t>
        </is>
      </c>
      <c r="B212" s="4" t="inlineStr">
        <is>
          <t>洗手台下</t>
        </is>
      </c>
      <c r="C212" s="4" t="inlineStr">
        <is>
          <t>防潮</t>
        </is>
      </c>
      <c r="D212" s="4" t="inlineStr">
        <is>
          <t>洗手台下改開放式、無櫃腳</t>
        </is>
      </c>
      <c r="E212" s="4" t="inlineStr">
        <is>
          <t>浴室潮濕，封閉的洗手台下櫃若沒及時發現濕氣，容易發霉、櫃腳腐爛。翻新時可改用沒有門片、不落地的開放式櫃體，通風較好，管線也比較好安裝。（補充，非原文：開放式櫃體裡的東西可用收納盒分類，保持整齊。）</t>
        </is>
      </c>
      <c r="F212" s="4" t="inlineStr"/>
      <c r="G212" s="4" t="inlineStr"/>
      <c r="H212" s="4" t="inlineStr"/>
      <c r="I212" s="4" t="inlineStr"/>
      <c r="J212" s="4" t="inlineStr">
        <is>
          <t>設計家 Searchome｜浴室設計實用指南：2024年熱門風格一篇整理，打造理想衛浴空間（編輯 Yoli Wong）</t>
        </is>
      </c>
      <c r="K212" s="4" t="inlineStr">
        <is>
          <t>台灣媒體</t>
        </is>
      </c>
      <c r="L212" s="5" t="inlineStr">
        <is>
          <t>https://www.searchome.net/article.aspx?id=79154</t>
        </is>
      </c>
      <c r="M212" s="4" t="inlineStr">
        <is>
          <t>2024-09-04</t>
        </is>
      </c>
      <c r="N212" s="4" t="inlineStr">
        <is>
          <t>2026-10-26</t>
        </is>
      </c>
      <c r="O212" s="4" t="inlineStr">
        <is>
          <t>zh-TW</t>
        </is>
      </c>
      <c r="P212" s="4" t="inlineStr">
        <is>
          <t>high</t>
        </is>
      </c>
    </row>
    <row r="213">
      <c r="A213" s="4" t="inlineStr">
        <is>
          <t>TM-093</t>
        </is>
      </c>
      <c r="B213" s="4" t="inlineStr">
        <is>
          <t>浴室</t>
        </is>
      </c>
      <c r="C213" s="4" t="inlineStr">
        <is>
          <t>防潮</t>
        </is>
      </c>
      <c r="D213" s="4" t="inlineStr">
        <is>
          <t>用壁龕取代易生鏽的鐵件層架</t>
        </is>
      </c>
      <c r="E213" s="4" t="inlineStr">
        <is>
          <t>浴室淋浴區的沐浴乳、洗髮精，可以在裝修時把畸零牆面做成壁龕收納，取代容易生鏽的鐵件層架，也比較好清潔。（一般安全提醒，非原文：無法施工而改用鐵網或鐵架時，要選防鏽材質並常擦乾。）</t>
        </is>
      </c>
      <c r="F213" s="4" t="inlineStr">
        <is>
          <t>裝修時找出可內嵌的畸零牆面；做成壁龕放瓶罐</t>
        </is>
      </c>
      <c r="G213" s="4" t="inlineStr"/>
      <c r="H213" s="4" t="inlineStr"/>
      <c r="I213" s="4" t="inlineStr"/>
      <c r="J213" s="4" t="inlineStr">
        <is>
          <t>設計家 Searchome｜浴室設計實用指南：2024年熱門風格一篇整理，打造理想衛浴空間（編輯 Yoli Wong）</t>
        </is>
      </c>
      <c r="K213" s="4" t="inlineStr">
        <is>
          <t>台灣媒體</t>
        </is>
      </c>
      <c r="L213" s="5" t="inlineStr">
        <is>
          <t>https://www.searchome.net/article.aspx?id=79154</t>
        </is>
      </c>
      <c r="M213" s="4" t="inlineStr">
        <is>
          <t>2024-09-04</t>
        </is>
      </c>
      <c r="N213" s="4" t="inlineStr">
        <is>
          <t>2026-10-26</t>
        </is>
      </c>
      <c r="O213" s="4" t="inlineStr">
        <is>
          <t>zh-TW</t>
        </is>
      </c>
      <c r="P213" s="4" t="inlineStr">
        <is>
          <t>high</t>
        </is>
      </c>
    </row>
    <row r="214">
      <c r="A214" s="4" t="inlineStr">
        <is>
          <t>TM-094</t>
        </is>
      </c>
      <c r="B214" s="4" t="inlineStr">
        <is>
          <t>浴室</t>
        </is>
      </c>
      <c r="C214" s="4" t="inlineStr">
        <is>
          <t>安全/電線</t>
        </is>
      </c>
      <c r="D214" s="4" t="inlineStr">
        <is>
          <t>吹風機電線不要對折紮緊收納</t>
        </is>
      </c>
      <c r="E214" s="4" t="inlineStr">
        <is>
          <t>浴室裡的吹風機電線若對折後用束帶紮緊，折點的銅絲會慢慢斷裂，電阻升高，使用時可能發熱起火。收納時讓電線保持自然弧度，用魔鬼氈束帶鬆鬆綁住；已有壓痕、變色或裂痕的電線要更換。</t>
        </is>
      </c>
      <c r="F214" s="4" t="inlineStr">
        <is>
          <t>讓電線保持自然弧度；用魔鬼氈束帶鬆綁；檢查折點有無壓痕或變色</t>
        </is>
      </c>
      <c r="G214" s="4" t="inlineStr"/>
      <c r="H214" s="4" t="inlineStr"/>
      <c r="I214" s="4" t="inlineStr"/>
      <c r="J214" s="4" t="inlineStr">
        <is>
          <t>好房網News｜不想房屋被毀火海！ 這款「收納神物」別有這習慣（記者王震濂）</t>
        </is>
      </c>
      <c r="K214" s="4" t="inlineStr">
        <is>
          <t>台灣媒體</t>
        </is>
      </c>
      <c r="L214" s="5" t="inlineStr">
        <is>
          <t>https://news.housefun.com.tw/news/article/173120483531.html</t>
        </is>
      </c>
      <c r="M214" s="4" t="inlineStr">
        <is>
          <t>2026-04-13</t>
        </is>
      </c>
      <c r="N214" s="4" t="inlineStr">
        <is>
          <t>2026-10-26</t>
        </is>
      </c>
      <c r="O214" s="4" t="inlineStr">
        <is>
          <t>zh-TW</t>
        </is>
      </c>
      <c r="P214" s="4" t="inlineStr">
        <is>
          <t>high</t>
        </is>
      </c>
    </row>
    <row r="215">
      <c r="A215" s="4" t="inlineStr">
        <is>
          <t>TM-095</t>
        </is>
      </c>
      <c r="B215" s="4" t="inlineStr">
        <is>
          <t>桌面</t>
        </is>
      </c>
      <c r="C215" s="4" t="inlineStr">
        <is>
          <t>伸縮棒/隱藏收納</t>
        </is>
      </c>
      <c r="D215" s="4" t="inlineStr">
        <is>
          <t>餐桌下撐伸縮棒放衛生紙卷</t>
        </is>
      </c>
      <c r="E215" s="4" t="inlineStr">
        <is>
          <t>餐桌下方的兩支桌腳或橫框之間，可以撐一根伸縮棒，把捲筒衛生紙穿在上面，要用時伸手就撕得到。（補充，非原文：桌面就不用放紙巾盒。）</t>
        </is>
      </c>
      <c r="F215" s="4" t="inlineStr">
        <is>
          <t>把捲筒衛生紙套在伸縮棒上；撐在桌下</t>
        </is>
      </c>
      <c r="G215" s="4" t="inlineStr"/>
      <c r="H215" s="4" t="inlineStr">
        <is>
          <t>伸縮棒</t>
        </is>
      </c>
      <c r="I215" s="4" t="inlineStr"/>
      <c r="J215" s="4" t="inlineStr">
        <is>
          <t>ESSE online｜「つっぱり棒」で家じゅう片づく。キッチン・クローゼット・トイレ収納に活用（ライター・小林さん）</t>
        </is>
      </c>
      <c r="K215" s="4" t="inlineStr">
        <is>
          <t>日本媒體</t>
        </is>
      </c>
      <c r="L215" s="5" t="inlineStr">
        <is>
          <t>https://esse-online.jp/articles/-/29782</t>
        </is>
      </c>
      <c r="M215" s="4" t="inlineStr">
        <is>
          <t>2024-08-28</t>
        </is>
      </c>
      <c r="N215" s="4" t="inlineStr">
        <is>
          <t>2026-10-26</t>
        </is>
      </c>
      <c r="O215" s="4" t="inlineStr">
        <is>
          <t>ja</t>
        </is>
      </c>
      <c r="P215" s="4" t="inlineStr">
        <is>
          <t>high</t>
        </is>
      </c>
    </row>
    <row r="216">
      <c r="A216" s="4" t="inlineStr">
        <is>
          <t>TM-096</t>
        </is>
      </c>
      <c r="B216" s="4" t="inlineStr">
        <is>
          <t>桌面</t>
        </is>
      </c>
      <c r="C216" s="4" t="inlineStr">
        <is>
          <t>伸縮棒/伸縮層架</t>
        </is>
      </c>
      <c r="D216" s="4" t="inlineStr">
        <is>
          <t>桌下用兩根伸縮桿加層架多一層</t>
        </is>
      </c>
      <c r="E216" s="4" t="inlineStr">
        <is>
          <t>書桌或工作桌下方可以撐兩根伸縮桿，裝上輔助片與專用層架，增加一層收納。（補充，非原文：可放文件、充電器，桌面保持清爽。）（一般安全提醒，非原文：層架上的東西不要太重，以免伸縮桿下滑。）</t>
        </is>
      </c>
      <c r="F216" s="4" t="inlineStr">
        <is>
          <t>撐兩根伸縮桿；裝上輔助片與層架</t>
        </is>
      </c>
      <c r="G216" s="4" t="inlineStr"/>
      <c r="H216" s="4" t="inlineStr">
        <is>
          <t>伸縮棒/伸縮層架</t>
        </is>
      </c>
      <c r="I216" s="4" t="inlineStr"/>
      <c r="J216" s="4" t="inlineStr">
        <is>
          <t>設計家 Searchome｜免鑽孔、不傷牆！伸縮桿收納懶人包，29招搞定家中雜亂（圖文提供：蛙家）</t>
        </is>
      </c>
      <c r="K216" s="4" t="inlineStr">
        <is>
          <t>台灣媒體</t>
        </is>
      </c>
      <c r="L216" s="5" t="inlineStr">
        <is>
          <t>https://www.searchome.net/article.aspx?id=82596</t>
        </is>
      </c>
      <c r="M216" s="4" t="inlineStr">
        <is>
          <t>2025-08-06</t>
        </is>
      </c>
      <c r="N216" s="4" t="inlineStr">
        <is>
          <t>2026-10-26</t>
        </is>
      </c>
      <c r="O216" s="4" t="inlineStr">
        <is>
          <t>zh-TW</t>
        </is>
      </c>
      <c r="P216" s="4" t="inlineStr">
        <is>
          <t>high</t>
        </is>
      </c>
    </row>
    <row r="217">
      <c r="A217" s="4" t="inlineStr">
        <is>
          <t>TM-097</t>
        </is>
      </c>
      <c r="B217" s="4" t="inlineStr">
        <is>
          <t>桌面</t>
        </is>
      </c>
      <c r="C217" s="4" t="inlineStr">
        <is>
          <t>鐵網/掛勾</t>
        </is>
      </c>
      <c r="D217" s="4" t="inlineStr">
        <is>
          <t>鐵網立在桌邊展示卡片、掛文具</t>
        </is>
      </c>
      <c r="E217" s="4" t="inlineStr">
        <is>
          <t>鐵網可以用專用支架立在書桌邊，夾明信片、照片，或用掛勾吊剪刀、紙膠帶，桌面不再堆滿文具。（一般安全提醒，非原文：鐵網切口較尖，放桌邊要注意別刮到手臂。）</t>
        </is>
      </c>
      <c r="F217" s="4" t="inlineStr">
        <is>
          <t>把鐵網裝在專用支架上立於桌邊；用夾子固定卡片；掛勾吊剪刀與紙膠帶</t>
        </is>
      </c>
      <c r="G217" s="4" t="inlineStr"/>
      <c r="H217" s="4" t="inlineStr">
        <is>
          <t>鐵網/網片配件/掛勾</t>
        </is>
      </c>
      <c r="I217" s="4" t="inlineStr"/>
      <c r="J217" s="4" t="inlineStr">
        <is>
          <t>ESSE online｜100均「ワイヤーネット」片付け実例集。マネないと損するレベルかも（整理収納アドバイザー・露重和子）</t>
        </is>
      </c>
      <c r="K217" s="4" t="inlineStr">
        <is>
          <t>日本媒體</t>
        </is>
      </c>
      <c r="L217" s="5" t="inlineStr">
        <is>
          <t>https://esse-online.jp/articles/-/8125</t>
        </is>
      </c>
      <c r="M217" s="4" t="inlineStr">
        <is>
          <t>2020-07-06</t>
        </is>
      </c>
      <c r="N217" s="4" t="inlineStr">
        <is>
          <t>2026-10-26</t>
        </is>
      </c>
      <c r="O217" s="4" t="inlineStr">
        <is>
          <t>ja</t>
        </is>
      </c>
      <c r="P217" s="4" t="inlineStr">
        <is>
          <t>high</t>
        </is>
      </c>
    </row>
    <row r="218">
      <c r="A218" s="4" t="inlineStr">
        <is>
          <t>TM-098</t>
        </is>
      </c>
      <c r="B218" s="4" t="inlineStr">
        <is>
          <t>桌面</t>
        </is>
      </c>
      <c r="C218" s="4" t="inlineStr">
        <is>
          <t>吊掛/安全</t>
        </is>
      </c>
      <c r="D218" s="4" t="inlineStr">
        <is>
          <t>桌上立式洞洞板分類文具、別掛太多</t>
        </is>
      </c>
      <c r="E218" s="4" t="inlineStr">
        <is>
          <t>螢幕旁可以放有底座的立式洞洞板，把文具分類放進掛盒。依動線與使用頻率安排位置，但不要掛太多，否則重心不穩容易翻倒。</t>
        </is>
      </c>
      <c r="F218" s="4" t="inlineStr">
        <is>
          <t>在螢幕旁放有底座的洞洞板；依使用頻率放掛盒；控制掛物數量與重量</t>
        </is>
      </c>
      <c r="G218" s="4" t="inlineStr"/>
      <c r="H218" s="4" t="inlineStr"/>
      <c r="I218" s="4" t="inlineStr"/>
      <c r="J218" s="4" t="inlineStr">
        <is>
          <t>設計家 Searchome｜收納達人秘技公開！35個必學技巧，輕鬆整理廚房、衣櫃、客廳、辦公室（圖文提供：蛙家）</t>
        </is>
      </c>
      <c r="K218" s="4" t="inlineStr">
        <is>
          <t>台灣媒體</t>
        </is>
      </c>
      <c r="L218" s="5" t="inlineStr">
        <is>
          <t>https://www.searchome.net/article.aspx?id=81334</t>
        </is>
      </c>
      <c r="M218" s="4" t="inlineStr">
        <is>
          <t>2025-04-09</t>
        </is>
      </c>
      <c r="N218" s="4" t="inlineStr">
        <is>
          <t>2026-10-26</t>
        </is>
      </c>
      <c r="O218" s="4" t="inlineStr">
        <is>
          <t>zh-TW</t>
        </is>
      </c>
      <c r="P218" s="4" t="inlineStr">
        <is>
          <t>high</t>
        </is>
      </c>
    </row>
    <row r="219">
      <c r="A219" s="4" t="inlineStr">
        <is>
          <t>TM-099</t>
        </is>
      </c>
      <c r="B219" s="4" t="inlineStr">
        <is>
          <t>桌面</t>
        </is>
      </c>
      <c r="C219" s="4" t="inlineStr">
        <is>
          <t>電線/分區</t>
        </is>
      </c>
      <c r="D219" s="4" t="inlineStr">
        <is>
          <t>電線收納盒夾在桌邊</t>
        </is>
      </c>
      <c r="E219" s="4" t="inlineStr">
        <is>
          <t>IKEA的電線收納盒不用打釘，用固定扣鎖在桌邊，就能把延長線與電線收進去，也能放衛生紙、書本。購買前先確認桌板厚度，文中提到要在4公分以下才夾得上。</t>
        </is>
      </c>
      <c r="F219" s="4" t="inlineStr">
        <is>
          <t>量桌板厚度確認可安裝；用固定扣把收納盒鎖在桌邊；放入延長線與電線</t>
        </is>
      </c>
      <c r="G219" s="4" t="inlineStr">
        <is>
          <t>電線收納盒</t>
        </is>
      </c>
      <c r="H219" s="4" t="inlineStr"/>
      <c r="I219" s="4" t="inlineStr">
        <is>
          <t>IKEA</t>
        </is>
      </c>
      <c r="J219" s="4" t="inlineStr">
        <is>
          <t>設計家 Searchome｜收納達人秘技公開！35個必學技巧，輕鬆整理廚房、衣櫃、客廳、辦公室（圖文提供：蛙家）</t>
        </is>
      </c>
      <c r="K219" s="4" t="inlineStr">
        <is>
          <t>台灣媒體</t>
        </is>
      </c>
      <c r="L219" s="5" t="inlineStr">
        <is>
          <t>https://www.searchome.net/article.aspx?id=81334</t>
        </is>
      </c>
      <c r="M219" s="4" t="inlineStr">
        <is>
          <t>2025-04-09</t>
        </is>
      </c>
      <c r="N219" s="4" t="inlineStr">
        <is>
          <t>2026-10-26</t>
        </is>
      </c>
      <c r="O219" s="4" t="inlineStr">
        <is>
          <t>zh-TW</t>
        </is>
      </c>
      <c r="P219" s="4" t="inlineStr">
        <is>
          <t>high</t>
        </is>
      </c>
    </row>
    <row r="220">
      <c r="A220" s="4" t="inlineStr">
        <is>
          <t>TM-100</t>
        </is>
      </c>
      <c r="B220" s="4" t="inlineStr">
        <is>
          <t>通用</t>
        </is>
      </c>
      <c r="C220" s="4" t="inlineStr">
        <is>
          <t>安全/電線</t>
        </is>
      </c>
      <c r="D220" s="4" t="inlineStr">
        <is>
          <t>延長線收納盒要能散熱</t>
        </is>
      </c>
      <c r="E220" s="4" t="inlineStr">
        <is>
          <t>延長線收進密閉盒子裡，熱氣會累積，溫度升高可能燒壞絕緣外皮。收納盒要選有大量散熱孔的款式，或不要蓋上盒蓋；電風扇等季節性電器收起前先拔插頭、擦乾接腳，電線不要纏在機身上。</t>
        </is>
      </c>
      <c r="F220" s="4" t="inlineStr">
        <is>
          <t>選有散熱孔的電線收納盒或不蓋蓋子；盒內不要塞滿電線；季節性電器拔插頭後再收</t>
        </is>
      </c>
      <c r="G220" s="4" t="inlineStr"/>
      <c r="H220" s="4" t="inlineStr"/>
      <c r="I220" s="4" t="inlineStr"/>
      <c r="J220" s="4" t="inlineStr">
        <is>
          <t>好房網News｜看起來整齊卻致命？「救命三步驟」別等起火才後悔！（記者王震濂）</t>
        </is>
      </c>
      <c r="K220" s="4" t="inlineStr">
        <is>
          <t>台灣媒體</t>
        </is>
      </c>
      <c r="L220" s="5" t="inlineStr">
        <is>
          <t>https://news.housefun.com.tw/news/article/768561483760.html</t>
        </is>
      </c>
      <c r="M220" s="4" t="inlineStr">
        <is>
          <t>2026-04-17</t>
        </is>
      </c>
      <c r="N220" s="4" t="inlineStr">
        <is>
          <t>2026-10-26</t>
        </is>
      </c>
      <c r="O220" s="4" t="inlineStr">
        <is>
          <t>zh-TW</t>
        </is>
      </c>
      <c r="P220" s="4" t="inlineStr">
        <is>
          <t>high</t>
        </is>
      </c>
    </row>
    <row r="221">
      <c r="A221" s="4" t="inlineStr">
        <is>
          <t>TM-101</t>
        </is>
      </c>
      <c r="B221" s="4" t="inlineStr">
        <is>
          <t>層架</t>
        </is>
      </c>
      <c r="C221" s="4" t="inlineStr">
        <is>
          <t>鐵網/伸縮棒</t>
        </is>
      </c>
      <c r="D221" s="4" t="inlineStr">
        <is>
          <t>網片綁伸縮桿做櫃內層架</t>
        </is>
      </c>
      <c r="E221" s="4" t="inlineStr">
        <is>
          <t>櫃子裡層板太少時，可以依櫃內高度量好尺寸，用束帶把網片綁在伸縮桿上，網片之間也用束帶連接，再整組撐進櫃內當層架，放鍋盤、平底鍋。（一般安全提醒，非原文：東西較重時要確認伸縮桿撐緊、不會下滑。）</t>
        </is>
      </c>
      <c r="F221" s="4" t="inlineStr">
        <is>
          <t>量櫃內寬與高度；用束帶把網片綁在伸縮桿上；網片之間連接成層架；撐進櫃內</t>
        </is>
      </c>
      <c r="G221" s="4" t="inlineStr"/>
      <c r="H221" s="4" t="inlineStr">
        <is>
          <t>鐵網/伸縮棒</t>
        </is>
      </c>
      <c r="I221" s="4" t="inlineStr"/>
      <c r="J221" s="4" t="inlineStr">
        <is>
          <t>設計家 Searchome｜租屋族友善！網片超簡易收納DIY，只要10分鐘就能變出收納推車（圖文提供：蛙家）</t>
        </is>
      </c>
      <c r="K221" s="4" t="inlineStr">
        <is>
          <t>台灣媒體</t>
        </is>
      </c>
      <c r="L221" s="5" t="inlineStr">
        <is>
          <t>https://www.searchome.net/article.aspx?id=78137</t>
        </is>
      </c>
      <c r="M221" s="4" t="inlineStr">
        <is>
          <t>2024-06-07</t>
        </is>
      </c>
      <c r="N221" s="4" t="inlineStr">
        <is>
          <t>2026-10-26</t>
        </is>
      </c>
      <c r="O221" s="4" t="inlineStr">
        <is>
          <t>zh-TW</t>
        </is>
      </c>
      <c r="P221" s="4" t="inlineStr">
        <is>
          <t>high</t>
        </is>
      </c>
    </row>
    <row r="222">
      <c r="A222" s="4" t="inlineStr">
        <is>
          <t>TM-102</t>
        </is>
      </c>
      <c r="B222" s="4" t="inlineStr">
        <is>
          <t>層架</t>
        </is>
      </c>
      <c r="C222" s="4" t="inlineStr">
        <is>
          <t>鐵網/黏貼</t>
        </is>
      </c>
      <c r="D222" s="4" t="inlineStr">
        <is>
          <t>彩色層架上方用黏貼掛勾架鐵網</t>
        </is>
      </c>
      <c r="E222" s="4" t="inlineStr">
        <is>
          <t>彩色層架（三層櫃）每格上方常空一截，可以在左右側板內側貼透明黏貼掛勾，把鐵網橫放在掛勾上，多出一層放便當盒、小物盒。貼之前把灰塵油污擦乾淨，依說明靜置後再放東西，不要放重物。</t>
        </is>
      </c>
      <c r="F222" s="4" t="inlineStr">
        <is>
          <t>擦淨層架側板內側；左右各貼透明黏貼掛勾並靜置；把鐵網放在掛勾上；放便當盒、小物盒</t>
        </is>
      </c>
      <c r="G222" s="4" t="inlineStr"/>
      <c r="H222" s="4" t="inlineStr">
        <is>
          <t>鐵網/掛勾</t>
        </is>
      </c>
      <c r="I222" s="4" t="inlineStr"/>
      <c r="J222" s="4" t="inlineStr">
        <is>
          <t>LIMO｜【ワイヤーネット活用術】カラーボックスの「上の空間」と冷蔵庫横「6cmの隙間」が、置くだけ・挟むだけで収納に変身！（LIMODIY部）</t>
        </is>
      </c>
      <c r="K222" s="4" t="inlineStr">
        <is>
          <t>日本媒體</t>
        </is>
      </c>
      <c r="L222" s="5" t="inlineStr">
        <is>
          <t>https://limo.media/articles/-/137036</t>
        </is>
      </c>
      <c r="M222" s="4" t="inlineStr">
        <is>
          <t>2026-09-14</t>
        </is>
      </c>
      <c r="N222" s="4" t="inlineStr">
        <is>
          <t>2026-10-26</t>
        </is>
      </c>
      <c r="O222" s="4" t="inlineStr">
        <is>
          <t>ja</t>
        </is>
      </c>
      <c r="P222" s="4" t="inlineStr">
        <is>
          <t>high</t>
        </is>
      </c>
    </row>
    <row r="223">
      <c r="A223" s="4" t="inlineStr">
        <is>
          <t>TM-103</t>
        </is>
      </c>
      <c r="B223" s="4" t="inlineStr">
        <is>
          <t>層架</t>
        </is>
      </c>
      <c r="C223" s="4" t="inlineStr">
        <is>
          <t>伸縮棒</t>
        </is>
      </c>
      <c r="D223" s="4" t="inlineStr">
        <is>
          <t>兩根伸縮桿當書擋</t>
        </is>
      </c>
      <c r="E223" s="4" t="inlineStr">
        <is>
          <t>書櫃裡書不滿時容易倒，可以直立撐兩根伸縮桿當書擋，也能把大開本雜誌夾在中間站好。（一般安全提醒，非原文：伸縮桿要上下頂緊，抽書時才不會倒下。）</t>
        </is>
      </c>
      <c r="F223" s="4" t="inlineStr">
        <is>
          <t>在書櫃層板間直立撐兩根伸縮桿；把書或雜誌夾在桿之間</t>
        </is>
      </c>
      <c r="G223" s="4" t="inlineStr"/>
      <c r="H223" s="4" t="inlineStr">
        <is>
          <t>伸縮棒</t>
        </is>
      </c>
      <c r="I223" s="4" t="inlineStr"/>
      <c r="J223" s="4" t="inlineStr">
        <is>
          <t>設計家 Searchome｜免鑽孔、不傷牆！伸縮桿收納懶人包，29招搞定家中雜亂（圖文提供：蛙家）</t>
        </is>
      </c>
      <c r="K223" s="4" t="inlineStr">
        <is>
          <t>台灣媒體</t>
        </is>
      </c>
      <c r="L223" s="5" t="inlineStr">
        <is>
          <t>https://www.searchome.net/article.aspx?id=82596</t>
        </is>
      </c>
      <c r="M223" s="4" t="inlineStr">
        <is>
          <t>2025-08-06</t>
        </is>
      </c>
      <c r="N223" s="4" t="inlineStr">
        <is>
          <t>2026-10-26</t>
        </is>
      </c>
      <c r="O223" s="4" t="inlineStr">
        <is>
          <t>zh-TW</t>
        </is>
      </c>
      <c r="P223" s="4" t="inlineStr">
        <is>
          <t>medium</t>
        </is>
      </c>
    </row>
    <row r="224">
      <c r="A224" s="4" t="inlineStr">
        <is>
          <t>TM-104</t>
        </is>
      </c>
      <c r="B224" s="4" t="inlineStr">
        <is>
          <t>層架</t>
        </is>
      </c>
      <c r="C224" s="4" t="inlineStr">
        <is>
          <t>伸縮棒/分區</t>
        </is>
      </c>
      <c r="D224" s="4" t="inlineStr">
        <is>
          <t>櫃底撐伸縮桿擋住收納盒</t>
        </is>
      </c>
      <c r="E224" s="4" t="inlineStr">
        <is>
          <t>深櫃裡的收納盒推進去後常滑到最深處拿不到，可以在櫃底適當深度撐一根伸縮桿當擋條，盒子停在桿前，伸手就拿得到。</t>
        </is>
      </c>
      <c r="F224" s="4" t="inlineStr">
        <is>
          <t>在櫃底撐一根伸縮桿；把收納盒推到桿前</t>
        </is>
      </c>
      <c r="G224" s="4" t="inlineStr"/>
      <c r="H224" s="4" t="inlineStr">
        <is>
          <t>伸縮棒</t>
        </is>
      </c>
      <c r="I224" s="4" t="inlineStr"/>
      <c r="J224" s="4" t="inlineStr">
        <is>
          <t>設計家 Searchome｜免鑽孔、不傷牆！伸縮桿收納懶人包，29招搞定家中雜亂（圖文提供：蛙家）</t>
        </is>
      </c>
      <c r="K224" s="4" t="inlineStr">
        <is>
          <t>台灣媒體</t>
        </is>
      </c>
      <c r="L224" s="5" t="inlineStr">
        <is>
          <t>https://www.searchome.net/article.aspx?id=82596</t>
        </is>
      </c>
      <c r="M224" s="4" t="inlineStr">
        <is>
          <t>2025-08-06</t>
        </is>
      </c>
      <c r="N224" s="4" t="inlineStr">
        <is>
          <t>2026-10-26</t>
        </is>
      </c>
      <c r="O224" s="4" t="inlineStr">
        <is>
          <t>zh-TW</t>
        </is>
      </c>
      <c r="P224" s="4" t="inlineStr">
        <is>
          <t>medium</t>
        </is>
      </c>
    </row>
    <row r="225">
      <c r="A225" s="4" t="inlineStr">
        <is>
          <t>TM-105</t>
        </is>
      </c>
      <c r="B225" s="4" t="inlineStr">
        <is>
          <t>層架</t>
        </is>
      </c>
      <c r="C225" s="4" t="inlineStr">
        <is>
          <t>伸縮棒/吊掛</t>
        </is>
      </c>
      <c r="D225" s="4" t="inlineStr">
        <is>
          <t>層架上用重物壓住伸縮桿做穿過衣物吊掛區</t>
        </is>
      </c>
      <c r="E225" s="4" t="inlineStr">
        <is>
          <t>租屋沒地方放穿過但還不用洗的衣服時，可以把伸縮桿一端放在層架上，用書本等重物壓住固定，伸出來的另一端掛衣物。（一般安全提醒，非原文：壓的重物要夠、衣服別掛太多，避免整組翻倒。）</t>
        </is>
      </c>
      <c r="F225" s="4" t="inlineStr">
        <is>
          <t>把伸縮桿一端放在層架上；用書本等重物壓穩；在伸出的一端掛衣物</t>
        </is>
      </c>
      <c r="G225" s="4" t="inlineStr"/>
      <c r="H225" s="4" t="inlineStr">
        <is>
          <t>伸縮棒</t>
        </is>
      </c>
      <c r="I225" s="4" t="inlineStr"/>
      <c r="J225" s="4" t="inlineStr">
        <is>
          <t>設計家 Searchome｜免鑽孔、不傷牆！伸縮桿收納懶人包，29招搞定家中雜亂（圖文提供：蛙家）</t>
        </is>
      </c>
      <c r="K225" s="4" t="inlineStr">
        <is>
          <t>台灣媒體</t>
        </is>
      </c>
      <c r="L225" s="5" t="inlineStr">
        <is>
          <t>https://www.searchome.net/article.aspx?id=82596</t>
        </is>
      </c>
      <c r="M225" s="4" t="inlineStr">
        <is>
          <t>2025-08-06</t>
        </is>
      </c>
      <c r="N225" s="4" t="inlineStr">
        <is>
          <t>2026-10-26</t>
        </is>
      </c>
      <c r="O225" s="4" t="inlineStr">
        <is>
          <t>zh-TW</t>
        </is>
      </c>
      <c r="P225" s="4" t="inlineStr">
        <is>
          <t>medium</t>
        </is>
      </c>
    </row>
    <row r="226">
      <c r="A226" s="4" t="inlineStr">
        <is>
          <t>TM-106</t>
        </is>
      </c>
      <c r="B226" s="4" t="inlineStr">
        <is>
          <t>廚房</t>
        </is>
      </c>
      <c r="C226" s="4" t="inlineStr">
        <is>
          <t>分區/高度利用</t>
        </is>
      </c>
      <c r="D226" s="4" t="inlineStr">
        <is>
          <t>吊櫃用可拉出的整理盒與檔案盒</t>
        </is>
      </c>
      <c r="E226" s="4" t="inlineStr">
        <is>
          <t>深的吊櫃可以上兩層放NITORI整理盒，下層放A4檔案盒，選有把手、可以往前拉出的款式，後方空間也能用到。</t>
        </is>
      </c>
      <c r="F226" s="4" t="inlineStr">
        <is>
          <t>上層放低矮整理盒、下層放檔案盒；選可往前拉的款式</t>
        </is>
      </c>
      <c r="G226" s="4" t="inlineStr">
        <is>
          <t>整理盒 クラネ/A4檔案盒 Nオール</t>
        </is>
      </c>
      <c r="H226" s="4" t="inlineStr"/>
      <c r="I226" s="4" t="inlineStr">
        <is>
          <t>NITORI</t>
        </is>
      </c>
      <c r="J226" s="4" t="inlineStr">
        <is>
          <t>ESSE online｜ニトリの「神収納」アイテム。やっぱりファイルケース、まさかのキャニスター横置き（整理収納アドバイザー・わしずこころ）</t>
        </is>
      </c>
      <c r="K226" s="4" t="inlineStr">
        <is>
          <t>日本媒體</t>
        </is>
      </c>
      <c r="L226" s="5" t="inlineStr">
        <is>
          <t>https://esse-online.jp/articles/-/22795</t>
        </is>
      </c>
      <c r="M226" s="4" t="inlineStr">
        <is>
          <t>2023-05-27</t>
        </is>
      </c>
      <c r="N226" s="4" t="inlineStr">
        <is>
          <t>2026-10-26</t>
        </is>
      </c>
      <c r="O226" s="4" t="inlineStr">
        <is>
          <t>ja</t>
        </is>
      </c>
      <c r="P226" s="4" t="inlineStr">
        <is>
          <t>high</t>
        </is>
      </c>
    </row>
    <row r="227">
      <c r="A227" s="4" t="inlineStr">
        <is>
          <t>TM-107</t>
        </is>
      </c>
      <c r="B227" s="4" t="inlineStr">
        <is>
          <t>廚房</t>
        </is>
      </c>
      <c r="C227" s="4" t="inlineStr">
        <is>
          <t>高度利用</t>
        </is>
      </c>
      <c r="D227" s="4" t="inlineStr">
        <is>
          <t>吊櫃的收納罐改成橫放</t>
        </is>
      </c>
      <c r="E227" s="4" t="inlineStr">
        <is>
          <t>放在吊櫃裡的茶葉、茶包收納罐可以改成橫放，蓋子朝前，不用把罐子拿下來就能打開取用。適合單按式開蓋的收納罐。</t>
        </is>
      </c>
      <c r="F227" s="4" t="inlineStr">
        <is>
          <t>在吊櫃內橫放並讓蓋子朝前；放茶包等物品</t>
        </is>
      </c>
      <c r="G227" s="4" t="inlineStr">
        <is>
          <t>ワンプッシュキャニスター</t>
        </is>
      </c>
      <c r="H227" s="4" t="inlineStr"/>
      <c r="I227" s="4" t="inlineStr">
        <is>
          <t>NITORI</t>
        </is>
      </c>
      <c r="J227" s="4" t="inlineStr">
        <is>
          <t>ESSE online｜ニトリの「神収納」アイテム。やっぱりファイルケース、まさかのキャニスター横置き（整理収納アドバイザー・わしずこころ）</t>
        </is>
      </c>
      <c r="K227" s="4" t="inlineStr">
        <is>
          <t>日本媒體</t>
        </is>
      </c>
      <c r="L227" s="5" t="inlineStr">
        <is>
          <t>https://esse-online.jp/articles/-/22795?page=2</t>
        </is>
      </c>
      <c r="M227" s="4" t="inlineStr">
        <is>
          <t>2023-05-27</t>
        </is>
      </c>
      <c r="N227" s="4" t="inlineStr">
        <is>
          <t>2026-10-26</t>
        </is>
      </c>
      <c r="O227" s="4" t="inlineStr">
        <is>
          <t>ja</t>
        </is>
      </c>
      <c r="P227" s="4" t="inlineStr">
        <is>
          <t>high</t>
        </is>
      </c>
    </row>
    <row r="228">
      <c r="A228" s="4" t="inlineStr">
        <is>
          <t>TM-108</t>
        </is>
      </c>
      <c r="B228" s="4" t="inlineStr">
        <is>
          <t>廚房</t>
        </is>
      </c>
      <c r="C228" s="4" t="inlineStr">
        <is>
          <t>直立收納</t>
        </is>
      </c>
      <c r="D228" s="4" t="inlineStr">
        <is>
          <t>A4檔案架拿來讓平底鍋立起</t>
        </is>
      </c>
      <c r="E228" s="4" t="inlineStr">
        <is>
          <t>NITORI的A4檔案架不一定只放文件，整理師把多出來的幾個放進廚房，讓鍋子與平底鍋直立收納。（補充，非原文：拿一個不會動到其他。）</t>
        </is>
      </c>
      <c r="F228" s="4" t="inlineStr">
        <is>
          <t>放入A4檔案架；把鍋具一格一個直立放</t>
        </is>
      </c>
      <c r="G228" s="4" t="inlineStr">
        <is>
          <t>A4檔案架</t>
        </is>
      </c>
      <c r="H228" s="4" t="inlineStr"/>
      <c r="I228" s="4" t="inlineStr">
        <is>
          <t>NITORI</t>
        </is>
      </c>
      <c r="J228" s="4" t="inlineStr">
        <is>
          <t>ESSE online｜家がキレイな人が愛用する「収納ケース」7種類。無印良品、ニトリ…全部見せます！（整理収納アドバイザー・ミニマリストNozomi）</t>
        </is>
      </c>
      <c r="K228" s="4" t="inlineStr">
        <is>
          <t>日本媒體</t>
        </is>
      </c>
      <c r="L228" s="5" t="inlineStr">
        <is>
          <t>https://esse-online.jp/articles/-/38693</t>
        </is>
      </c>
      <c r="M228" s="4" t="inlineStr">
        <is>
          <t>2026-10-20</t>
        </is>
      </c>
      <c r="N228" s="4" t="inlineStr">
        <is>
          <t>2026-10-26</t>
        </is>
      </c>
      <c r="O228" s="4" t="inlineStr">
        <is>
          <t>ja</t>
        </is>
      </c>
      <c r="P228" s="4" t="inlineStr">
        <is>
          <t>high</t>
        </is>
      </c>
    </row>
    <row r="229">
      <c r="A229" s="4" t="inlineStr">
        <is>
          <t>TM-109</t>
        </is>
      </c>
      <c r="B229" s="4" t="inlineStr">
        <is>
          <t>廚房</t>
        </is>
      </c>
      <c r="C229" s="4" t="inlineStr">
        <is>
          <t>移動收納</t>
        </is>
      </c>
      <c r="D229" s="4" t="inlineStr">
        <is>
          <t>大收納盒底部加滾輪</t>
        </is>
      </c>
      <c r="E229" s="4" t="inlineStr">
        <is>
          <t>大包裝食材的收納盒很重、不好拉，可以在盒底黏DAISO的黏貼式滾輪，萬向輪裝後方、固定輪裝前方，拉出時比較順也比較穩。</t>
        </is>
      </c>
      <c r="F229" s="4" t="inlineStr"/>
      <c r="G229" s="4" t="inlineStr"/>
      <c r="H229" s="4" t="inlineStr"/>
      <c r="I229" s="4" t="inlineStr">
        <is>
          <t>DAISO</t>
        </is>
      </c>
      <c r="J229" s="4" t="inlineStr">
        <is>
          <t>設計家 Searchome｜櫥櫃太深、太高好難用？櫥櫃收納攻略一次看，取物擺放整齊又輕鬆（圖文提供：蛙家）</t>
        </is>
      </c>
      <c r="K229" s="4" t="inlineStr">
        <is>
          <t>台灣媒體</t>
        </is>
      </c>
      <c r="L229" s="5" t="inlineStr">
        <is>
          <t>https://www.searchome.net/article.aspx?id=80565</t>
        </is>
      </c>
      <c r="M229" s="4" t="inlineStr">
        <is>
          <t>2025-01-17</t>
        </is>
      </c>
      <c r="N229" s="4" t="inlineStr">
        <is>
          <t>2026-10-26</t>
        </is>
      </c>
      <c r="O229" s="4" t="inlineStr">
        <is>
          <t>zh-TW</t>
        </is>
      </c>
      <c r="P229" s="4" t="inlineStr">
        <is>
          <t>high</t>
        </is>
      </c>
    </row>
    <row r="230">
      <c r="A230" s="4" t="inlineStr">
        <is>
          <t>TM-110</t>
        </is>
      </c>
      <c r="B230" s="4" t="inlineStr">
        <is>
          <t>廚房</t>
        </is>
      </c>
      <c r="C230" s="4" t="inlineStr">
        <is>
          <t>高度利用/標籤</t>
        </is>
      </c>
      <c r="D230" s="4" t="inlineStr">
        <is>
          <t>上櫃高處用把手盒，低處用檔案盒並貼標籤</t>
        </is>
      </c>
      <c r="E230" s="4" t="inlineStr">
        <is>
          <t>廚房上櫃高處放麵條、泡麵等輕的乾貨，並用把手較長的收納盒，一拉就下來；較低的層放茶杯、玻璃杯，用MUJI低矮檔案盒分類，再貼上標籤，家人也找得到。</t>
        </is>
      </c>
      <c r="F230" s="4" t="inlineStr">
        <is>
          <t>高處放長把手收納盒裝輕的乾貨；低處用檔案盒放杯子；在盒外貼標籤</t>
        </is>
      </c>
      <c r="G230" s="4" t="inlineStr">
        <is>
          <t>檔案盒</t>
        </is>
      </c>
      <c r="H230" s="4" t="inlineStr"/>
      <c r="I230" s="4" t="inlineStr">
        <is>
          <t>MUJI</t>
        </is>
      </c>
      <c r="J230" s="4" t="inlineStr">
        <is>
          <t>設計家 Searchome｜櫥櫃太深、太高好難用？櫥櫃收納攻略一次看，取物擺放整齊又輕鬆（圖文提供：蛙家）</t>
        </is>
      </c>
      <c r="K230" s="4" t="inlineStr">
        <is>
          <t>台灣媒體</t>
        </is>
      </c>
      <c r="L230" s="5" t="inlineStr">
        <is>
          <t>https://www.searchome.net/article.aspx?id=80565</t>
        </is>
      </c>
      <c r="M230" s="4" t="inlineStr">
        <is>
          <t>2025-01-17</t>
        </is>
      </c>
      <c r="N230" s="4" t="inlineStr">
        <is>
          <t>2026-10-26</t>
        </is>
      </c>
      <c r="O230" s="4" t="inlineStr">
        <is>
          <t>zh-TW</t>
        </is>
      </c>
      <c r="P230" s="4" t="inlineStr">
        <is>
          <t>high</t>
        </is>
      </c>
    </row>
    <row r="231">
      <c r="A231" s="4" t="inlineStr">
        <is>
          <t>TM-111</t>
        </is>
      </c>
      <c r="B231" s="4" t="inlineStr">
        <is>
          <t>廚房</t>
        </is>
      </c>
      <c r="C231" s="4" t="inlineStr">
        <is>
          <t>分區</t>
        </is>
      </c>
      <c r="D231" s="4" t="inlineStr">
        <is>
          <t>深櫃用有把手的飲料架整排拉出</t>
        </is>
      </c>
      <c r="E231" s="4" t="inlineStr">
        <is>
          <t>深櫃後方的罐裝保健食品很難拿，可以放進NITORI附把手的飲料收納架，要用時整排拉出；袋裝飲品則用附隔板的收納盒分類。</t>
        </is>
      </c>
      <c r="F231" s="4" t="inlineStr">
        <is>
          <t>依物品大小選飲料收納架或附隔板收納盒；放入深櫃；要用時整排拉出</t>
        </is>
      </c>
      <c r="G231" s="4" t="inlineStr">
        <is>
          <t>飲料收納架</t>
        </is>
      </c>
      <c r="H231" s="4" t="inlineStr"/>
      <c r="I231" s="4" t="inlineStr">
        <is>
          <t>NITORI</t>
        </is>
      </c>
      <c r="J231" s="4" t="inlineStr">
        <is>
          <t>設計家 Searchome｜櫥櫃太深、太高好難用？櫥櫃收納攻略一次看，取物擺放整齊又輕鬆（圖文提供：蛙家）</t>
        </is>
      </c>
      <c r="K231" s="4" t="inlineStr">
        <is>
          <t>台灣媒體</t>
        </is>
      </c>
      <c r="L231" s="5" t="inlineStr">
        <is>
          <t>https://www.searchome.net/article.aspx?id=80565</t>
        </is>
      </c>
      <c r="M231" s="4" t="inlineStr">
        <is>
          <t>2025-01-17</t>
        </is>
      </c>
      <c r="N231" s="4" t="inlineStr">
        <is>
          <t>2026-10-26</t>
        </is>
      </c>
      <c r="O231" s="4" t="inlineStr">
        <is>
          <t>zh-TW</t>
        </is>
      </c>
      <c r="P231" s="4" t="inlineStr">
        <is>
          <t>high</t>
        </is>
      </c>
    </row>
    <row r="232">
      <c r="A232" s="4" t="inlineStr">
        <is>
          <t>TM-112</t>
        </is>
      </c>
      <c r="B232" s="4" t="inlineStr">
        <is>
          <t>廚房</t>
        </is>
      </c>
      <c r="C232" s="4" t="inlineStr">
        <is>
          <t>轉盤</t>
        </is>
      </c>
      <c r="D232" s="4" t="inlineStr">
        <is>
          <t>轉角櫃用轉盤放成套茶具</t>
        </is>
      </c>
      <c r="E232" s="4" t="inlineStr">
        <is>
          <t>廚房轉角櫃只適合放體積小的東西，可以用圓形轉盤放茶具組、孩子的碗、罐裝肉鬆，轉一下就拿到後面的東西；茶具較重，整組放在轉盤上比較好拿。</t>
        </is>
      </c>
      <c r="F232" s="4" t="inlineStr">
        <is>
          <t>放入圓形轉盤；把茶具等小物整組放上</t>
        </is>
      </c>
      <c r="G232" s="4" t="inlineStr"/>
      <c r="H232" s="4" t="inlineStr"/>
      <c r="I232" s="4" t="inlineStr"/>
      <c r="J232" s="4" t="inlineStr">
        <is>
          <t>設計家 Searchome｜櫥櫃太深、太高好難用？櫥櫃收納攻略一次看，取物擺放整齊又輕鬆（圖文提供：蛙家）</t>
        </is>
      </c>
      <c r="K232" s="4" t="inlineStr">
        <is>
          <t>台灣媒體</t>
        </is>
      </c>
      <c r="L232" s="5" t="inlineStr">
        <is>
          <t>https://www.searchome.net/article.aspx?id=80565</t>
        </is>
      </c>
      <c r="M232" s="4" t="inlineStr">
        <is>
          <t>2025-01-17</t>
        </is>
      </c>
      <c r="N232" s="4" t="inlineStr">
        <is>
          <t>2026-10-26</t>
        </is>
      </c>
      <c r="O232" s="4" t="inlineStr">
        <is>
          <t>zh-TW</t>
        </is>
      </c>
      <c r="P232" s="4" t="inlineStr">
        <is>
          <t>high</t>
        </is>
      </c>
    </row>
    <row r="233">
      <c r="A233" s="4" t="inlineStr">
        <is>
          <t>TM-113</t>
        </is>
      </c>
      <c r="B233" s="4" t="inlineStr">
        <is>
          <t>廚房</t>
        </is>
      </c>
      <c r="C233" s="4" t="inlineStr">
        <is>
          <t>分區/可視化</t>
        </is>
      </c>
      <c r="D233" s="4" t="inlineStr">
        <is>
          <t>廚房收納用半透明盒掌握庫存</t>
        </is>
      </c>
      <c r="E233" s="4" t="inlineStr">
        <is>
          <t>整理師的廚房收納盒選半透明款，不用打開也能看出裡面還剩多少，可以避免重複購買或忘記使用。廚具依「在哪裡用就放哪裡」的原則擺放，例如平底鍋靠近爐台、鍋子靠近水槽。</t>
        </is>
      </c>
      <c r="F233" s="4" t="inlineStr">
        <is>
          <t>選半透明收納盒分類食品與用品；平底鍋放爐台旁、鍋子放水槽旁</t>
        </is>
      </c>
      <c r="G233" s="4" t="inlineStr"/>
      <c r="H233" s="4" t="inlineStr"/>
      <c r="I233" s="4" t="inlineStr"/>
      <c r="J233" s="4" t="inlineStr">
        <is>
          <t>ESSE online｜元・汚部屋出身でも、きれいなキッチンをキープする収納4選。「つっぱり棒」が救世主に（整理収納アドバイザー・ぴょり）</t>
        </is>
      </c>
      <c r="K233" s="4" t="inlineStr">
        <is>
          <t>日本媒體</t>
        </is>
      </c>
      <c r="L233" s="5" t="inlineStr">
        <is>
          <t>https://esse-online.jp/articles/-/32551</t>
        </is>
      </c>
      <c r="M233" s="4" t="inlineStr">
        <is>
          <t>2025-04-20</t>
        </is>
      </c>
      <c r="N233" s="4" t="inlineStr">
        <is>
          <t>2026-10-26</t>
        </is>
      </c>
      <c r="O233" s="4" t="inlineStr">
        <is>
          <t>ja</t>
        </is>
      </c>
      <c r="P233" s="4" t="inlineStr">
        <is>
          <t>high</t>
        </is>
      </c>
    </row>
    <row r="234">
      <c r="A234" s="4" t="inlineStr">
        <is>
          <t>TM-114</t>
        </is>
      </c>
      <c r="B234" s="4" t="inlineStr">
        <is>
          <t>壁櫥</t>
        </is>
      </c>
      <c r="C234" s="4" t="inlineStr">
        <is>
          <t>分區</t>
        </is>
      </c>
      <c r="D234" s="4" t="inlineStr">
        <is>
          <t>彩色層架加N INBOX放進壁櫥上層</t>
        </is>
      </c>
      <c r="E234" s="4" t="inlineStr">
        <is>
          <t>壁櫥上層可以放NITORI彩色層架，依高度調整層板位置，再放N INBOX收納盒分類。（補充，非原文：深度深的壁櫥也能分格使用。）</t>
        </is>
      </c>
      <c r="F234" s="4" t="inlineStr">
        <is>
          <t>放入彩色層架並調整層板；放N INBOX分類收納</t>
        </is>
      </c>
      <c r="G234" s="4" t="inlineStr">
        <is>
          <t>N INBOX/彩色層架</t>
        </is>
      </c>
      <c r="H234" s="4" t="inlineStr"/>
      <c r="I234" s="4" t="inlineStr">
        <is>
          <t>NITORI</t>
        </is>
      </c>
      <c r="J234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34" s="4" t="inlineStr">
        <is>
          <t>日本媒體</t>
        </is>
      </c>
      <c r="L234" s="5" t="inlineStr">
        <is>
          <t>https://39mag.thankyu.co.jp/article/living/storage/191718/</t>
        </is>
      </c>
      <c r="M234" s="4" t="inlineStr">
        <is>
          <t>2024-08-31</t>
        </is>
      </c>
      <c r="N234" s="4" t="inlineStr">
        <is>
          <t>2026-10-26</t>
        </is>
      </c>
      <c r="O234" s="4" t="inlineStr">
        <is>
          <t>ja</t>
        </is>
      </c>
      <c r="P234" s="4" t="inlineStr">
        <is>
          <t>high</t>
        </is>
      </c>
    </row>
    <row r="235">
      <c r="A235" s="4" t="inlineStr">
        <is>
          <t>TM-115</t>
        </is>
      </c>
      <c r="B235" s="4" t="inlineStr">
        <is>
          <t>壁櫥</t>
        </is>
      </c>
      <c r="C235" s="4" t="inlineStr">
        <is>
          <t>分區</t>
        </is>
      </c>
      <c r="D235" s="4" t="inlineStr">
        <is>
          <t>選配合壁櫥深度的專用收納箱</t>
        </is>
      </c>
      <c r="E235" s="4" t="inlineStr">
        <is>
          <t>日式壁櫥深度很深，可以選NITORI深度約74公分的壁櫥專用收納箱，有三種高度可以組合，深處也不浪費。（補充，非原文：台灣的深櫃使用前一樣要先量深度。）</t>
        </is>
      </c>
      <c r="F235" s="4" t="inlineStr">
        <is>
          <t>選深度相符的收納箱；依高度組合疊放</t>
        </is>
      </c>
      <c r="G235" s="4" t="inlineStr">
        <is>
          <t>押入れケース</t>
        </is>
      </c>
      <c r="H235" s="4" t="inlineStr"/>
      <c r="I235" s="4" t="inlineStr">
        <is>
          <t>NITORI</t>
        </is>
      </c>
      <c r="J235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35" s="4" t="inlineStr">
        <is>
          <t>日本媒體</t>
        </is>
      </c>
      <c r="L235" s="5" t="inlineStr">
        <is>
          <t>https://39mag.thankyu.co.jp/article/living/storage/191718/</t>
        </is>
      </c>
      <c r="M235" s="4" t="inlineStr">
        <is>
          <t>2024-08-31</t>
        </is>
      </c>
      <c r="N235" s="4" t="inlineStr">
        <is>
          <t>2026-10-26</t>
        </is>
      </c>
      <c r="O235" s="4" t="inlineStr">
        <is>
          <t>ja</t>
        </is>
      </c>
      <c r="P235" s="4" t="inlineStr">
        <is>
          <t>high</t>
        </is>
      </c>
    </row>
    <row r="236">
      <c r="A236" s="4" t="inlineStr">
        <is>
          <t>TM-116</t>
        </is>
      </c>
      <c r="B236" s="4" t="inlineStr">
        <is>
          <t>壁櫥</t>
        </is>
      </c>
      <c r="C236" s="4" t="inlineStr">
        <is>
          <t>移動收納</t>
        </is>
      </c>
      <c r="D236" s="4" t="inlineStr">
        <is>
          <t>壁櫥下層用附輪推車</t>
        </is>
      </c>
      <c r="E236" s="4" t="inlineStr">
        <is>
          <t>壁櫥下層深處難拿，可以放NITORI附輪子的壁櫥收納推車，整台拉出來就能拿到後方的東西。（補充，非原文：台灣的深衣櫃或床下空間也可比照，先量高度再選款。）</t>
        </is>
      </c>
      <c r="F236" s="4" t="inlineStr">
        <is>
          <t>放入附輪收納推車；要用時整台拉出</t>
        </is>
      </c>
      <c r="G236" s="4" t="inlineStr">
        <is>
          <t>押入れ収納キャリー</t>
        </is>
      </c>
      <c r="H236" s="4" t="inlineStr"/>
      <c r="I236" s="4" t="inlineStr">
        <is>
          <t>NITORI</t>
        </is>
      </c>
      <c r="J236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36" s="4" t="inlineStr">
        <is>
          <t>日本媒體</t>
        </is>
      </c>
      <c r="L236" s="5" t="inlineStr">
        <is>
          <t>https://39mag.thankyu.co.jp/article/living/storage/191718/</t>
        </is>
      </c>
      <c r="M236" s="4" t="inlineStr">
        <is>
          <t>2024-08-31</t>
        </is>
      </c>
      <c r="N236" s="4" t="inlineStr">
        <is>
          <t>2026-10-26</t>
        </is>
      </c>
      <c r="O236" s="4" t="inlineStr">
        <is>
          <t>ja</t>
        </is>
      </c>
      <c r="P236" s="4" t="inlineStr">
        <is>
          <t>high</t>
        </is>
      </c>
    </row>
    <row r="237">
      <c r="A237" s="4" t="inlineStr">
        <is>
          <t>TM-117</t>
        </is>
      </c>
      <c r="B237" s="4" t="inlineStr">
        <is>
          <t>壁櫥</t>
        </is>
      </c>
      <c r="C237" s="4" t="inlineStr">
        <is>
          <t>標籤/分區</t>
        </is>
      </c>
      <c r="D237" s="4" t="inlineStr">
        <is>
          <t>PP收納箱貼標籤標示內容</t>
        </is>
      </c>
      <c r="E237" s="4" t="inlineStr">
        <is>
          <t>壁櫥裡的MUJI PP收納箱可以在正面貼標籤，寫上內容物，打開壁櫥一看就知道東西在哪一箱。（補充，非原文：家人也能自己找。）</t>
        </is>
      </c>
      <c r="F237" s="4" t="inlineStr">
        <is>
          <t>把物品分類放進PP收納箱；在箱子正面貼上內容物標籤</t>
        </is>
      </c>
      <c r="G237" s="4" t="inlineStr">
        <is>
          <t>PP收納箱</t>
        </is>
      </c>
      <c r="H237" s="4" t="inlineStr"/>
      <c r="I237" s="4" t="inlineStr">
        <is>
          <t>MUJI</t>
        </is>
      </c>
      <c r="J237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37" s="4" t="inlineStr">
        <is>
          <t>日本媒體</t>
        </is>
      </c>
      <c r="L237" s="5" t="inlineStr">
        <is>
          <t>https://39mag.thankyu.co.jp/article/living/storage/191718/</t>
        </is>
      </c>
      <c r="M237" s="4" t="inlineStr">
        <is>
          <t>2024-08-31</t>
        </is>
      </c>
      <c r="N237" s="4" t="inlineStr">
        <is>
          <t>2026-10-26</t>
        </is>
      </c>
      <c r="O237" s="4" t="inlineStr">
        <is>
          <t>ja</t>
        </is>
      </c>
      <c r="P237" s="4" t="inlineStr">
        <is>
          <t>high</t>
        </is>
      </c>
    </row>
    <row r="238">
      <c r="A238" s="4" t="inlineStr">
        <is>
          <t>TM-118</t>
        </is>
      </c>
      <c r="B238" s="4" t="inlineStr">
        <is>
          <t>壁櫥</t>
        </is>
      </c>
      <c r="C238" s="4" t="inlineStr">
        <is>
          <t>分區/移動收納</t>
        </is>
      </c>
      <c r="D238" s="4" t="inlineStr">
        <is>
          <t>深處橫放層架加檔案盒，前方放推車</t>
        </is>
      </c>
      <c r="E238" s="4" t="inlineStr">
        <is>
          <t>壁櫥深處可以把彩色層架橫放在後方，上面排MUJI的紙製檔案盒放不常用物品；前方再放附輪收納。（補充，非原文：常用的拉出就好，後面當作備品區。）</t>
        </is>
      </c>
      <c r="F238" s="4" t="inlineStr">
        <is>
          <t>把層架橫放在壁櫥後方；上方排檔案盒放不常用物品；前方放附輪收納</t>
        </is>
      </c>
      <c r="G238" s="4" t="inlineStr">
        <is>
          <t>紙製檔案盒</t>
        </is>
      </c>
      <c r="H238" s="4" t="inlineStr"/>
      <c r="I238" s="4" t="inlineStr">
        <is>
          <t>MUJI</t>
        </is>
      </c>
      <c r="J238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38" s="4" t="inlineStr">
        <is>
          <t>日本媒體</t>
        </is>
      </c>
      <c r="L238" s="5" t="inlineStr">
        <is>
          <t>https://39mag.thankyu.co.jp/article/living/storage/191718/</t>
        </is>
      </c>
      <c r="M238" s="4" t="inlineStr">
        <is>
          <t>2024-08-31</t>
        </is>
      </c>
      <c r="N238" s="4" t="inlineStr">
        <is>
          <t>2026-10-26</t>
        </is>
      </c>
      <c r="O238" s="4" t="inlineStr">
        <is>
          <t>ja</t>
        </is>
      </c>
      <c r="P238" s="4" t="inlineStr">
        <is>
          <t>high</t>
        </is>
      </c>
    </row>
    <row r="239">
      <c r="A239" s="4" t="inlineStr">
        <is>
          <t>TM-119</t>
        </is>
      </c>
      <c r="B239" s="4" t="inlineStr">
        <is>
          <t>壁櫥</t>
        </is>
      </c>
      <c r="C239" s="4" t="inlineStr">
        <is>
          <t>分區</t>
        </is>
      </c>
      <c r="D239" s="4" t="inlineStr">
        <is>
          <t>耐重收納箱裝玩具兼當椅子</t>
        </is>
      </c>
      <c r="E239" s="4" t="inlineStr">
        <is>
          <t>MUJI的PP耐重收納箱耐重約100公斤，壁櫥下層可以用來裝孩子的玩具，拿出來時還能當椅子坐。（一般安全提醒，非原文：坐之前蓋子要蓋緊，不要讓孩子站在上面。）</t>
        </is>
      </c>
      <c r="F239" s="4" t="inlineStr">
        <is>
          <t>把玩具分類裝進耐重收納箱；放在壁櫥下層；需要時拉出當椅子</t>
        </is>
      </c>
      <c r="G239" s="4" t="inlineStr">
        <is>
          <t>PP耐重收納箱</t>
        </is>
      </c>
      <c r="H239" s="4" t="inlineStr"/>
      <c r="I239" s="4" t="inlineStr">
        <is>
          <t>MUJI</t>
        </is>
      </c>
      <c r="J239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39" s="4" t="inlineStr">
        <is>
          <t>日本媒體</t>
        </is>
      </c>
      <c r="L239" s="5" t="inlineStr">
        <is>
          <t>https://39mag.thankyu.co.jp/article/living/storage/191718/</t>
        </is>
      </c>
      <c r="M239" s="4" t="inlineStr">
        <is>
          <t>2024-08-31</t>
        </is>
      </c>
      <c r="N239" s="4" t="inlineStr">
        <is>
          <t>2026-10-26</t>
        </is>
      </c>
      <c r="O239" s="4" t="inlineStr">
        <is>
          <t>ja</t>
        </is>
      </c>
      <c r="P239" s="4" t="inlineStr">
        <is>
          <t>high</t>
        </is>
      </c>
    </row>
    <row r="240">
      <c r="A240" s="4" t="inlineStr">
        <is>
          <t>TM-120</t>
        </is>
      </c>
      <c r="B240" s="4" t="inlineStr">
        <is>
          <t>壁櫥</t>
        </is>
      </c>
      <c r="C240" s="4" t="inlineStr">
        <is>
          <t>伸縮棒/吊掛</t>
        </is>
      </c>
      <c r="D240" s="4" t="inlineStr">
        <is>
          <t>壁櫥上層撐伸縮棒掛衣服</t>
        </is>
      </c>
      <c r="E240" s="4" t="inlineStr">
        <is>
          <t>壁櫥上層可以撐一根DAISO的伸縮棒，用衣架掛衣服，壁櫥就有衣櫃的吊掛功能。（一般安全提醒，非原文：掛太多會讓伸縮棒下彎或滑落，重外套宜選耐重較高的款式。）</t>
        </is>
      </c>
      <c r="F240" s="4" t="inlineStr">
        <is>
          <t>撐好伸縮棒；用衣架掛衣服</t>
        </is>
      </c>
      <c r="G240" s="4" t="inlineStr"/>
      <c r="H240" s="4" t="inlineStr">
        <is>
          <t>伸縮棒</t>
        </is>
      </c>
      <c r="I240" s="4" t="inlineStr">
        <is>
          <t>DAISO</t>
        </is>
      </c>
      <c r="J240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40" s="4" t="inlineStr">
        <is>
          <t>日本媒體</t>
        </is>
      </c>
      <c r="L240" s="5" t="inlineStr">
        <is>
          <t>https://39mag.thankyu.co.jp/article/living/storage/191718/</t>
        </is>
      </c>
      <c r="M240" s="4" t="inlineStr">
        <is>
          <t>2024-08-31</t>
        </is>
      </c>
      <c r="N240" s="4" t="inlineStr">
        <is>
          <t>2026-10-26</t>
        </is>
      </c>
      <c r="O240" s="4" t="inlineStr">
        <is>
          <t>ja</t>
        </is>
      </c>
      <c r="P240" s="4" t="inlineStr">
        <is>
          <t>high</t>
        </is>
      </c>
    </row>
    <row r="241">
      <c r="A241" s="4" t="inlineStr">
        <is>
          <t>TM-121</t>
        </is>
      </c>
      <c r="B241" s="4" t="inlineStr">
        <is>
          <t>壁櫥</t>
        </is>
      </c>
      <c r="C241" s="4" t="inlineStr">
        <is>
          <t>伸縮棒/標籤</t>
        </is>
      </c>
      <c r="D241" s="4" t="inlineStr">
        <is>
          <t>伸縮棒上放收納盒並貼標籤</t>
        </is>
      </c>
      <c r="E241" s="4" t="inlineStr">
        <is>
          <t>壁櫥上層空間很高時，可以撐NITORI的伸縮棒，再在棒上放DAISO收納盒，多做一層；盒子看不到內容，外側要貼標籤。（一般安全提醒，非原文：棒上的盒子只放輕物。）</t>
        </is>
      </c>
      <c r="F241" s="4" t="inlineStr">
        <is>
          <t>在壁櫥上層高處前後各撐一根伸縮棒；把收納盒放在棒上；在盒外貼標籤</t>
        </is>
      </c>
      <c r="G241" s="4" t="inlineStr"/>
      <c r="H241" s="4" t="inlineStr">
        <is>
          <t>伸縮棒</t>
        </is>
      </c>
      <c r="I241" s="4" t="inlineStr">
        <is>
          <t>NITORI/DAISO</t>
        </is>
      </c>
      <c r="J241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41" s="4" t="inlineStr">
        <is>
          <t>日本媒體</t>
        </is>
      </c>
      <c r="L241" s="5" t="inlineStr">
        <is>
          <t>https://39mag.thankyu.co.jp/article/living/storage/191718/</t>
        </is>
      </c>
      <c r="M241" s="4" t="inlineStr">
        <is>
          <t>2024-08-31</t>
        </is>
      </c>
      <c r="N241" s="4" t="inlineStr">
        <is>
          <t>2026-10-26</t>
        </is>
      </c>
      <c r="O241" s="4" t="inlineStr">
        <is>
          <t>ja</t>
        </is>
      </c>
      <c r="P241" s="4" t="inlineStr">
        <is>
          <t>high</t>
        </is>
      </c>
    </row>
    <row r="242">
      <c r="A242" s="4" t="inlineStr">
        <is>
          <t>TM-122</t>
        </is>
      </c>
      <c r="B242" s="4" t="inlineStr">
        <is>
          <t>壁櫥</t>
        </is>
      </c>
      <c r="C242" s="4" t="inlineStr">
        <is>
          <t>直立收納/防潮</t>
        </is>
      </c>
      <c r="D242" s="4" t="inlineStr">
        <is>
          <t>棉被裝收納袋直立放，底下墊棧板</t>
        </is>
      </c>
      <c r="E242" s="4" t="inlineStr">
        <is>
          <t>壁櫥上層可以把棉被、換季衣物裝進IKEA SKUBB收納袋，直立排放。下面墊棧板可以改善通風，對防潮有幫助。（補充，非原文：抽一袋不會動到其他袋。）</t>
        </is>
      </c>
      <c r="F242" s="4" t="inlineStr">
        <is>
          <t>把棉被或換季衣物裝進收納袋；在壁櫥底部墊棧板；收納袋直立排列</t>
        </is>
      </c>
      <c r="G242" s="4" t="inlineStr">
        <is>
          <t>SKUBB</t>
        </is>
      </c>
      <c r="H242" s="4" t="inlineStr"/>
      <c r="I242" s="4" t="inlineStr">
        <is>
          <t>IKEA</t>
        </is>
      </c>
      <c r="J242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42" s="4" t="inlineStr">
        <is>
          <t>日本媒體</t>
        </is>
      </c>
      <c r="L242" s="5" t="inlineStr">
        <is>
          <t>https://39mag.thankyu.co.jp/article/living/storage/191718/</t>
        </is>
      </c>
      <c r="M242" s="4" t="inlineStr">
        <is>
          <t>2024-08-31</t>
        </is>
      </c>
      <c r="N242" s="4" t="inlineStr">
        <is>
          <t>2026-10-26</t>
        </is>
      </c>
      <c r="O242" s="4" t="inlineStr">
        <is>
          <t>ja</t>
        </is>
      </c>
      <c r="P242" s="4" t="inlineStr">
        <is>
          <t>high</t>
        </is>
      </c>
    </row>
    <row r="243">
      <c r="A243" s="4" t="inlineStr">
        <is>
          <t>TM-123</t>
        </is>
      </c>
      <c r="B243" s="4" t="inlineStr">
        <is>
          <t>壁櫥</t>
        </is>
      </c>
      <c r="C243" s="4" t="inlineStr">
        <is>
          <t>分區</t>
        </is>
      </c>
      <c r="D243" s="4" t="inlineStr">
        <is>
          <t>前方與上方都能開的收納盒</t>
        </is>
      </c>
      <c r="E243" s="4" t="inlineStr">
        <is>
          <t>IKEA HEMMAFIXARE收納盒前方和上方都能打開，放在壁櫥時不必把上面的盒子搬開也能取物，適合疊著放的位置。</t>
        </is>
      </c>
      <c r="F243" s="4" t="inlineStr">
        <is>
          <t>選前開加上開式的收納盒；從前方開口取物</t>
        </is>
      </c>
      <c r="G243" s="4" t="inlineStr">
        <is>
          <t>HEMMAFIXARE</t>
        </is>
      </c>
      <c r="H243" s="4" t="inlineStr"/>
      <c r="I243" s="4" t="inlineStr">
        <is>
          <t>IKEA</t>
        </is>
      </c>
      <c r="J243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43" s="4" t="inlineStr">
        <is>
          <t>日本媒體</t>
        </is>
      </c>
      <c r="L243" s="5" t="inlineStr">
        <is>
          <t>https://39mag.thankyu.co.jp/article/living/storage/191718/</t>
        </is>
      </c>
      <c r="M243" s="4" t="inlineStr">
        <is>
          <t>2024-08-31</t>
        </is>
      </c>
      <c r="N243" s="4" t="inlineStr">
        <is>
          <t>2026-10-26</t>
        </is>
      </c>
      <c r="O243" s="4" t="inlineStr">
        <is>
          <t>ja</t>
        </is>
      </c>
      <c r="P243" s="4" t="inlineStr">
        <is>
          <t>high</t>
        </is>
      </c>
    </row>
    <row r="244">
      <c r="A244" s="4" t="inlineStr">
        <is>
          <t>TM-124</t>
        </is>
      </c>
      <c r="B244" s="4" t="inlineStr">
        <is>
          <t>壁櫥</t>
        </is>
      </c>
      <c r="C244" s="4" t="inlineStr">
        <is>
          <t>高度利用</t>
        </is>
      </c>
      <c r="D244" s="4" t="inlineStr">
        <is>
          <t>壁櫥高處用附把手的有蓋收納盒</t>
        </is>
      </c>
      <c r="E244" s="4" t="inlineStr">
        <is>
          <t>壁櫥上層高處的盒子不好拿，可以選DAISO附把手的有蓋收納盒，拉著把手就能取下，蓋子也能防塵。（一般安全提醒，非原文：高處的盒子只放輕物，避免取下時砸到。）</t>
        </is>
      </c>
      <c r="F244" s="4" t="inlineStr">
        <is>
          <t>選附把手的有蓋收納盒；放在壁櫥上層</t>
        </is>
      </c>
      <c r="G244" s="4" t="inlineStr">
        <is>
          <t>有蓋收納盒</t>
        </is>
      </c>
      <c r="H244" s="4" t="inlineStr"/>
      <c r="I244" s="4" t="inlineStr">
        <is>
          <t>DAISO</t>
        </is>
      </c>
      <c r="J244" s="4" t="inlineStr">
        <is>
          <t>サンキュ！｜おしゃれで便利な【押し入れ収納術】53選！ニトリ、IKEA、無印良品などおすすめのアイテムも紹介！（整理収納アドバイザー・中山真由美ほか）（IG 投稿合集）</t>
        </is>
      </c>
      <c r="K244" s="4" t="inlineStr">
        <is>
          <t>日本媒體</t>
        </is>
      </c>
      <c r="L244" s="5" t="inlineStr">
        <is>
          <t>https://39mag.thankyu.co.jp/article/living/storage/191718/</t>
        </is>
      </c>
      <c r="M244" s="4" t="inlineStr">
        <is>
          <t>2024-08-31</t>
        </is>
      </c>
      <c r="N244" s="4" t="inlineStr">
        <is>
          <t>2026-10-26</t>
        </is>
      </c>
      <c r="O244" s="4" t="inlineStr">
        <is>
          <t>ja</t>
        </is>
      </c>
      <c r="P244" s="4" t="inlineStr">
        <is>
          <t>high</t>
        </is>
      </c>
    </row>
    <row r="245">
      <c r="A245" s="4" t="inlineStr">
        <is>
          <t>TM-125</t>
        </is>
      </c>
      <c r="B245" s="4" t="inlineStr">
        <is>
          <t>通用</t>
        </is>
      </c>
      <c r="C245" s="4" t="inlineStr">
        <is>
          <t>伸縮棒/安全</t>
        </is>
      </c>
      <c r="D245" s="4" t="inlineStr">
        <is>
          <t>伸縮棒要先拉長再壓縮彈簧裝上</t>
        </is>
      </c>
      <c r="E245" s="4" t="inlineStr">
        <is>
          <t>伸縮棒會掉，多半是裝法或選款不對。不要邊轉邊撐，彈簧壓不下去；應先拉到比安裝寬度長1到2公分，抵住一側牆面，再壓縮彈簧把另一端水平推進去。細小分隔用彈簧式即可，掛衣服等要耐重的位置選螺旋固定的千斤頂式。</t>
        </is>
      </c>
      <c r="F245" s="4" t="inlineStr">
        <is>
          <t>把伸縮棒拉到比寬度長1到2公分；一端抵牆、壓縮彈簧後把另一端水平推入；需要耐重時改用千斤頂式</t>
        </is>
      </c>
      <c r="G245" s="4" t="inlineStr"/>
      <c r="H245" s="4" t="inlineStr">
        <is>
          <t>伸縮棒</t>
        </is>
      </c>
      <c r="I245" s="4" t="inlineStr"/>
      <c r="J245" s="4" t="inlineStr">
        <is>
          <t>日経xwoman｜突っ張り棒1本で収納力が劇的にアップ、収納家具は不要（取材：平安伸銅工業・竹内香予子）</t>
        </is>
      </c>
      <c r="K245" s="4" t="inlineStr">
        <is>
          <t>日本媒體</t>
        </is>
      </c>
      <c r="L245" s="5" t="inlineStr">
        <is>
          <t>https://woman.nikkei.com/atcl/doors/cc/wom/100200003/122500070/</t>
        </is>
      </c>
      <c r="M245" s="4" t="inlineStr">
        <is>
          <t>2021-01-21</t>
        </is>
      </c>
      <c r="N245" s="4" t="inlineStr">
        <is>
          <t>2026-10-26</t>
        </is>
      </c>
      <c r="O245" s="4" t="inlineStr">
        <is>
          <t>ja</t>
        </is>
      </c>
      <c r="P245" s="4" t="inlineStr">
        <is>
          <t>high</t>
        </is>
      </c>
    </row>
    <row r="246">
      <c r="A246" s="4" t="inlineStr">
        <is>
          <t>TM-126</t>
        </is>
      </c>
      <c r="B246" s="4" t="inlineStr">
        <is>
          <t>通用</t>
        </is>
      </c>
      <c r="C246" s="4" t="inlineStr">
        <is>
          <t>伸縮棒/安全</t>
        </is>
      </c>
      <c r="D246" s="4" t="inlineStr">
        <is>
          <t>伸縮桿先拉長再斜放卡緊，必要時加固定托</t>
        </is>
      </c>
      <c r="E246" s="4" t="inlineStr">
        <is>
          <t>裝伸縮桿時先拉得比櫃寬略長，斜放進去後再壓正卡緊，比較不會滑。要放東西時可以在兩側加貼固定托，從下方托住桿子；固定托用背膠黏貼，原文提到撕除前可用吹風機加熱減少殘膠。（一般安全提醒，非原文：固定托要貼在平滑乾淨的表面。）</t>
        </is>
      </c>
      <c r="F246" s="4" t="inlineStr">
        <is>
          <t>把伸縮桿拉得略長於櫃寬；斜放進去後壓正卡緊；需要承重時在兩側貼固定托</t>
        </is>
      </c>
      <c r="G246" s="4" t="inlineStr"/>
      <c r="H246" s="4" t="inlineStr">
        <is>
          <t>伸縮棒</t>
        </is>
      </c>
      <c r="I246" s="4" t="inlineStr"/>
      <c r="J246" s="4" t="inlineStr">
        <is>
          <t>設計家 Searchome｜免鑽孔、不傷牆！伸縮桿收納懶人包，29招搞定家中雜亂（圖文提供：蛙家）</t>
        </is>
      </c>
      <c r="K246" s="4" t="inlineStr">
        <is>
          <t>台灣媒體</t>
        </is>
      </c>
      <c r="L246" s="5" t="inlineStr">
        <is>
          <t>https://www.searchome.net/article.aspx?id=82596</t>
        </is>
      </c>
      <c r="M246" s="4" t="inlineStr">
        <is>
          <t>2025-08-06</t>
        </is>
      </c>
      <c r="N246" s="4" t="inlineStr">
        <is>
          <t>2026-10-26</t>
        </is>
      </c>
      <c r="O246" s="4" t="inlineStr">
        <is>
          <t>zh-TW</t>
        </is>
      </c>
      <c r="P246" s="4" t="inlineStr">
        <is>
          <t>high</t>
        </is>
      </c>
    </row>
    <row r="247">
      <c r="A247" s="4" t="inlineStr">
        <is>
          <t>TM-127</t>
        </is>
      </c>
      <c r="B247" s="4" t="inlineStr">
        <is>
          <t>通用</t>
        </is>
      </c>
      <c r="C247" s="4" t="inlineStr">
        <is>
          <t>鐵網/磁吸</t>
        </is>
      </c>
      <c r="D247" s="4" t="inlineStr">
        <is>
          <t>鐵製牆面用磁鐵掛勾固定鐵網</t>
        </is>
      </c>
      <c r="E247" s="4" t="inlineStr">
        <is>
          <t>倉庫或玄關若是鐵製牆面，可以用磁鐵掛勾把鐵網吸在牆上，再加雙勾掛球棒、單勾掛捕蟲網等長柄物品。只適用磁鐵吸得住的牆面。（一般安全提醒，非原文：長柄物要掛穩，避免碰撞掉落。）</t>
        </is>
      </c>
      <c r="F247" s="4" t="inlineStr">
        <is>
          <t>確認牆面吸得住磁鐵；用磁鐵掛勾把鐵網固定在牆上；掛上雙勾、單勾吊長柄物</t>
        </is>
      </c>
      <c r="G247" s="4" t="inlineStr"/>
      <c r="H247" s="4" t="inlineStr">
        <is>
          <t>鐵網/掛勾</t>
        </is>
      </c>
      <c r="I247" s="4" t="inlineStr"/>
      <c r="J247" s="4" t="inlineStr">
        <is>
          <t>ESSE online｜100均「ワイヤーネット」片付け実例集。マネないと損するレベルかも（整理収納アドバイザー・露重和子）</t>
        </is>
      </c>
      <c r="K247" s="4" t="inlineStr">
        <is>
          <t>日本媒體</t>
        </is>
      </c>
      <c r="L247" s="5" t="inlineStr">
        <is>
          <t>https://esse-online.jp/articles/-/8125</t>
        </is>
      </c>
      <c r="M247" s="4" t="inlineStr">
        <is>
          <t>2020-07-06</t>
        </is>
      </c>
      <c r="N247" s="4" t="inlineStr">
        <is>
          <t>2026-10-26</t>
        </is>
      </c>
      <c r="O247" s="4" t="inlineStr">
        <is>
          <t>ja</t>
        </is>
      </c>
      <c r="P247" s="4" t="inlineStr">
        <is>
          <t>high</t>
        </is>
      </c>
    </row>
    <row r="248">
      <c r="A248" s="4" t="inlineStr">
        <is>
          <t>TM-128</t>
        </is>
      </c>
      <c r="B248" s="4" t="inlineStr">
        <is>
          <t>通用</t>
        </is>
      </c>
      <c r="C248" s="4" t="inlineStr">
        <is>
          <t>鐵網/電線/安全</t>
        </is>
      </c>
      <c r="D248" s="4" t="inlineStr">
        <is>
          <t>電視背後用鐵網整理電線</t>
        </is>
      </c>
      <c r="E248" s="4" t="inlineStr">
        <is>
          <t>電視背後的電線可以用魔鬼氈束線帶整理後固定在鐵網上，電線較重時用鐵網專用支架撐住。電源線捲起或綁成一團使用時可能發熱起火，要依各產品說明書處理。（一般安全提醒，非原文：電線不要綁太緊。）</t>
        </is>
      </c>
      <c r="F248" s="4" t="inlineStr">
        <is>
          <t>用魔鬼氈束線帶把電線分組；固定在鐵網上；以專用支架撐住鐵網；電源線不要捲成一團</t>
        </is>
      </c>
      <c r="G248" s="4" t="inlineStr"/>
      <c r="H248" s="4" t="inlineStr">
        <is>
          <t>鐵網</t>
        </is>
      </c>
      <c r="I248" s="4" t="inlineStr"/>
      <c r="J248" s="4" t="inlineStr">
        <is>
          <t>ESSE online｜100均「ワイヤーネット」片付け実例集。マネないと損するレベルかも（整理収納アドバイザー・露重和子）</t>
        </is>
      </c>
      <c r="K248" s="4" t="inlineStr">
        <is>
          <t>日本媒體</t>
        </is>
      </c>
      <c r="L248" s="5" t="inlineStr">
        <is>
          <t>https://esse-online.jp/articles/-/8125</t>
        </is>
      </c>
      <c r="M248" s="4" t="inlineStr">
        <is>
          <t>2020-07-06</t>
        </is>
      </c>
      <c r="N248" s="4" t="inlineStr">
        <is>
          <t>2026-10-26</t>
        </is>
      </c>
      <c r="O248" s="4" t="inlineStr">
        <is>
          <t>ja</t>
        </is>
      </c>
      <c r="P248" s="4" t="inlineStr">
        <is>
          <t>high</t>
        </is>
      </c>
    </row>
    <row r="249">
      <c r="A249" s="4" t="inlineStr">
        <is>
          <t>TM-129</t>
        </is>
      </c>
      <c r="B249" s="4" t="inlineStr">
        <is>
          <t>通用</t>
        </is>
      </c>
      <c r="C249" s="4" t="inlineStr">
        <is>
          <t>鐵網/移動收納</t>
        </is>
      </c>
      <c r="D249" s="4" t="inlineStr">
        <is>
          <t>網片加滾輪自製推車當洗衣籃</t>
        </is>
      </c>
      <c r="E249" s="4" t="inlineStr">
        <is>
          <t>三片大網片折成L形，用束帶組合，再把四顆滾輪綁在底部四角，就是可以推到洗衣機前的推車。滾輪要選有螺絲孔的款式，束帶才固定得住；也可以用長尾夾掛軟質洗衣袋，讓裡面不露出來。</t>
        </is>
      </c>
      <c r="F249" s="4" t="inlineStr">
        <is>
          <t>把大網片折成L形並用束帶組合；在底部四角用束帶綁上有螺絲孔的滾輪；需要時用長尾夾掛洗衣袋</t>
        </is>
      </c>
      <c r="G249" s="4" t="inlineStr"/>
      <c r="H249" s="4" t="inlineStr">
        <is>
          <t>鐵網</t>
        </is>
      </c>
      <c r="I249" s="4" t="inlineStr"/>
      <c r="J249" s="4" t="inlineStr">
        <is>
          <t>設計家 Searchome｜租屋族友善！網片超簡易收納DIY，只要10分鐘就能變出收納推車（圖文提供：蛙家）</t>
        </is>
      </c>
      <c r="K249" s="4" t="inlineStr">
        <is>
          <t>台灣媒體</t>
        </is>
      </c>
      <c r="L249" s="5" t="inlineStr">
        <is>
          <t>https://www.searchome.net/article.aspx?id=78137</t>
        </is>
      </c>
      <c r="M249" s="4" t="inlineStr">
        <is>
          <t>2024-06-07</t>
        </is>
      </c>
      <c r="N249" s="4" t="inlineStr">
        <is>
          <t>2026-10-26</t>
        </is>
      </c>
      <c r="O249" s="4" t="inlineStr">
        <is>
          <t>zh-TW</t>
        </is>
      </c>
      <c r="P249" s="4" t="inlineStr">
        <is>
          <t>high</t>
        </is>
      </c>
    </row>
    <row r="250">
      <c r="A250" s="4" t="inlineStr">
        <is>
          <t>TM-130</t>
        </is>
      </c>
      <c r="B250" s="4" t="inlineStr">
        <is>
          <t>通用</t>
        </is>
      </c>
      <c r="C250" s="4" t="inlineStr">
        <is>
          <t>鐵網/吊掛</t>
        </is>
      </c>
      <c r="D250" s="4" t="inlineStr">
        <is>
          <t>鐵網兩側固定衣架當晾曬架</t>
        </is>
      </c>
      <c r="E250" s="4" t="inlineStr">
        <is>
          <t>鐵網兩側用夾子或束帶固定衣架，就能晾布偶、帽子等不好用衣架晾的東西，網子透氣，下面也乾得快。不用時把衣架折下來，塞在洗衣機旁的縫隙。</t>
        </is>
      </c>
      <c r="F250" s="4" t="inlineStr">
        <is>
          <t>在鐵網兩側用束帶或夾子固定衣架；用來晾布偶、帽子；用完拆下收在縫隙</t>
        </is>
      </c>
      <c r="G250" s="4" t="inlineStr"/>
      <c r="H250" s="4" t="inlineStr">
        <is>
          <t>鐵網</t>
        </is>
      </c>
      <c r="I250" s="4" t="inlineStr"/>
      <c r="J250" s="4" t="inlineStr">
        <is>
          <t>サンキュ！｜目からウロコ！【ダイソー】「ズボラママでも簡単」「収納力を120％にする」DIY収納アイデア6選（監修・reimama）</t>
        </is>
      </c>
      <c r="K250" s="4" t="inlineStr">
        <is>
          <t>日本媒體</t>
        </is>
      </c>
      <c r="L250" s="5" t="inlineStr">
        <is>
          <t>https://39mag.thankyu.co.jp/benesse/215627</t>
        </is>
      </c>
      <c r="M250" s="4" t="inlineStr">
        <is>
          <t>2025-12-20</t>
        </is>
      </c>
      <c r="N250" s="4" t="inlineStr">
        <is>
          <t>2026-10-26</t>
        </is>
      </c>
      <c r="O250" s="4" t="inlineStr">
        <is>
          <t>ja</t>
        </is>
      </c>
      <c r="P250" s="4" t="inlineStr">
        <is>
          <t>high</t>
        </is>
      </c>
    </row>
    <row r="251">
      <c r="A251" s="4" t="inlineStr">
        <is>
          <t>TM-131</t>
        </is>
      </c>
      <c r="B251" s="4" t="inlineStr">
        <is>
          <t>通用</t>
        </is>
      </c>
      <c r="C251" s="4" t="inlineStr">
        <is>
          <t>磁吸/電線</t>
        </is>
      </c>
      <c r="D251" s="4" t="inlineStr">
        <is>
          <t>延長線加磁吸零件固定在牆面</t>
        </is>
      </c>
      <c r="E251" s="4" t="inlineStr">
        <is>
          <t>MUJI的延長線有專用磁吸零件，裝上後可以吸在鐵質面上，延長線離開地面，掃地不會卡到。磁吸面必須是鐵質。（一般安全提醒，非原文：延長線周圍要保持通風，不要被物品蓋住。）</t>
        </is>
      </c>
      <c r="F251" s="4" t="inlineStr">
        <is>
          <t>在延長線裝上專用磁吸零件；固定在壁面</t>
        </is>
      </c>
      <c r="G251" s="4" t="inlineStr">
        <is>
          <t>延長線磁吸零件</t>
        </is>
      </c>
      <c r="H251" s="4" t="inlineStr"/>
      <c r="I251" s="4" t="inlineStr">
        <is>
          <t>MUJI</t>
        </is>
      </c>
      <c r="J251" s="4" t="inlineStr">
        <is>
          <t>ESSE online｜浮かせて片づく「マグネット収納」アイデア7つ。台所と机まわりがすっきり整う（整理収納コンサルタント・本多さおり）</t>
        </is>
      </c>
      <c r="K251" s="4" t="inlineStr">
        <is>
          <t>日本媒體</t>
        </is>
      </c>
      <c r="L251" s="5" t="inlineStr">
        <is>
          <t>https://esse-online.jp/articles/-/30027</t>
        </is>
      </c>
      <c r="M251" s="4" t="inlineStr">
        <is>
          <t>2024-10-06</t>
        </is>
      </c>
      <c r="N251" s="4" t="inlineStr">
        <is>
          <t>2026-10-26</t>
        </is>
      </c>
      <c r="O251" s="4" t="inlineStr">
        <is>
          <t>ja</t>
        </is>
      </c>
      <c r="P251" s="4" t="inlineStr">
        <is>
          <t>high</t>
        </is>
      </c>
    </row>
    <row r="252">
      <c r="A252" s="4" t="inlineStr">
        <is>
          <t>TM-132</t>
        </is>
      </c>
      <c r="B252" s="4" t="inlineStr">
        <is>
          <t>廚房</t>
        </is>
      </c>
      <c r="C252" s="4" t="inlineStr">
        <is>
          <t>磁吸/掛勾</t>
        </is>
      </c>
      <c r="D252" s="4" t="inlineStr">
        <is>
          <t>抽油煙機加磁吸旋轉掛勾掛隔熱手套</t>
        </is>
      </c>
      <c r="E252" s="4" t="inlineStr">
        <is>
          <t>抽油煙機外殼若是鐵製，可以吸一個磁吸旋轉掛勾，掛隔熱手套等，炒菜時伸手就拿到。掛勾可以朝上或朝側面吸。（一般安全提醒，非原文：布類要確認不會被爐火燒到。）</t>
        </is>
      </c>
      <c r="F252" s="4" t="inlineStr">
        <is>
          <t>確認抽油煙機外殼吸得住磁鐵；吸上旋轉掛勾；掛隔熱手套</t>
        </is>
      </c>
      <c r="G252" s="4" t="inlineStr"/>
      <c r="H252" s="4" t="inlineStr">
        <is>
          <t>掛勾</t>
        </is>
      </c>
      <c r="I252" s="4" t="inlineStr"/>
      <c r="J252" s="4" t="inlineStr">
        <is>
          <t>ESSE online｜忘れものを減らす「マグネット収納」6例。玄関にはって家じゅうすっきり（整理収納コンサルタント・本多さおり）</t>
        </is>
      </c>
      <c r="K252" s="4" t="inlineStr">
        <is>
          <t>日本媒體</t>
        </is>
      </c>
      <c r="L252" s="5" t="inlineStr">
        <is>
          <t>https://esse-online.jp/articles/-/30030</t>
        </is>
      </c>
      <c r="M252" s="4" t="inlineStr">
        <is>
          <t>2024-10-11</t>
        </is>
      </c>
      <c r="N252" s="4" t="inlineStr">
        <is>
          <t>2026-10-26</t>
        </is>
      </c>
      <c r="O252" s="4" t="inlineStr">
        <is>
          <t>ja</t>
        </is>
      </c>
      <c r="P252" s="4" t="inlineStr">
        <is>
          <t>high</t>
        </is>
      </c>
    </row>
    <row r="253">
      <c r="A253" s="4" t="inlineStr">
        <is>
          <t>TM-133</t>
        </is>
      </c>
      <c r="B253" s="4" t="inlineStr">
        <is>
          <t>通用</t>
        </is>
      </c>
      <c r="C253" s="4" t="inlineStr">
        <is>
          <t>防潮</t>
        </is>
      </c>
      <c r="D253" s="4" t="inlineStr">
        <is>
          <t>潮濕空間選不鏽鋼收納品</t>
        </is>
      </c>
      <c r="E253" s="4" t="inlineStr">
        <is>
          <t>選收納品時要看環境：廚房、浴室等潮濕處不適合木製或一般鐵製品，容易發霉或生鏽，可以改用不鏽鋼；紙製收納盒通風好但易受潮變形，比較適合乾燥的櫃子。</t>
        </is>
      </c>
      <c r="F253" s="4" t="inlineStr">
        <is>
          <t>判斷收納位置是否潮濕；潮濕處改用不鏽鋼收納品；紙盒只放在乾燥處</t>
        </is>
      </c>
      <c r="G253" s="4" t="inlineStr"/>
      <c r="H253" s="4" t="inlineStr"/>
      <c r="I253" s="4" t="inlineStr"/>
      <c r="J253" s="4" t="inlineStr">
        <is>
          <t>設計家 Searchome｜系統收納櫃全教學！日本主婦都愛的收納品選擇＋收納小技巧，空間瞬間變乾淨俐落（圖文提供：蛙家）</t>
        </is>
      </c>
      <c r="K253" s="4" t="inlineStr">
        <is>
          <t>台灣媒體</t>
        </is>
      </c>
      <c r="L253" s="5" t="inlineStr">
        <is>
          <t>https://www.searchome.net/article.aspx?id=69793</t>
        </is>
      </c>
      <c r="M253" s="4" t="inlineStr">
        <is>
          <t>2022-07-07</t>
        </is>
      </c>
      <c r="N253" s="4" t="inlineStr">
        <is>
          <t>2026-10-26</t>
        </is>
      </c>
      <c r="O253" s="4" t="inlineStr">
        <is>
          <t>zh-TW</t>
        </is>
      </c>
      <c r="P253" s="4" t="inlineStr">
        <is>
          <t>high</t>
        </is>
      </c>
    </row>
    <row r="254">
      <c r="A254" s="4" t="inlineStr">
        <is>
          <t>TM-134</t>
        </is>
      </c>
      <c r="B254" s="4" t="inlineStr">
        <is>
          <t>通用</t>
        </is>
      </c>
      <c r="C254" s="4" t="inlineStr">
        <is>
          <t>分區/系統櫃</t>
        </is>
      </c>
      <c r="D254" s="4" t="inlineStr">
        <is>
          <t>系統櫃深抽屜一定要用收納品輔助</t>
        </is>
      </c>
      <c r="E254" s="4" t="inlineStr">
        <is>
          <t>系統櫃的深抽屜若直接放東西，深處容易被遺忘。可以用可疊的抽屜式收納盒往上利用空間，用有隔板的收納品細分小物；同系列、同色系的收納品規格一致，排起來也較整齊。</t>
        </is>
      </c>
      <c r="F254" s="4" t="inlineStr">
        <is>
          <t>量深抽屜與櫃內尺寸；選同系列可疊收納盒與隔板盒；依類別分格放入</t>
        </is>
      </c>
      <c r="G254" s="4" t="inlineStr"/>
      <c r="H254" s="4" t="inlineStr">
        <is>
          <t>抽屜隔板</t>
        </is>
      </c>
      <c r="I254" s="4" t="inlineStr"/>
      <c r="J254" s="4" t="inlineStr">
        <is>
          <t>設計家 Searchome｜系統收納櫃全教學！日本主婦都愛的收納品選擇＋收納小技巧，空間瞬間變乾淨俐落（圖文提供：蛙家）</t>
        </is>
      </c>
      <c r="K254" s="4" t="inlineStr">
        <is>
          <t>台灣媒體</t>
        </is>
      </c>
      <c r="L254" s="5" t="inlineStr">
        <is>
          <t>https://www.searchome.net/article.aspx?id=69793</t>
        </is>
      </c>
      <c r="M254" s="4" t="inlineStr">
        <is>
          <t>2022-07-07</t>
        </is>
      </c>
      <c r="N254" s="4" t="inlineStr">
        <is>
          <t>2026-10-26</t>
        </is>
      </c>
      <c r="O254" s="4" t="inlineStr">
        <is>
          <t>zh-TW</t>
        </is>
      </c>
      <c r="P254" s="4" t="inlineStr">
        <is>
          <t>high</t>
        </is>
      </c>
    </row>
    <row r="255">
      <c r="A255" s="4" t="inlineStr">
        <is>
          <t>TM-135</t>
        </is>
      </c>
      <c r="B255" s="4" t="inlineStr">
        <is>
          <t>通用</t>
        </is>
      </c>
      <c r="C255" s="4" t="inlineStr">
        <is>
          <t>防潮</t>
        </is>
      </c>
      <c r="D255" s="4" t="inlineStr">
        <is>
          <t>易發霉物品放有透氣孔的置物籃</t>
        </is>
      </c>
      <c r="E255" s="4" t="inlineStr">
        <is>
          <t>包包、玩具或廚房清潔用品這類怕悶的東西，可以放進有透氣孔的置物籃，比密閉盒子不容易悶出霉味。IKEA與MUJI的置物籃都有透氣孔，有把手的拿取比較方便。</t>
        </is>
      </c>
      <c r="F255" s="4" t="inlineStr">
        <is>
          <t>挑出怕悶的物品；選有透氣孔的置物籃</t>
        </is>
      </c>
      <c r="G255" s="4" t="inlineStr">
        <is>
          <t>置物籃</t>
        </is>
      </c>
      <c r="H255" s="4" t="inlineStr"/>
      <c r="I255" s="4" t="inlineStr">
        <is>
          <t>IKEA/MUJI</t>
        </is>
      </c>
      <c r="J255" s="4" t="inlineStr">
        <is>
          <t>設計家 Searchome｜哪款收納盒最欠買？無印、IKEA、KEYWAY開箱評比，衣櫃山崩、保養品亂放都不用怕（圖文提供：蛙家）</t>
        </is>
      </c>
      <c r="K255" s="4" t="inlineStr">
        <is>
          <t>台灣媒體</t>
        </is>
      </c>
      <c r="L255" s="5" t="inlineStr">
        <is>
          <t>https://www.searchome.net/article.aspx?id=73455</t>
        </is>
      </c>
      <c r="M255" s="4" t="inlineStr">
        <is>
          <t>2023-04-14</t>
        </is>
      </c>
      <c r="N255" s="4" t="inlineStr">
        <is>
          <t>2026-10-26</t>
        </is>
      </c>
      <c r="O255" s="4" t="inlineStr">
        <is>
          <t>zh-TW</t>
        </is>
      </c>
      <c r="P255" s="4" t="inlineStr">
        <is>
          <t>high</t>
        </is>
      </c>
    </row>
    <row r="256">
      <c r="A256" s="4" t="inlineStr">
        <is>
          <t>TM-136</t>
        </is>
      </c>
      <c r="B256" s="4" t="inlineStr">
        <is>
          <t>通用</t>
        </is>
      </c>
      <c r="C256" s="4" t="inlineStr">
        <is>
          <t>移動收納</t>
        </is>
      </c>
      <c r="D256" s="4" t="inlineStr">
        <is>
          <t>三層推車依需要變換用途</t>
        </is>
      </c>
      <c r="E256" s="4" t="inlineStr">
        <is>
          <t>小空間可以用一台IKEA三層推車取代多個櫃子，依生活需要當居家工作站、保養品推車或運動用品車，每層放一類物品，要用時推到身邊。</t>
        </is>
      </c>
      <c r="F256" s="4" t="inlineStr">
        <is>
          <t>決定推車的主要用途；每層放一類物品</t>
        </is>
      </c>
      <c r="G256" s="4" t="inlineStr">
        <is>
          <t>三層推車</t>
        </is>
      </c>
      <c r="H256" s="4" t="inlineStr"/>
      <c r="I256" s="4" t="inlineStr">
        <is>
          <t>IKEA</t>
        </is>
      </c>
      <c r="J256" s="4" t="inlineStr">
        <is>
          <t>好房網News｜告別斷捨離！專家教你「六大收納策略」 小空間也能高效率容納豐沛生活（記者李彥穎）</t>
        </is>
      </c>
      <c r="K256" s="4" t="inlineStr">
        <is>
          <t>台灣媒體</t>
        </is>
      </c>
      <c r="L256" s="5" t="inlineStr">
        <is>
          <t>https://news.housefun.com.tw/news/article/727904488849.html</t>
        </is>
      </c>
      <c r="M256" s="4" t="inlineStr">
        <is>
          <t>2026-09-03</t>
        </is>
      </c>
      <c r="N256" s="4" t="inlineStr">
        <is>
          <t>2026-10-26</t>
        </is>
      </c>
      <c r="O256" s="4" t="inlineStr">
        <is>
          <t>zh-TW</t>
        </is>
      </c>
      <c r="P256" s="4" t="inlineStr">
        <is>
          <t>high</t>
        </is>
      </c>
    </row>
    <row r="257">
      <c r="A257" s="4" t="inlineStr">
        <is>
          <t>TM-137</t>
        </is>
      </c>
      <c r="B257" s="4" t="inlineStr">
        <is>
          <t>通用</t>
        </is>
      </c>
      <c r="C257" s="4" t="inlineStr">
        <is>
          <t>吊掛/分區</t>
        </is>
      </c>
      <c r="D257" s="4" t="inlineStr">
        <is>
          <t>沙發旁放縫隙推車收遙控器</t>
        </is>
      </c>
      <c r="E257" s="4" t="inlineStr">
        <is>
          <t>沙發旁的窄縫可以放縫隙推車，放保健品、遙控器與充電器，充電線掛在推車側邊，最上層還能當小邊桌，適合小坪數客廳。</t>
        </is>
      </c>
      <c r="F257" s="4" t="inlineStr">
        <is>
          <t>放入縫隙推車；每層分類放小物並把充電線掛在側邊</t>
        </is>
      </c>
      <c r="G257" s="4" t="inlineStr">
        <is>
          <t>縫隙推車</t>
        </is>
      </c>
      <c r="H257" s="4" t="inlineStr"/>
      <c r="I257" s="4" t="inlineStr"/>
      <c r="J257" s="4" t="inlineStr">
        <is>
          <t>設計家 Searchome｜收納達人秘技公開！35個必學技巧，輕鬆整理廚房、衣櫃、客廳、辦公室（圖文提供：蛙家）</t>
        </is>
      </c>
      <c r="K257" s="4" t="inlineStr">
        <is>
          <t>台灣媒體</t>
        </is>
      </c>
      <c r="L257" s="5" t="inlineStr">
        <is>
          <t>https://www.searchome.net/article.aspx?id=81334</t>
        </is>
      </c>
      <c r="M257" s="4" t="inlineStr">
        <is>
          <t>2025-04-09</t>
        </is>
      </c>
      <c r="N257" s="4" t="inlineStr">
        <is>
          <t>2026-10-26</t>
        </is>
      </c>
      <c r="O257" s="4" t="inlineStr">
        <is>
          <t>zh-TW</t>
        </is>
      </c>
      <c r="P257" s="4" t="inlineStr">
        <is>
          <t>high</t>
        </is>
      </c>
    </row>
  </sheetData>
  <autoFilter ref="A1:P257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6" customWidth="1" min="5" max="5"/>
    <col width="12" customWidth="1" min="6" max="6"/>
    <col width="14" customWidth="1" min="7" max="7"/>
  </cols>
  <sheetData>
    <row r="1">
      <c r="A1" s="6" t="inlineStr">
        <is>
          <t>品牌</t>
        </is>
      </c>
      <c r="B1" s="6" t="inlineStr">
        <is>
          <t>品項數</t>
        </is>
      </c>
      <c r="C1" s="6" t="inlineStr">
        <is>
          <t>有內寸</t>
        </is>
      </c>
      <c r="D1" s="6" t="inlineStr">
        <is>
          <t>單售有價格</t>
        </is>
      </c>
      <c r="E1" s="6" t="inlineStr">
        <is>
          <t>套組拆件／多件裝</t>
        </is>
      </c>
      <c r="F1" s="6" t="inlineStr">
        <is>
          <t>高可信度</t>
        </is>
      </c>
      <c r="G1" s="6" t="inlineStr">
        <is>
          <t>單售平均價NT$</t>
        </is>
      </c>
    </row>
    <row r="2">
      <c r="A2" s="2" t="inlineStr">
        <is>
          <t>MUJI</t>
        </is>
      </c>
      <c r="B2" s="2">
        <f>COUNTIF(商品總表!$B$2:$B$485,A2)</f>
        <v/>
      </c>
      <c r="C2" s="2">
        <f>COUNTIFS(商品總表!$B$2:$B$485,A2,商品總表!$I$2:$I$485,"&gt;0")</f>
        <v/>
      </c>
      <c r="D2" s="2">
        <f>COUNTIFS(商品總表!$B$2:$B$485,A2,商品總表!$P$2:$P$485,"&gt;0")</f>
        <v/>
      </c>
      <c r="E2" s="2">
        <f>COUNTIFS(商品總表!$B$2:$B$485,A2,商品總表!$V$2:$V$485,"整組*")</f>
        <v/>
      </c>
      <c r="F2" s="2">
        <f>COUNTIFS(商品總表!$B$2:$B$485,A2,商品總表!$T$2:$T$485,"high")</f>
        <v/>
      </c>
      <c r="G2" s="2">
        <f>IFERROR(ROUND(AVERAGEIF(商品總表!$B$2:$B$485,A2,商品總表!$P$2:$P$485),0),"-")</f>
        <v/>
      </c>
    </row>
    <row r="3">
      <c r="A3" s="2" t="inlineStr">
        <is>
          <t>NITORI</t>
        </is>
      </c>
      <c r="B3" s="2">
        <f>COUNTIF(商品總表!$B$2:$B$485,A3)</f>
        <v/>
      </c>
      <c r="C3" s="2">
        <f>COUNTIFS(商品總表!$B$2:$B$485,A3,商品總表!$I$2:$I$485,"&gt;0")</f>
        <v/>
      </c>
      <c r="D3" s="2">
        <f>COUNTIFS(商品總表!$B$2:$B$485,A3,商品總表!$P$2:$P$485,"&gt;0")</f>
        <v/>
      </c>
      <c r="E3" s="2">
        <f>COUNTIFS(商品總表!$B$2:$B$485,A3,商品總表!$V$2:$V$485,"整組*")</f>
        <v/>
      </c>
      <c r="F3" s="2">
        <f>COUNTIFS(商品總表!$B$2:$B$485,A3,商品總表!$T$2:$T$485,"high")</f>
        <v/>
      </c>
      <c r="G3" s="2">
        <f>IFERROR(ROUND(AVERAGEIF(商品總表!$B$2:$B$485,A3,商品總表!$P$2:$P$485),0),"-")</f>
        <v/>
      </c>
    </row>
    <row r="4">
      <c r="A4" s="2" t="inlineStr">
        <is>
          <t>IKEA</t>
        </is>
      </c>
      <c r="B4" s="2">
        <f>COUNTIF(商品總表!$B$2:$B$485,A4)</f>
        <v/>
      </c>
      <c r="C4" s="2">
        <f>COUNTIFS(商品總表!$B$2:$B$485,A4,商品總表!$I$2:$I$485,"&gt;0")</f>
        <v/>
      </c>
      <c r="D4" s="2">
        <f>COUNTIFS(商品總表!$B$2:$B$485,A4,商品總表!$P$2:$P$485,"&gt;0")</f>
        <v/>
      </c>
      <c r="E4" s="2">
        <f>COUNTIFS(商品總表!$B$2:$B$485,A4,商品總表!$V$2:$V$485,"整組*")</f>
        <v/>
      </c>
      <c r="F4" s="2">
        <f>COUNTIFS(商品總表!$B$2:$B$485,A4,商品總表!$T$2:$T$485,"high")</f>
        <v/>
      </c>
      <c r="G4" s="2">
        <f>IFERROR(ROUND(AVERAGEIF(商品總表!$B$2:$B$485,A4,商品總表!$P$2:$P$485),0),"-")</f>
        <v/>
      </c>
    </row>
    <row r="5">
      <c r="A5" s="2" t="inlineStr">
        <is>
          <t>DAISO</t>
        </is>
      </c>
      <c r="B5" s="2">
        <f>COUNTIF(商品總表!$B$2:$B$485,A5)</f>
        <v/>
      </c>
      <c r="C5" s="2">
        <f>COUNTIFS(商品總表!$B$2:$B$485,A5,商品總表!$I$2:$I$485,"&gt;0")</f>
        <v/>
      </c>
      <c r="D5" s="2">
        <f>COUNTIFS(商品總表!$B$2:$B$485,A5,商品總表!$P$2:$P$485,"&gt;0")</f>
        <v/>
      </c>
      <c r="E5" s="2">
        <f>COUNTIFS(商品總表!$B$2:$B$485,A5,商品總表!$V$2:$V$485,"整組*")</f>
        <v/>
      </c>
      <c r="F5" s="2">
        <f>COUNTIFS(商品總表!$B$2:$B$485,A5,商品總表!$T$2:$T$485,"high")</f>
        <v/>
      </c>
      <c r="G5" s="2">
        <f>IFERROR(ROUND(AVERAGEIF(商品總表!$B$2:$B$485,A5,商品總表!$P$2:$P$485),0),"-")</f>
        <v/>
      </c>
    </row>
    <row r="6">
      <c r="A6" s="2" t="inlineStr">
        <is>
          <t>合計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  <c r="G6" s="2">
        <f>ROUND(AVERAGE(商品總表!$P$2:$P$485),0)</f>
        <v/>
      </c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資料查詢日 2026-10-26。來源：MUJI shop.muji.tw＋官方收納型錄 25.12；NITORI nitori-net.tw；IKEA ikea.com.tw；大創見各列「來源」欄。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套組／多件裝的售價欄留空，整組價格寫在「套組／多件裝」欄；計算引擎會依整組件數換算購買組數。</t>
        </is>
      </c>
      <c r="B9" s="2" t="n"/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6" t="inlineStr">
        <is>
          <t>欄位</t>
        </is>
      </c>
      <c r="B1" s="6" t="inlineStr">
        <is>
          <t>說明</t>
        </is>
      </c>
    </row>
    <row r="2">
      <c r="A2" s="2" t="inlineStr">
        <is>
          <t>編號</t>
        </is>
      </c>
      <c r="B2" s="2" t="inlineStr"/>
    </row>
    <row r="3">
      <c r="A3" s="2" t="inlineStr">
        <is>
          <t>品牌</t>
        </is>
      </c>
      <c r="B3" s="2" t="inlineStr"/>
    </row>
    <row r="4">
      <c r="A4" s="2" t="inlineStr">
        <is>
          <t>系列</t>
        </is>
      </c>
      <c r="B4" s="2" t="inlineStr"/>
    </row>
    <row r="5">
      <c r="A5" s="2" t="inlineStr">
        <is>
          <t>品名</t>
        </is>
      </c>
      <c r="B5" s="2" t="inlineStr"/>
    </row>
    <row r="6">
      <c r="A6" s="2" t="inlineStr">
        <is>
          <t>商品編號</t>
        </is>
      </c>
      <c r="B6" s="2" t="inlineStr"/>
    </row>
    <row r="7">
      <c r="A7" s="2" t="inlineStr">
        <is>
          <t>外寬cm</t>
        </is>
      </c>
      <c r="B7" s="2" t="inlineStr">
        <is>
          <t>外寸寬（正面左右）</t>
        </is>
      </c>
    </row>
    <row r="8">
      <c r="A8" s="2" t="inlineStr">
        <is>
          <t>外深cm</t>
        </is>
      </c>
      <c r="B8" s="2" t="inlineStr">
        <is>
          <t>外寸深（前後）</t>
        </is>
      </c>
    </row>
    <row r="9">
      <c r="A9" s="2" t="inlineStr">
        <is>
          <t>外高cm</t>
        </is>
      </c>
      <c r="B9" s="2" t="inlineStr">
        <is>
          <t>外寸高</t>
        </is>
      </c>
    </row>
    <row r="10">
      <c r="A10" s="2" t="inlineStr">
        <is>
          <t>內寬cm</t>
        </is>
      </c>
      <c r="B10" s="2" t="inlineStr">
        <is>
          <t>內寸寬，僅官方有標才填，不推算</t>
        </is>
      </c>
    </row>
    <row r="11">
      <c r="A11" s="2" t="inlineStr">
        <is>
          <t>內深cm</t>
        </is>
      </c>
      <c r="B11" s="2" t="inlineStr">
        <is>
          <t>內寸深，同上</t>
        </is>
      </c>
    </row>
    <row r="12">
      <c r="A12" s="2" t="inlineStr">
        <is>
          <t>內高cm</t>
        </is>
      </c>
      <c r="B12" s="2" t="inlineStr">
        <is>
          <t>內寸高，同上</t>
        </is>
      </c>
    </row>
    <row r="13">
      <c r="A13" s="2" t="inlineStr">
        <is>
          <t>材質</t>
        </is>
      </c>
      <c r="B13" s="2" t="inlineStr"/>
    </row>
    <row r="14">
      <c r="A14" s="2" t="inlineStr">
        <is>
          <t>顏色</t>
        </is>
      </c>
      <c r="B14" s="2" t="inlineStr">
        <is>
          <t>多色以「/」分隔；單一顏色名含斜線時改用「+」</t>
        </is>
      </c>
    </row>
    <row r="15">
      <c r="A15" s="2" t="inlineStr">
        <is>
          <t>可堆疊</t>
        </is>
      </c>
      <c r="B15" s="2" t="inlineStr">
        <is>
          <t>Y＝官方明確說可堆疊；空白＝官方未說明</t>
        </is>
      </c>
    </row>
    <row r="16">
      <c r="A16" s="2" t="inlineStr">
        <is>
          <t>附蓋</t>
        </is>
      </c>
      <c r="B16" s="2" t="inlineStr">
        <is>
          <t>Y＝含蓋；另售蓋寫在備註</t>
        </is>
      </c>
    </row>
    <row r="17">
      <c r="A17" s="2" t="inlineStr">
        <is>
          <t>售價NT$</t>
        </is>
      </c>
      <c r="B17" s="2" t="inlineStr">
        <is>
          <t>查價日的官網單售價；套組與多件裝留空</t>
        </is>
      </c>
    </row>
    <row r="18">
      <c r="A18" s="2" t="inlineStr">
        <is>
          <t>查價日</t>
        </is>
      </c>
      <c r="B18" s="2" t="inlineStr"/>
    </row>
    <row r="19">
      <c r="A19" s="2" t="inlineStr">
        <is>
          <t>官網連結</t>
        </is>
      </c>
      <c r="B19" s="2" t="inlineStr"/>
    </row>
    <row r="20">
      <c r="A20" s="2" t="inlineStr">
        <is>
          <t>來源</t>
        </is>
      </c>
      <c r="B20" s="2" t="inlineStr"/>
    </row>
    <row r="21">
      <c r="A21" s="2" t="inlineStr">
        <is>
          <t>可信度</t>
        </is>
      </c>
      <c r="B21" s="2" t="inlineStr">
        <is>
          <t>high＝官網商品頁直接取得；medium＝型錄或來源間數值衝突（見備註）</t>
        </is>
      </c>
    </row>
    <row r="22">
      <c r="A22" s="2" t="inlineStr">
        <is>
          <t>備註</t>
        </is>
      </c>
      <c r="B22" s="2" t="inlineStr">
        <is>
          <t>套組列開頭為 SET:&lt;套組編號&gt;|&lt;整組價&gt;|&lt;此尺寸件數&gt;|&lt;整組件數&gt;; 供程式讀取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2026-10-26T08:38:06Z</dcterms:created>
  <dcterms:modified xmlns:dcterms="http://purl.org/dc/terms/" xmlns:xsi="http://www.w3.org/2001/XMLSchema-instance" xsi:type="dcterms:W3CDTF">2026-10-26T08:38:07Z</dcterms:modified>
</cp:coreProperties>
</file>